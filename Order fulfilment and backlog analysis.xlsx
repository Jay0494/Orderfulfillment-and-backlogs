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3fb4b19b0c77edf5/Amdari project/"/>
    </mc:Choice>
  </mc:AlternateContent>
  <xr:revisionPtr revIDLastSave="18" documentId="8_{481D7527-E066-4CEA-9533-A4931EE17DCC}" xr6:coauthVersionLast="47" xr6:coauthVersionMax="47" xr10:uidLastSave="{CA47A6F7-72D1-4840-A55D-E27EED84BAF0}"/>
  <bookViews>
    <workbookView xWindow="-120" yWindow="-120" windowWidth="29040" windowHeight="16440" activeTab="3" xr2:uid="{BFCD8F81-523E-4B45-9264-EDBDB3A0BD48}"/>
  </bookViews>
  <sheets>
    <sheet name="Delivery data" sheetId="3" r:id="rId1"/>
    <sheet name="Initial analysis" sheetId="5" r:id="rId2"/>
    <sheet name="Pivot Table" sheetId="6" state="hidden" r:id="rId3"/>
    <sheet name="Dashboard" sheetId="7" r:id="rId4"/>
    <sheet name="REPORT" sheetId="8" r:id="rId5"/>
    <sheet name="Allocation Rule explained" sheetId="2" state="hidden" r:id="rId6"/>
  </sheets>
  <definedNames>
    <definedName name="ExternalData_1" localSheetId="5" hidden="1">'Allocation Rule explained'!$A$1:$B$4</definedName>
    <definedName name="ExternalData_2" localSheetId="0" hidden="1">'Delivery data'!$A$1:$R$1501</definedName>
    <definedName name="Slicer_Delivery_Zone">#N/A</definedName>
    <definedName name="Slicer_Order_Flag">#N/A</definedName>
    <definedName name="Slicer_Order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6" i="3" l="1"/>
  <c r="D555" i="3"/>
  <c r="D258" i="3"/>
  <c r="D1051" i="3"/>
  <c r="D1156" i="3"/>
  <c r="D783" i="3"/>
  <c r="D1484" i="3"/>
  <c r="D1253" i="3"/>
  <c r="D685" i="3"/>
  <c r="D764" i="3"/>
  <c r="D2" i="3"/>
  <c r="D626" i="3"/>
  <c r="D433" i="3"/>
  <c r="D528" i="3"/>
  <c r="D285" i="3"/>
  <c r="D999" i="3"/>
  <c r="D45" i="3"/>
  <c r="D686" i="3"/>
  <c r="D446" i="3"/>
  <c r="D447" i="3"/>
  <c r="D1328" i="3"/>
  <c r="D1352" i="3"/>
  <c r="D1301" i="3"/>
  <c r="D765" i="3"/>
  <c r="D21" i="3"/>
  <c r="D701" i="3"/>
  <c r="D103" i="3"/>
  <c r="D1206" i="3"/>
  <c r="D1344" i="3"/>
  <c r="D888" i="3"/>
  <c r="D603" i="3"/>
  <c r="D1229" i="3"/>
  <c r="D336" i="3"/>
  <c r="D614" i="3"/>
  <c r="D1025" i="3"/>
  <c r="D1230" i="3"/>
  <c r="D541" i="3"/>
  <c r="D766" i="3"/>
  <c r="D460" i="3"/>
  <c r="D872" i="3"/>
  <c r="D676" i="3"/>
  <c r="D138" i="3"/>
  <c r="D702" i="3"/>
  <c r="D314" i="3"/>
  <c r="D1275" i="3"/>
  <c r="D1088" i="3"/>
  <c r="D1052" i="3"/>
  <c r="D3" i="3"/>
  <c r="D171" i="3"/>
  <c r="D937" i="3"/>
  <c r="D354" i="3"/>
  <c r="D217" i="3"/>
  <c r="D461" i="3"/>
  <c r="D192" i="3"/>
  <c r="D938" i="3"/>
  <c r="D784" i="3"/>
  <c r="D337" i="3"/>
  <c r="D803" i="3"/>
  <c r="D172" i="3"/>
  <c r="D985" i="3"/>
  <c r="D104" i="3"/>
  <c r="D462" i="3"/>
  <c r="D1231" i="3"/>
  <c r="D463" i="3"/>
  <c r="D1290" i="3"/>
  <c r="D485" i="3"/>
  <c r="D857" i="3"/>
  <c r="D120" i="3"/>
  <c r="D1010" i="3"/>
  <c r="D1443" i="3"/>
  <c r="D1131" i="3"/>
  <c r="D405" i="3"/>
  <c r="D1143" i="3"/>
  <c r="D590" i="3"/>
  <c r="D355" i="3"/>
  <c r="D383" i="3"/>
  <c r="D1116" i="3"/>
  <c r="D767" i="3"/>
  <c r="D1117" i="3"/>
  <c r="D873" i="3"/>
  <c r="D785" i="3"/>
  <c r="D948" i="3"/>
  <c r="D748" i="3"/>
  <c r="D464" i="3"/>
  <c r="D1311" i="3"/>
  <c r="D1444" i="3"/>
  <c r="D1269" i="3"/>
  <c r="D1166" i="3"/>
  <c r="D1219" i="3"/>
  <c r="D1312" i="3"/>
  <c r="D4" i="3"/>
  <c r="D1102" i="3"/>
  <c r="D286" i="3"/>
  <c r="D287" i="3"/>
  <c r="D965" i="3"/>
  <c r="D1026" i="3"/>
  <c r="D1463" i="3"/>
  <c r="D502" i="3"/>
  <c r="D1179" i="3"/>
  <c r="D986" i="3"/>
  <c r="D858" i="3"/>
  <c r="D1464" i="3"/>
  <c r="D486" i="3"/>
  <c r="D591" i="3"/>
  <c r="D1445" i="3"/>
  <c r="D638" i="3"/>
  <c r="D121" i="3"/>
  <c r="D1353" i="3"/>
  <c r="D422" i="3"/>
  <c r="D1485" i="3"/>
  <c r="D615" i="3"/>
  <c r="D1027" i="3"/>
  <c r="D1423" i="3"/>
  <c r="D859" i="3"/>
  <c r="D173" i="3"/>
  <c r="D939" i="3"/>
  <c r="D139" i="3"/>
  <c r="D860" i="3"/>
  <c r="D487" i="3"/>
  <c r="D321" i="3"/>
  <c r="D384" i="3"/>
  <c r="D1242" i="3"/>
  <c r="D804" i="3"/>
  <c r="D1068" i="3"/>
  <c r="D1089" i="3"/>
  <c r="D140" i="3"/>
  <c r="D105" i="3"/>
  <c r="D1446" i="3"/>
  <c r="D718" i="3"/>
  <c r="D488" i="3"/>
  <c r="D31" i="3"/>
  <c r="D1378" i="3"/>
  <c r="D1486" i="3"/>
  <c r="D703" i="3"/>
  <c r="D322" i="3"/>
  <c r="D572" i="3"/>
  <c r="D338" i="3"/>
  <c r="D1144" i="3"/>
  <c r="D966" i="3"/>
  <c r="D1465" i="3"/>
  <c r="D1000" i="3"/>
  <c r="D1329" i="3"/>
  <c r="D967" i="3"/>
  <c r="D949" i="3"/>
  <c r="D339" i="3"/>
  <c r="D1069" i="3"/>
  <c r="D909" i="3"/>
  <c r="D829" i="3"/>
  <c r="D1254" i="3"/>
  <c r="D1424" i="3"/>
  <c r="D650" i="3"/>
  <c r="D987" i="3"/>
  <c r="D369" i="3"/>
  <c r="D1396" i="3"/>
  <c r="D406" i="3"/>
  <c r="D356" i="3"/>
  <c r="D749" i="3"/>
  <c r="D517" i="3"/>
  <c r="D1466" i="3"/>
  <c r="D910" i="3"/>
  <c r="D840" i="3"/>
  <c r="D218" i="3"/>
  <c r="D448" i="3"/>
  <c r="D81" i="3"/>
  <c r="D407" i="3"/>
  <c r="D1365" i="3"/>
  <c r="D219" i="3"/>
  <c r="D1167" i="3"/>
  <c r="D220" i="3"/>
  <c r="D1207" i="3"/>
  <c r="D122" i="3"/>
  <c r="D639" i="3"/>
  <c r="D315" i="3"/>
  <c r="D988" i="3"/>
  <c r="D1232" i="3"/>
  <c r="D786" i="3"/>
  <c r="D385" i="3"/>
  <c r="D297" i="3"/>
  <c r="D1053" i="3"/>
  <c r="D156" i="3"/>
  <c r="D736" i="3"/>
  <c r="D174" i="3"/>
  <c r="D640" i="3"/>
  <c r="D465" i="3"/>
  <c r="D273" i="3"/>
  <c r="D874" i="3"/>
  <c r="D466" i="3"/>
  <c r="D1330" i="3"/>
  <c r="D1255" i="3"/>
  <c r="D274" i="3"/>
  <c r="D408" i="3"/>
  <c r="D46" i="3"/>
  <c r="D1180" i="3"/>
  <c r="D704" i="3"/>
  <c r="D1379" i="3"/>
  <c r="D1256" i="3"/>
  <c r="D651" i="3"/>
  <c r="D841" i="3"/>
  <c r="D889" i="3"/>
  <c r="D175" i="3"/>
  <c r="D5" i="3"/>
  <c r="D489" i="3"/>
  <c r="D1467" i="3"/>
  <c r="D503" i="3"/>
  <c r="D1331" i="3"/>
  <c r="D386" i="3"/>
  <c r="D1190" i="3"/>
  <c r="D1354" i="3"/>
  <c r="D1313" i="3"/>
  <c r="D950" i="3"/>
  <c r="D1314" i="3"/>
  <c r="D1145" i="3"/>
  <c r="D1355" i="3"/>
  <c r="D490" i="3"/>
  <c r="D82" i="3"/>
  <c r="D1103" i="3"/>
  <c r="D357" i="3"/>
  <c r="D259" i="3"/>
  <c r="D491" i="3"/>
  <c r="D677" i="3"/>
  <c r="D32" i="3"/>
  <c r="D423" i="3"/>
  <c r="D1070" i="3"/>
  <c r="D1243" i="3"/>
  <c r="D22" i="3"/>
  <c r="D1191" i="3"/>
  <c r="D1208" i="3"/>
  <c r="D928" i="3"/>
  <c r="D1366" i="3"/>
  <c r="D1181" i="3"/>
  <c r="D573" i="3"/>
  <c r="D83" i="3"/>
  <c r="D1233" i="3"/>
  <c r="D193" i="3"/>
  <c r="D194" i="3"/>
  <c r="D1447" i="3"/>
  <c r="D504" i="3"/>
  <c r="D1054" i="3"/>
  <c r="D890" i="3"/>
  <c r="D556" i="3"/>
  <c r="D1146" i="3"/>
  <c r="D1397" i="3"/>
  <c r="D1410" i="3"/>
  <c r="D1090" i="3"/>
  <c r="D911" i="3"/>
  <c r="D242" i="3"/>
  <c r="D1425" i="3"/>
  <c r="D719" i="3"/>
  <c r="D449" i="3"/>
  <c r="D1118" i="3"/>
  <c r="D768" i="3"/>
  <c r="D340" i="3"/>
  <c r="D298" i="3"/>
  <c r="D288" i="3"/>
  <c r="D678" i="3"/>
  <c r="D47" i="3"/>
  <c r="D951" i="3"/>
  <c r="D542" i="3"/>
  <c r="D195" i="3"/>
  <c r="D299" i="3"/>
  <c r="D529" i="3"/>
  <c r="D221" i="3"/>
  <c r="D467" i="3"/>
  <c r="D1315" i="3"/>
  <c r="D1244" i="3"/>
  <c r="D1291" i="3"/>
  <c r="D358" i="3"/>
  <c r="D289" i="3"/>
  <c r="D787" i="3"/>
  <c r="D84" i="3"/>
  <c r="D106" i="3"/>
  <c r="D1028" i="3"/>
  <c r="D1209" i="3"/>
  <c r="D1038" i="3"/>
  <c r="D705" i="3"/>
  <c r="D316" i="3"/>
  <c r="D574" i="3"/>
  <c r="D687" i="3"/>
  <c r="D1011" i="3"/>
  <c r="D817" i="3"/>
  <c r="D85" i="3"/>
  <c r="D1316" i="3"/>
  <c r="D688" i="3"/>
  <c r="D359" i="3"/>
  <c r="D1039" i="3"/>
  <c r="D912" i="3"/>
  <c r="D222" i="3"/>
  <c r="D243" i="3"/>
  <c r="D1055" i="3"/>
  <c r="D750" i="3"/>
  <c r="D842" i="3"/>
  <c r="D1317" i="3"/>
  <c r="D1257" i="3"/>
  <c r="D275" i="3"/>
  <c r="D1192" i="3"/>
  <c r="D244" i="3"/>
  <c r="D33" i="3"/>
  <c r="D706" i="3"/>
  <c r="D707" i="3"/>
  <c r="D1157" i="3"/>
  <c r="D616" i="3"/>
  <c r="D34" i="3"/>
  <c r="D424" i="3"/>
  <c r="D737" i="3"/>
  <c r="D788" i="3"/>
  <c r="D1380" i="3"/>
  <c r="D176" i="3"/>
  <c r="D1332" i="3"/>
  <c r="D1119" i="3"/>
  <c r="D664" i="3"/>
  <c r="D323" i="3"/>
  <c r="D769" i="3"/>
  <c r="D1056" i="3"/>
  <c r="D1132" i="3"/>
  <c r="D557" i="3"/>
  <c r="D223" i="3"/>
  <c r="D627" i="3"/>
  <c r="D891" i="3"/>
  <c r="D913" i="3"/>
  <c r="D1168" i="3"/>
  <c r="D592" i="3"/>
  <c r="D558" i="3"/>
  <c r="D1193" i="3"/>
  <c r="D86" i="3"/>
  <c r="D952" i="3"/>
  <c r="D434" i="3"/>
  <c r="D177" i="3"/>
  <c r="D617" i="3"/>
  <c r="D1104" i="3"/>
  <c r="D224" i="3"/>
  <c r="D559" i="3"/>
  <c r="D892" i="3"/>
  <c r="D360" i="3"/>
  <c r="D1182" i="3"/>
  <c r="D893" i="3"/>
  <c r="D60" i="3"/>
  <c r="D317" i="3"/>
  <c r="D1448" i="3"/>
  <c r="D35" i="3"/>
  <c r="D708" i="3"/>
  <c r="D1258" i="3"/>
  <c r="D843" i="3"/>
  <c r="D276" i="3"/>
  <c r="D260" i="3"/>
  <c r="D61" i="3"/>
  <c r="D107" i="3"/>
  <c r="D341" i="3"/>
  <c r="D1057" i="3"/>
  <c r="D689" i="3"/>
  <c r="D1105" i="3"/>
  <c r="D875" i="3"/>
  <c r="D1426" i="3"/>
  <c r="D989" i="3"/>
  <c r="D914" i="3"/>
  <c r="D23" i="3"/>
  <c r="D1259" i="3"/>
  <c r="D720" i="3"/>
  <c r="D953" i="3"/>
  <c r="D196" i="3"/>
  <c r="D300" i="3"/>
  <c r="D141" i="3"/>
  <c r="D560" i="3"/>
  <c r="D450" i="3"/>
  <c r="D593" i="3"/>
  <c r="D1356" i="3"/>
  <c r="D36" i="3"/>
  <c r="D505" i="3"/>
  <c r="D1427" i="3"/>
  <c r="D770" i="3"/>
  <c r="D123" i="3"/>
  <c r="D954" i="3"/>
  <c r="D124" i="3"/>
  <c r="D1106" i="3"/>
  <c r="D277" i="3"/>
  <c r="D1071" i="3"/>
  <c r="D1333" i="3"/>
  <c r="D915" i="3"/>
  <c r="D6" i="3"/>
  <c r="D861" i="3"/>
  <c r="D451" i="3"/>
  <c r="D575" i="3"/>
  <c r="D435" i="3"/>
  <c r="D771" i="3"/>
  <c r="D1040" i="3"/>
  <c r="D197" i="3"/>
  <c r="D370" i="3"/>
  <c r="D1468" i="3"/>
  <c r="D543" i="3"/>
  <c r="D530" i="3"/>
  <c r="D157" i="3"/>
  <c r="D301" i="3"/>
  <c r="D665" i="3"/>
  <c r="D198" i="3"/>
  <c r="D62" i="3"/>
  <c r="D1245" i="3"/>
  <c r="D738" i="3"/>
  <c r="D225" i="3"/>
  <c r="D199" i="3"/>
  <c r="D628" i="3"/>
  <c r="D302" i="3"/>
  <c r="D361" i="3"/>
  <c r="D1147" i="3"/>
  <c r="D492" i="3"/>
  <c r="D1449" i="3"/>
  <c r="D48" i="3"/>
  <c r="D200" i="3"/>
  <c r="D1398" i="3"/>
  <c r="D1276" i="3"/>
  <c r="D1399" i="3"/>
  <c r="D387" i="3"/>
  <c r="D1133" i="3"/>
  <c r="D493" i="3"/>
  <c r="D576" i="3"/>
  <c r="D1411" i="3"/>
  <c r="D844" i="3"/>
  <c r="D916" i="3"/>
  <c r="D303" i="3"/>
  <c r="D690" i="3"/>
  <c r="D1183" i="3"/>
  <c r="D388" i="3"/>
  <c r="D342" i="3"/>
  <c r="D1292" i="3"/>
  <c r="D304" i="3"/>
  <c r="D789" i="3"/>
  <c r="D1246" i="3"/>
  <c r="D1220" i="3"/>
  <c r="D652" i="3"/>
  <c r="D594" i="3"/>
  <c r="D87" i="3"/>
  <c r="D371" i="3"/>
  <c r="D158" i="3"/>
  <c r="D917" i="3"/>
  <c r="D772" i="3"/>
  <c r="D49" i="3"/>
  <c r="D1260" i="3"/>
  <c r="D894" i="3"/>
  <c r="D1169" i="3"/>
  <c r="D544" i="3"/>
  <c r="D1381" i="3"/>
  <c r="D1091" i="3"/>
  <c r="D561" i="3"/>
  <c r="D1293" i="3"/>
  <c r="D178" i="3"/>
  <c r="D494" i="3"/>
  <c r="D641" i="3"/>
  <c r="D1318" i="3"/>
  <c r="D653" i="3"/>
  <c r="D1134" i="3"/>
  <c r="D1058" i="3"/>
  <c r="D642" i="3"/>
  <c r="D125" i="3"/>
  <c r="D691" i="3"/>
  <c r="D709" i="3"/>
  <c r="D159" i="3"/>
  <c r="D108" i="3"/>
  <c r="D109" i="3"/>
  <c r="D1120" i="3"/>
  <c r="D1277" i="3"/>
  <c r="D126" i="3"/>
  <c r="D595" i="3"/>
  <c r="D1029" i="3"/>
  <c r="D1135" i="3"/>
  <c r="D63" i="3"/>
  <c r="D278" i="3"/>
  <c r="D818" i="3"/>
  <c r="D1059" i="3"/>
  <c r="D751" i="3"/>
  <c r="D1450" i="3"/>
  <c r="D1345" i="3"/>
  <c r="D518" i="3"/>
  <c r="D1400" i="3"/>
  <c r="D1170" i="3"/>
  <c r="D1030" i="3"/>
  <c r="D773" i="3"/>
  <c r="D452" i="3"/>
  <c r="D929" i="3"/>
  <c r="D1092" i="3"/>
  <c r="D805" i="3"/>
  <c r="D990" i="3"/>
  <c r="D1294" i="3"/>
  <c r="D790" i="3"/>
  <c r="D160" i="3"/>
  <c r="D362" i="3"/>
  <c r="D895" i="3"/>
  <c r="D692" i="3"/>
  <c r="D1194" i="3"/>
  <c r="D226" i="3"/>
  <c r="D968" i="3"/>
  <c r="D1012" i="3"/>
  <c r="D495" i="3"/>
  <c r="D577" i="3"/>
  <c r="D862" i="3"/>
  <c r="D468" i="3"/>
  <c r="D562" i="3"/>
  <c r="D991" i="3"/>
  <c r="D1428" i="3"/>
  <c r="D409" i="3"/>
  <c r="D830" i="3"/>
  <c r="D1270" i="3"/>
  <c r="D1093" i="3"/>
  <c r="D64" i="3"/>
  <c r="D1107" i="3"/>
  <c r="D127" i="3"/>
  <c r="D1121" i="3"/>
  <c r="D710" i="3"/>
  <c r="D940" i="3"/>
  <c r="D531" i="3"/>
  <c r="D1210" i="3"/>
  <c r="D1108" i="3"/>
  <c r="D161" i="3"/>
  <c r="D50" i="3"/>
  <c r="D819" i="3"/>
  <c r="D545" i="3"/>
  <c r="D876" i="3"/>
  <c r="D1041" i="3"/>
  <c r="D752" i="3"/>
  <c r="D1122" i="3"/>
  <c r="D1412" i="3"/>
  <c r="D1382" i="3"/>
  <c r="D1469" i="3"/>
  <c r="D1013" i="3"/>
  <c r="D1487" i="3"/>
  <c r="D324" i="3"/>
  <c r="D739" i="3"/>
  <c r="D1171" i="3"/>
  <c r="D1401" i="3"/>
  <c r="D1221" i="3"/>
  <c r="D162" i="3"/>
  <c r="D325" i="3"/>
  <c r="D604" i="3"/>
  <c r="D410" i="3"/>
  <c r="D506" i="3"/>
  <c r="D1060" i="3"/>
  <c r="D496" i="3"/>
  <c r="D992" i="3"/>
  <c r="D820" i="3"/>
  <c r="D497" i="3"/>
  <c r="D845" i="3"/>
  <c r="D877" i="3"/>
  <c r="D969" i="3"/>
  <c r="D261" i="3"/>
  <c r="D142" i="3"/>
  <c r="D372" i="3"/>
  <c r="D1123" i="3"/>
  <c r="D1014" i="3"/>
  <c r="D774" i="3"/>
  <c r="D596" i="3"/>
  <c r="D507" i="3"/>
  <c r="D821" i="3"/>
  <c r="D305" i="3"/>
  <c r="D201" i="3"/>
  <c r="D1367" i="3"/>
  <c r="D227" i="3"/>
  <c r="D279" i="3"/>
  <c r="D1334" i="3"/>
  <c r="D280" i="3"/>
  <c r="D326" i="3"/>
  <c r="D1429" i="3"/>
  <c r="D1402" i="3"/>
  <c r="D941" i="3"/>
  <c r="D1302" i="3"/>
  <c r="D1430" i="3"/>
  <c r="D202" i="3"/>
  <c r="D228" i="3"/>
  <c r="D654" i="3"/>
  <c r="D618" i="3"/>
  <c r="D7" i="3"/>
  <c r="D343" i="3"/>
  <c r="D1470" i="3"/>
  <c r="D363" i="3"/>
  <c r="D8" i="3"/>
  <c r="D1195" i="3"/>
  <c r="D389" i="3"/>
  <c r="D390" i="3"/>
  <c r="D1072" i="3"/>
  <c r="D1001" i="3"/>
  <c r="D693" i="3"/>
  <c r="D436" i="3"/>
  <c r="D532" i="3"/>
  <c r="D1431" i="3"/>
  <c r="D1368" i="3"/>
  <c r="D753" i="3"/>
  <c r="D863" i="3"/>
  <c r="D425" i="3"/>
  <c r="D1148" i="3"/>
  <c r="D128" i="3"/>
  <c r="D1184" i="3"/>
  <c r="D9" i="3"/>
  <c r="D10" i="3"/>
  <c r="D1002" i="3"/>
  <c r="D1003" i="3"/>
  <c r="D1124" i="3"/>
  <c r="D1488" i="3"/>
  <c r="D37" i="3"/>
  <c r="D1109" i="3"/>
  <c r="D65" i="3"/>
  <c r="D143" i="3"/>
  <c r="D453" i="3"/>
  <c r="D144" i="3"/>
  <c r="D754" i="3"/>
  <c r="D11" i="3"/>
  <c r="D391" i="3"/>
  <c r="D1136" i="3"/>
  <c r="D66" i="3"/>
  <c r="D721" i="3"/>
  <c r="D1110" i="3"/>
  <c r="D1451" i="3"/>
  <c r="D1413" i="3"/>
  <c r="D1222" i="3"/>
  <c r="D245" i="3"/>
  <c r="D426" i="3"/>
  <c r="D179" i="3"/>
  <c r="D1303" i="3"/>
  <c r="D955" i="3"/>
  <c r="D327" i="3"/>
  <c r="D864" i="3"/>
  <c r="D1414" i="3"/>
  <c r="D1137" i="3"/>
  <c r="D1295" i="3"/>
  <c r="D1031" i="3"/>
  <c r="D1489" i="3"/>
  <c r="D1125" i="3"/>
  <c r="D1403" i="3"/>
  <c r="D865" i="3"/>
  <c r="D1415" i="3"/>
  <c r="D1369" i="3"/>
  <c r="D1211" i="3"/>
  <c r="D878" i="3"/>
  <c r="D722" i="3"/>
  <c r="D229" i="3"/>
  <c r="D1061" i="3"/>
  <c r="D1404" i="3"/>
  <c r="D629" i="3"/>
  <c r="D546" i="3"/>
  <c r="D1062" i="3"/>
  <c r="D51" i="3"/>
  <c r="D1073" i="3"/>
  <c r="D806" i="3"/>
  <c r="D930" i="3"/>
  <c r="D469" i="3"/>
  <c r="D723" i="3"/>
  <c r="D437" i="3"/>
  <c r="D879" i="3"/>
  <c r="D1042" i="3"/>
  <c r="D392" i="3"/>
  <c r="D1158" i="3"/>
  <c r="D1149" i="3"/>
  <c r="D993" i="3"/>
  <c r="D508" i="3"/>
  <c r="D1304" i="3"/>
  <c r="D373" i="3"/>
  <c r="D438" i="3"/>
  <c r="D822" i="3"/>
  <c r="D145" i="3"/>
  <c r="D88" i="3"/>
  <c r="D1383" i="3"/>
  <c r="D439" i="3"/>
  <c r="D846" i="3"/>
  <c r="D52" i="3"/>
  <c r="D89" i="3"/>
  <c r="D1004" i="3"/>
  <c r="D53" i="3"/>
  <c r="D597" i="3"/>
  <c r="D67" i="3"/>
  <c r="D1271" i="3"/>
  <c r="D1172" i="3"/>
  <c r="D1094" i="3"/>
  <c r="D1247" i="3"/>
  <c r="D679" i="3"/>
  <c r="D1319" i="3"/>
  <c r="D470" i="3"/>
  <c r="D619" i="3"/>
  <c r="D970" i="3"/>
  <c r="D203" i="3"/>
  <c r="D1471" i="3"/>
  <c r="D1126" i="3"/>
  <c r="D578" i="3"/>
  <c r="D246" i="3"/>
  <c r="D393" i="3"/>
  <c r="D318" i="3"/>
  <c r="D1234" i="3"/>
  <c r="D471" i="3"/>
  <c r="D1278" i="3"/>
  <c r="D230" i="3"/>
  <c r="D1335" i="3"/>
  <c r="D666" i="3"/>
  <c r="D344" i="3"/>
  <c r="D605" i="3"/>
  <c r="D1472" i="3"/>
  <c r="D427" i="3"/>
  <c r="D509" i="3"/>
  <c r="D775" i="3"/>
  <c r="D776" i="3"/>
  <c r="D563" i="3"/>
  <c r="D847" i="3"/>
  <c r="D606" i="3"/>
  <c r="D694" i="3"/>
  <c r="D1127" i="3"/>
  <c r="D1173" i="3"/>
  <c r="D1159" i="3"/>
  <c r="D454" i="3"/>
  <c r="D519" i="3"/>
  <c r="D1138" i="3"/>
  <c r="D1357" i="3"/>
  <c r="D498" i="3"/>
  <c r="D755" i="3"/>
  <c r="D823" i="3"/>
  <c r="D831" i="3"/>
  <c r="D204" i="3"/>
  <c r="D1370" i="3"/>
  <c r="D1043" i="3"/>
  <c r="D90" i="3"/>
  <c r="D1196" i="3"/>
  <c r="D1074" i="3"/>
  <c r="D180" i="3"/>
  <c r="D499" i="3"/>
  <c r="D1248" i="3"/>
  <c r="D1384" i="3"/>
  <c r="D394" i="3"/>
  <c r="D181" i="3"/>
  <c r="D1358" i="3"/>
  <c r="D1490" i="3"/>
  <c r="D1063" i="3"/>
  <c r="D68" i="3"/>
  <c r="D1320" i="3"/>
  <c r="D971" i="3"/>
  <c r="D247" i="3"/>
  <c r="D182" i="3"/>
  <c r="D1261" i="3"/>
  <c r="D374" i="3"/>
  <c r="D994" i="3"/>
  <c r="D848" i="3"/>
  <c r="D1160" i="3"/>
  <c r="D1491" i="3"/>
  <c r="D520" i="3"/>
  <c r="D12" i="3"/>
  <c r="D248" i="3"/>
  <c r="D740" i="3"/>
  <c r="D205" i="3"/>
  <c r="D711" i="3"/>
  <c r="D1015" i="3"/>
  <c r="D643" i="3"/>
  <c r="D972" i="3"/>
  <c r="D1336" i="3"/>
  <c r="D956" i="3"/>
  <c r="D472" i="3"/>
  <c r="D1321" i="3"/>
  <c r="D607" i="3"/>
  <c r="D183" i="3"/>
  <c r="D896" i="3"/>
  <c r="D411" i="3"/>
  <c r="D655" i="3"/>
  <c r="D1235" i="3"/>
  <c r="D319" i="3"/>
  <c r="D777" i="3"/>
  <c r="D579" i="3"/>
  <c r="D262" i="3"/>
  <c r="D375" i="3"/>
  <c r="D644" i="3"/>
  <c r="D866" i="3"/>
  <c r="D395" i="3"/>
  <c r="D231" i="3"/>
  <c r="D533" i="3"/>
  <c r="D69" i="3"/>
  <c r="D263" i="3"/>
  <c r="D1212" i="3"/>
  <c r="D91" i="3"/>
  <c r="D1492" i="3"/>
  <c r="D1095" i="3"/>
  <c r="D184" i="3"/>
  <c r="D1075" i="3"/>
  <c r="D1346" i="3"/>
  <c r="D620" i="3"/>
  <c r="D110" i="3"/>
  <c r="D1076" i="3"/>
  <c r="D129" i="3"/>
  <c r="D1305" i="3"/>
  <c r="D791" i="3"/>
  <c r="D1337" i="3"/>
  <c r="D1223" i="3"/>
  <c r="D290" i="3"/>
  <c r="D1224" i="3"/>
  <c r="D608" i="3"/>
  <c r="D645" i="3"/>
  <c r="D1111" i="3"/>
  <c r="D396" i="3"/>
  <c r="D521" i="3"/>
  <c r="D1279" i="3"/>
  <c r="D741" i="3"/>
  <c r="D130" i="3"/>
  <c r="D712" i="3"/>
  <c r="D1197" i="3"/>
  <c r="D897" i="3"/>
  <c r="D1174" i="3"/>
  <c r="D291" i="3"/>
  <c r="D376" i="3"/>
  <c r="D1198" i="3"/>
  <c r="D473" i="3"/>
  <c r="D807" i="3"/>
  <c r="D778" i="3"/>
  <c r="D564" i="3"/>
  <c r="D1044" i="3"/>
  <c r="D54" i="3"/>
  <c r="D163" i="3"/>
  <c r="D1096" i="3"/>
  <c r="D440" i="3"/>
  <c r="D1005" i="3"/>
  <c r="D206" i="3"/>
  <c r="D867" i="3"/>
  <c r="D70" i="3"/>
  <c r="D565" i="3"/>
  <c r="D71" i="3"/>
  <c r="D1385" i="3"/>
  <c r="D1432" i="3"/>
  <c r="D292" i="3"/>
  <c r="D328" i="3"/>
  <c r="D164" i="3"/>
  <c r="D1112" i="3"/>
  <c r="D1416" i="3"/>
  <c r="D1225" i="3"/>
  <c r="D808" i="3"/>
  <c r="D1338" i="3"/>
  <c r="D646" i="3"/>
  <c r="D72" i="3"/>
  <c r="D165" i="3"/>
  <c r="D566" i="3"/>
  <c r="D1262" i="3"/>
  <c r="D474" i="3"/>
  <c r="D1032" i="3"/>
  <c r="D1371" i="3"/>
  <c r="D680" i="3"/>
  <c r="D232" i="3"/>
  <c r="D957" i="3"/>
  <c r="D1417" i="3"/>
  <c r="D809" i="3"/>
  <c r="D824" i="3"/>
  <c r="D1452" i="3"/>
  <c r="D609" i="3"/>
  <c r="D377" i="3"/>
  <c r="D1493" i="3"/>
  <c r="D1405" i="3"/>
  <c r="D1453" i="3"/>
  <c r="D475" i="3"/>
  <c r="D580" i="3"/>
  <c r="D695" i="3"/>
  <c r="D1386" i="3"/>
  <c r="D880" i="3"/>
  <c r="D581" i="3"/>
  <c r="D1263" i="3"/>
  <c r="D293" i="3"/>
  <c r="D207" i="3"/>
  <c r="D832" i="3"/>
  <c r="D792" i="3"/>
  <c r="D378" i="3"/>
  <c r="D1236" i="3"/>
  <c r="D547" i="3"/>
  <c r="D724" i="3"/>
  <c r="D567" i="3"/>
  <c r="D111" i="3"/>
  <c r="D1213" i="3"/>
  <c r="D73" i="3"/>
  <c r="D621" i="3"/>
  <c r="D428" i="3"/>
  <c r="D13" i="3"/>
  <c r="D667" i="3"/>
  <c r="D958" i="3"/>
  <c r="D1387" i="3"/>
  <c r="D1433" i="3"/>
  <c r="D1226" i="3"/>
  <c r="D345" i="3"/>
  <c r="D1406" i="3"/>
  <c r="D582" i="3"/>
  <c r="D942" i="3"/>
  <c r="D249" i="3"/>
  <c r="D476" i="3"/>
  <c r="D429" i="3"/>
  <c r="D647" i="3"/>
  <c r="D1097" i="3"/>
  <c r="D793" i="3"/>
  <c r="D55" i="3"/>
  <c r="D943" i="3"/>
  <c r="D779" i="3"/>
  <c r="D1033" i="3"/>
  <c r="D281" i="3"/>
  <c r="D264" i="3"/>
  <c r="D598" i="3"/>
  <c r="D1454" i="3"/>
  <c r="D92" i="3"/>
  <c r="D1434" i="3"/>
  <c r="D1296" i="3"/>
  <c r="D166" i="3"/>
  <c r="D868" i="3"/>
  <c r="D1280" i="3"/>
  <c r="D306" i="3"/>
  <c r="D742" i="3"/>
  <c r="D849" i="3"/>
  <c r="D14" i="3"/>
  <c r="D995" i="3"/>
  <c r="D743" i="3"/>
  <c r="D794" i="3"/>
  <c r="D1359" i="3"/>
  <c r="D725" i="3"/>
  <c r="D648" i="3"/>
  <c r="D1347" i="3"/>
  <c r="D756" i="3"/>
  <c r="D250" i="3"/>
  <c r="D167" i="3"/>
  <c r="D510" i="3"/>
  <c r="D24" i="3"/>
  <c r="D1214" i="3"/>
  <c r="D833" i="3"/>
  <c r="D780" i="3"/>
  <c r="D1064" i="3"/>
  <c r="D834" i="3"/>
  <c r="D996" i="3"/>
  <c r="D500" i="3"/>
  <c r="D1215" i="3"/>
  <c r="D534" i="3"/>
  <c r="D918" i="3"/>
  <c r="D898" i="3"/>
  <c r="D56" i="3"/>
  <c r="D1272" i="3"/>
  <c r="D265" i="3"/>
  <c r="D1139" i="3"/>
  <c r="D1199" i="3"/>
  <c r="D1237" i="3"/>
  <c r="D346" i="3"/>
  <c r="D668" i="3"/>
  <c r="D233" i="3"/>
  <c r="D713" i="3"/>
  <c r="D781" i="3"/>
  <c r="D112" i="3"/>
  <c r="D997" i="3"/>
  <c r="D548" i="3"/>
  <c r="D973" i="3"/>
  <c r="D1113" i="3"/>
  <c r="D931" i="3"/>
  <c r="D549" i="3"/>
  <c r="D208" i="3"/>
  <c r="D168" i="3"/>
  <c r="D430" i="3"/>
  <c r="D599" i="3"/>
  <c r="D501" i="3"/>
  <c r="D347" i="3"/>
  <c r="D583" i="3"/>
  <c r="D1045" i="3"/>
  <c r="D584" i="3"/>
  <c r="D1388" i="3"/>
  <c r="D795" i="3"/>
  <c r="D1418" i="3"/>
  <c r="D1455" i="3"/>
  <c r="D696" i="3"/>
  <c r="D1077" i="3"/>
  <c r="D251" i="3"/>
  <c r="D131" i="3"/>
  <c r="D252" i="3"/>
  <c r="D74" i="3"/>
  <c r="D630" i="3"/>
  <c r="D1238" i="3"/>
  <c r="D825" i="3"/>
  <c r="D455" i="3"/>
  <c r="D1175" i="3"/>
  <c r="D1419" i="3"/>
  <c r="D1456" i="3"/>
  <c r="D656" i="3"/>
  <c r="D266" i="3"/>
  <c r="D657" i="3"/>
  <c r="D456" i="3"/>
  <c r="D1128" i="3"/>
  <c r="D294" i="3"/>
  <c r="D397" i="3"/>
  <c r="D757" i="3"/>
  <c r="D1273" i="3"/>
  <c r="D1322" i="3"/>
  <c r="D511" i="3"/>
  <c r="D522" i="3"/>
  <c r="D1249" i="3"/>
  <c r="D75" i="3"/>
  <c r="D1494" i="3"/>
  <c r="D146" i="3"/>
  <c r="D93" i="3"/>
  <c r="D1281" i="3"/>
  <c r="D1360" i="3"/>
  <c r="D1185" i="3"/>
  <c r="D959" i="3"/>
  <c r="D38" i="3"/>
  <c r="D329" i="3"/>
  <c r="D1065" i="3"/>
  <c r="D1078" i="3"/>
  <c r="D57" i="3"/>
  <c r="D1016" i="3"/>
  <c r="D209" i="3"/>
  <c r="D899" i="3"/>
  <c r="D441" i="3"/>
  <c r="D15" i="3"/>
  <c r="D1282" i="3"/>
  <c r="D810" i="3"/>
  <c r="D412" i="3"/>
  <c r="D585" i="3"/>
  <c r="D379" i="3"/>
  <c r="D631" i="3"/>
  <c r="D1297" i="3"/>
  <c r="D1150" i="3"/>
  <c r="D523" i="3"/>
  <c r="D974" i="3"/>
  <c r="D975" i="3"/>
  <c r="D295" i="3"/>
  <c r="D1389" i="3"/>
  <c r="D1339" i="3"/>
  <c r="D1017" i="3"/>
  <c r="D1006" i="3"/>
  <c r="D512" i="3"/>
  <c r="D1151" i="3"/>
  <c r="D796" i="3"/>
  <c r="D1034" i="3"/>
  <c r="D398" i="3"/>
  <c r="D758" i="3"/>
  <c r="D759" i="3"/>
  <c r="D477" i="3"/>
  <c r="D39" i="3"/>
  <c r="D399" i="3"/>
  <c r="D649" i="3"/>
  <c r="D94" i="3"/>
  <c r="D95" i="3"/>
  <c r="D881" i="3"/>
  <c r="D307" i="3"/>
  <c r="D76" i="3"/>
  <c r="D267" i="3"/>
  <c r="D681" i="3"/>
  <c r="D586" i="3"/>
  <c r="D330" i="3"/>
  <c r="D1274" i="3"/>
  <c r="D1435" i="3"/>
  <c r="D513" i="3"/>
  <c r="D58" i="3"/>
  <c r="D1390" i="3"/>
  <c r="D308" i="3"/>
  <c r="D442" i="3"/>
  <c r="D568" i="3"/>
  <c r="D147" i="3"/>
  <c r="D1361" i="3"/>
  <c r="D760" i="3"/>
  <c r="D1046" i="3"/>
  <c r="D587" i="3"/>
  <c r="D1186" i="3"/>
  <c r="D1436" i="3"/>
  <c r="D1018" i="3"/>
  <c r="D811" i="3"/>
  <c r="D16" i="3"/>
  <c r="D431" i="3"/>
  <c r="D960" i="3"/>
  <c r="D210" i="3"/>
  <c r="D96" i="3"/>
  <c r="D1372" i="3"/>
  <c r="D1407" i="3"/>
  <c r="D1250" i="3"/>
  <c r="D976" i="3"/>
  <c r="D726" i="3"/>
  <c r="D1047" i="3"/>
  <c r="D1200" i="3"/>
  <c r="D331" i="3"/>
  <c r="D268" i="3"/>
  <c r="D1201" i="3"/>
  <c r="D1348" i="3"/>
  <c r="D332" i="3"/>
  <c r="D113" i="3"/>
  <c r="D1161" i="3"/>
  <c r="D850" i="3"/>
  <c r="D1079" i="3"/>
  <c r="D1152" i="3"/>
  <c r="D1216" i="3"/>
  <c r="D1176" i="3"/>
  <c r="D1048" i="3"/>
  <c r="D59" i="3"/>
  <c r="D77" i="3"/>
  <c r="D514" i="3"/>
  <c r="D714" i="3"/>
  <c r="D234" i="3"/>
  <c r="D348" i="3"/>
  <c r="D550" i="3"/>
  <c r="D919" i="3"/>
  <c r="D132" i="3"/>
  <c r="D432" i="3"/>
  <c r="D114" i="3"/>
  <c r="D1457" i="3"/>
  <c r="D1323" i="3"/>
  <c r="D961" i="3"/>
  <c r="D1437" i="3"/>
  <c r="D97" i="3"/>
  <c r="D1153" i="3"/>
  <c r="D900" i="3"/>
  <c r="D1473" i="3"/>
  <c r="D1264" i="3"/>
  <c r="D1098" i="3"/>
  <c r="D797" i="3"/>
  <c r="D882" i="3"/>
  <c r="D40" i="3"/>
  <c r="D1438" i="3"/>
  <c r="D115" i="3"/>
  <c r="D1227" i="3"/>
  <c r="D1458" i="3"/>
  <c r="D727" i="3"/>
  <c r="D253" i="3"/>
  <c r="D1474" i="3"/>
  <c r="D658" i="3"/>
  <c r="D1306" i="3"/>
  <c r="D1373" i="3"/>
  <c r="D1187" i="3"/>
  <c r="D1459" i="3"/>
  <c r="D1049" i="3"/>
  <c r="D1391" i="3"/>
  <c r="D977" i="3"/>
  <c r="D478" i="3"/>
  <c r="D98" i="3"/>
  <c r="D1140" i="3"/>
  <c r="D1251" i="3"/>
  <c r="D524" i="3"/>
  <c r="D1239" i="3"/>
  <c r="D901" i="3"/>
  <c r="D1019" i="3"/>
  <c r="D622" i="3"/>
  <c r="D669" i="3"/>
  <c r="D235" i="3"/>
  <c r="D1228" i="3"/>
  <c r="D148" i="3"/>
  <c r="D25" i="3"/>
  <c r="D349" i="3"/>
  <c r="D835" i="3"/>
  <c r="D632" i="3"/>
  <c r="D380" i="3"/>
  <c r="D633" i="3"/>
  <c r="D1020" i="3"/>
  <c r="D282" i="3"/>
  <c r="D1362" i="3"/>
  <c r="D149" i="3"/>
  <c r="D400" i="3"/>
  <c r="D920" i="3"/>
  <c r="D283" i="3"/>
  <c r="D1099" i="3"/>
  <c r="D1021" i="3"/>
  <c r="D1298" i="3"/>
  <c r="D836" i="3"/>
  <c r="D1007" i="3"/>
  <c r="D1439" i="3"/>
  <c r="D17" i="3"/>
  <c r="D921" i="3"/>
  <c r="D185" i="3"/>
  <c r="D41" i="3"/>
  <c r="D902" i="3"/>
  <c r="D1162" i="3"/>
  <c r="D1475" i="3"/>
  <c r="D1202" i="3"/>
  <c r="D1374" i="3"/>
  <c r="D413" i="3"/>
  <c r="D903" i="3"/>
  <c r="D133" i="3"/>
  <c r="D798" i="3"/>
  <c r="D116" i="3"/>
  <c r="D812" i="3"/>
  <c r="D569" i="3"/>
  <c r="D1080" i="3"/>
  <c r="D1324" i="3"/>
  <c r="D998" i="3"/>
  <c r="D134" i="3"/>
  <c r="D42" i="3"/>
  <c r="D1188" i="3"/>
  <c r="D922" i="3"/>
  <c r="D254" i="3"/>
  <c r="D169" i="3"/>
  <c r="D333" i="3"/>
  <c r="D1299" i="3"/>
  <c r="D1163" i="3"/>
  <c r="D1476" i="3"/>
  <c r="D1154" i="3"/>
  <c r="D1240" i="3"/>
  <c r="D728" i="3"/>
  <c r="D457" i="3"/>
  <c r="D932" i="3"/>
  <c r="D944" i="3"/>
  <c r="D43" i="3"/>
  <c r="D150" i="3"/>
  <c r="D1035" i="3"/>
  <c r="D334" i="3"/>
  <c r="D945" i="3"/>
  <c r="D634" i="3"/>
  <c r="D414" i="3"/>
  <c r="D883" i="3"/>
  <c r="D851" i="3"/>
  <c r="D799" i="3"/>
  <c r="D1100" i="3"/>
  <c r="D117" i="3"/>
  <c r="D18" i="3"/>
  <c r="D309" i="3"/>
  <c r="D525" i="3"/>
  <c r="D1081" i="3"/>
  <c r="D236" i="3"/>
  <c r="D1300" i="3"/>
  <c r="D1392" i="3"/>
  <c r="D1375" i="3"/>
  <c r="D1082" i="3"/>
  <c r="D670" i="3"/>
  <c r="D659" i="3"/>
  <c r="D904" i="3"/>
  <c r="D978" i="3"/>
  <c r="D715" i="3"/>
  <c r="D237" i="3"/>
  <c r="D284" i="3"/>
  <c r="D1265" i="3"/>
  <c r="D458" i="3"/>
  <c r="D1283" i="3"/>
  <c r="D535" i="3"/>
  <c r="D320" i="3"/>
  <c r="D1495" i="3"/>
  <c r="D186" i="3"/>
  <c r="D364" i="3"/>
  <c r="D744" i="3"/>
  <c r="D310" i="3"/>
  <c r="D269" i="3"/>
  <c r="D151" i="3"/>
  <c r="D745" i="3"/>
  <c r="D1141" i="3"/>
  <c r="D716" i="3"/>
  <c r="D729" i="3"/>
  <c r="D1177" i="3"/>
  <c r="D1284" i="3"/>
  <c r="D1477" i="3"/>
  <c r="D697" i="3"/>
  <c r="D1083" i="3"/>
  <c r="D660" i="3"/>
  <c r="D869" i="3"/>
  <c r="D479" i="3"/>
  <c r="D746" i="3"/>
  <c r="D1285" i="3"/>
  <c r="D923" i="3"/>
  <c r="D401" i="3"/>
  <c r="D730" i="3"/>
  <c r="D837" i="3"/>
  <c r="D1307" i="3"/>
  <c r="D1308" i="3"/>
  <c r="D661" i="3"/>
  <c r="D1340" i="3"/>
  <c r="D826" i="3"/>
  <c r="D1217" i="3"/>
  <c r="D1325" i="3"/>
  <c r="D152" i="3"/>
  <c r="D443" i="3"/>
  <c r="D1129" i="3"/>
  <c r="D671" i="3"/>
  <c r="D1349" i="3"/>
  <c r="D1440" i="3"/>
  <c r="D211" i="3"/>
  <c r="D78" i="3"/>
  <c r="D610" i="3"/>
  <c r="D1203" i="3"/>
  <c r="D1420" i="3"/>
  <c r="D135" i="3"/>
  <c r="D782" i="3"/>
  <c r="D551" i="3"/>
  <c r="D212" i="3"/>
  <c r="D731" i="3"/>
  <c r="D26" i="3"/>
  <c r="D19" i="3"/>
  <c r="D933" i="3"/>
  <c r="D238" i="3"/>
  <c r="D365" i="3"/>
  <c r="D335" i="3"/>
  <c r="D672" i="3"/>
  <c r="D884" i="3"/>
  <c r="D1266" i="3"/>
  <c r="D1008" i="3"/>
  <c r="D1496" i="3"/>
  <c r="D480" i="3"/>
  <c r="D270" i="3"/>
  <c r="D526" i="3"/>
  <c r="D366" i="3"/>
  <c r="D1350" i="3"/>
  <c r="D1441" i="3"/>
  <c r="D1326" i="3"/>
  <c r="D136" i="3"/>
  <c r="D1218" i="3"/>
  <c r="D1036" i="3"/>
  <c r="D381" i="3"/>
  <c r="D1130" i="3"/>
  <c r="D187" i="3"/>
  <c r="D527" i="3"/>
  <c r="D1066" i="3"/>
  <c r="D536" i="3"/>
  <c r="D979" i="3"/>
  <c r="D1341" i="3"/>
  <c r="D382" i="3"/>
  <c r="D570" i="3"/>
  <c r="D239" i="3"/>
  <c r="D552" i="3"/>
  <c r="D118" i="3"/>
  <c r="D1421" i="3"/>
  <c r="D813" i="3"/>
  <c r="D1164" i="3"/>
  <c r="D27" i="3"/>
  <c r="D240" i="3"/>
  <c r="D600" i="3"/>
  <c r="D415" i="3"/>
  <c r="D885" i="3"/>
  <c r="D213" i="3"/>
  <c r="D99" i="3"/>
  <c r="D682" i="3"/>
  <c r="D28" i="3"/>
  <c r="D698" i="3"/>
  <c r="D924" i="3"/>
  <c r="D1393" i="3"/>
  <c r="D673" i="3"/>
  <c r="D1478" i="3"/>
  <c r="D1376" i="3"/>
  <c r="D1084" i="3"/>
  <c r="D732" i="3"/>
  <c r="D1351" i="3"/>
  <c r="D537" i="3"/>
  <c r="D761" i="3"/>
  <c r="D1377" i="3"/>
  <c r="D444" i="3"/>
  <c r="D416" i="3"/>
  <c r="D1286" i="3"/>
  <c r="D1189" i="3"/>
  <c r="D623" i="3"/>
  <c r="D417" i="3"/>
  <c r="D588" i="3"/>
  <c r="D1085" i="3"/>
  <c r="D79" i="3"/>
  <c r="D80" i="3"/>
  <c r="D20" i="3"/>
  <c r="D611" i="3"/>
  <c r="D402" i="3"/>
  <c r="D153" i="3"/>
  <c r="D1479" i="3"/>
  <c r="D515" i="3"/>
  <c r="D962" i="3"/>
  <c r="D800" i="3"/>
  <c r="D481" i="3"/>
  <c r="D1497" i="3"/>
  <c r="D255" i="3"/>
  <c r="D946" i="3"/>
  <c r="D980" i="3"/>
  <c r="D1142" i="3"/>
  <c r="D814" i="3"/>
  <c r="D154" i="3"/>
  <c r="D601" i="3"/>
  <c r="D925" i="3"/>
  <c r="D445" i="3"/>
  <c r="D1086" i="3"/>
  <c r="D635" i="3"/>
  <c r="D612" i="3"/>
  <c r="D1442" i="3"/>
  <c r="D1480" i="3"/>
  <c r="D137" i="3"/>
  <c r="D188" i="3"/>
  <c r="D1067" i="3"/>
  <c r="D1498" i="3"/>
  <c r="D29" i="3"/>
  <c r="D852" i="3"/>
  <c r="D963" i="3"/>
  <c r="D624" i="3"/>
  <c r="D100" i="3"/>
  <c r="D189" i="3"/>
  <c r="D418" i="3"/>
  <c r="D1155" i="3"/>
  <c r="D683" i="3"/>
  <c r="D1481" i="3"/>
  <c r="D1114" i="3"/>
  <c r="D964" i="3"/>
  <c r="D981" i="3"/>
  <c r="D101" i="3"/>
  <c r="D636" i="3"/>
  <c r="D674" i="3"/>
  <c r="D482" i="3"/>
  <c r="D256" i="3"/>
  <c r="D699" i="3"/>
  <c r="D1241" i="3"/>
  <c r="D886" i="3"/>
  <c r="D1482" i="3"/>
  <c r="D1287" i="3"/>
  <c r="D1165" i="3"/>
  <c r="D905" i="3"/>
  <c r="D271" i="3"/>
  <c r="D419" i="3"/>
  <c r="D1408" i="3"/>
  <c r="D733" i="3"/>
  <c r="D403" i="3"/>
  <c r="D257" i="3"/>
  <c r="D538" i="3"/>
  <c r="D539" i="3"/>
  <c r="D827" i="3"/>
  <c r="D1483" i="3"/>
  <c r="D1422" i="3"/>
  <c r="D684" i="3"/>
  <c r="D1499" i="3"/>
  <c r="D516" i="3"/>
  <c r="D815" i="3"/>
  <c r="D1500" i="3"/>
  <c r="D906" i="3"/>
  <c r="D907" i="3"/>
  <c r="D214" i="3"/>
  <c r="D717" i="3"/>
  <c r="D662" i="3"/>
  <c r="D1342" i="3"/>
  <c r="D838" i="3"/>
  <c r="D119" i="3"/>
  <c r="D571" i="3"/>
  <c r="D870" i="3"/>
  <c r="D350" i="3"/>
  <c r="D1204" i="3"/>
  <c r="D982" i="3"/>
  <c r="D908" i="3"/>
  <c r="D155" i="3"/>
  <c r="D675" i="3"/>
  <c r="D734" i="3"/>
  <c r="D483" i="3"/>
  <c r="D1460" i="3"/>
  <c r="D1267" i="3"/>
  <c r="D934" i="3"/>
  <c r="D1037" i="3"/>
  <c r="D1252" i="3"/>
  <c r="D1461" i="3"/>
  <c r="D420" i="3"/>
  <c r="D935" i="3"/>
  <c r="D1288" i="3"/>
  <c r="D1394" i="3"/>
  <c r="D1205" i="3"/>
  <c r="D367" i="3"/>
  <c r="D102" i="3"/>
  <c r="D947" i="3"/>
  <c r="D602" i="3"/>
  <c r="D589" i="3"/>
  <c r="D421" i="3"/>
  <c r="D1022" i="3"/>
  <c r="D404" i="3"/>
  <c r="D44" i="3"/>
  <c r="D311" i="3"/>
  <c r="D839" i="3"/>
  <c r="D540" i="3"/>
  <c r="D30" i="3"/>
  <c r="D553" i="3"/>
  <c r="D983" i="3"/>
  <c r="D613" i="3"/>
  <c r="D1363" i="3"/>
  <c r="D871" i="3"/>
  <c r="D1289" i="3"/>
  <c r="D312" i="3"/>
  <c r="D735" i="3"/>
  <c r="D1050" i="3"/>
  <c r="D272" i="3"/>
  <c r="D1115" i="3"/>
  <c r="D296" i="3"/>
  <c r="D625" i="3"/>
  <c r="D484" i="3"/>
  <c r="D1501" i="3"/>
  <c r="D1462" i="3"/>
  <c r="D747" i="3"/>
  <c r="D1309" i="3"/>
  <c r="D1023" i="3"/>
  <c r="D762" i="3"/>
  <c r="D215" i="3"/>
  <c r="D853" i="3"/>
  <c r="D313" i="3"/>
  <c r="D1101" i="3"/>
  <c r="D1009" i="3"/>
  <c r="D554" i="3"/>
  <c r="D887" i="3"/>
  <c r="D854" i="3"/>
  <c r="D801" i="3"/>
  <c r="D816" i="3"/>
  <c r="D459" i="3"/>
  <c r="D190" i="3"/>
  <c r="D241" i="3"/>
  <c r="D855" i="3"/>
  <c r="D1268" i="3"/>
  <c r="D700" i="3"/>
  <c r="D1310" i="3"/>
  <c r="D351" i="3"/>
  <c r="D216" i="3"/>
  <c r="D936" i="3"/>
  <c r="D1343" i="3"/>
  <c r="D1364" i="3"/>
  <c r="D352" i="3"/>
  <c r="D637" i="3"/>
  <c r="D353" i="3"/>
  <c r="D1409" i="3"/>
  <c r="D1087" i="3"/>
  <c r="D763" i="3"/>
  <c r="D926" i="3"/>
  <c r="D802" i="3"/>
  <c r="D1327" i="3"/>
  <c r="D191" i="3"/>
  <c r="D663" i="3"/>
  <c r="D1178" i="3"/>
  <c r="D170" i="3"/>
  <c r="D368" i="3"/>
  <c r="D1024" i="3"/>
  <c r="D828" i="3"/>
  <c r="D1395" i="3"/>
  <c r="D984" i="3"/>
  <c r="D927" i="3"/>
  <c r="E856" i="3"/>
  <c r="E555" i="3"/>
  <c r="E258" i="3"/>
  <c r="E1051" i="3"/>
  <c r="E1156" i="3"/>
  <c r="E783" i="3"/>
  <c r="E1484" i="3"/>
  <c r="E1253" i="3"/>
  <c r="E685" i="3"/>
  <c r="E764" i="3"/>
  <c r="E2" i="3"/>
  <c r="E626" i="3"/>
  <c r="E433" i="3"/>
  <c r="E528" i="3"/>
  <c r="E285" i="3"/>
  <c r="E999" i="3"/>
  <c r="E45" i="3"/>
  <c r="E686" i="3"/>
  <c r="E446" i="3"/>
  <c r="E447" i="3"/>
  <c r="E1328" i="3"/>
  <c r="E1352" i="3"/>
  <c r="E1301" i="3"/>
  <c r="E765" i="3"/>
  <c r="E21" i="3"/>
  <c r="E701" i="3"/>
  <c r="E103" i="3"/>
  <c r="E1206" i="3"/>
  <c r="E1344" i="3"/>
  <c r="E888" i="3"/>
  <c r="E603" i="3"/>
  <c r="E1229" i="3"/>
  <c r="E336" i="3"/>
  <c r="E614" i="3"/>
  <c r="E1025" i="3"/>
  <c r="E1230" i="3"/>
  <c r="E541" i="3"/>
  <c r="E766" i="3"/>
  <c r="E460" i="3"/>
  <c r="E872" i="3"/>
  <c r="E676" i="3"/>
  <c r="E138" i="3"/>
  <c r="E702" i="3"/>
  <c r="E314" i="3"/>
  <c r="E1275" i="3"/>
  <c r="E1088" i="3"/>
  <c r="E1052" i="3"/>
  <c r="E3" i="3"/>
  <c r="E171" i="3"/>
  <c r="E937" i="3"/>
  <c r="E354" i="3"/>
  <c r="E217" i="3"/>
  <c r="E461" i="3"/>
  <c r="E192" i="3"/>
  <c r="E938" i="3"/>
  <c r="E784" i="3"/>
  <c r="E337" i="3"/>
  <c r="E803" i="3"/>
  <c r="E172" i="3"/>
  <c r="E985" i="3"/>
  <c r="E104" i="3"/>
  <c r="E462" i="3"/>
  <c r="E1231" i="3"/>
  <c r="E463" i="3"/>
  <c r="E1290" i="3"/>
  <c r="E485" i="3"/>
  <c r="E857" i="3"/>
  <c r="E120" i="3"/>
  <c r="E1010" i="3"/>
  <c r="E1443" i="3"/>
  <c r="E1131" i="3"/>
  <c r="E405" i="3"/>
  <c r="E1143" i="3"/>
  <c r="E590" i="3"/>
  <c r="E355" i="3"/>
  <c r="E383" i="3"/>
  <c r="E1116" i="3"/>
  <c r="E767" i="3"/>
  <c r="E1117" i="3"/>
  <c r="E873" i="3"/>
  <c r="E785" i="3"/>
  <c r="E948" i="3"/>
  <c r="E748" i="3"/>
  <c r="E464" i="3"/>
  <c r="E1311" i="3"/>
  <c r="E1444" i="3"/>
  <c r="E1269" i="3"/>
  <c r="E1166" i="3"/>
  <c r="E1219" i="3"/>
  <c r="E1312" i="3"/>
  <c r="E4" i="3"/>
  <c r="E1102" i="3"/>
  <c r="E286" i="3"/>
  <c r="E287" i="3"/>
  <c r="E965" i="3"/>
  <c r="E1026" i="3"/>
  <c r="E1463" i="3"/>
  <c r="E502" i="3"/>
  <c r="E1179" i="3"/>
  <c r="E986" i="3"/>
  <c r="E858" i="3"/>
  <c r="E1464" i="3"/>
  <c r="E486" i="3"/>
  <c r="E591" i="3"/>
  <c r="E1445" i="3"/>
  <c r="E638" i="3"/>
  <c r="E121" i="3"/>
  <c r="E1353" i="3"/>
  <c r="E422" i="3"/>
  <c r="E1485" i="3"/>
  <c r="E615" i="3"/>
  <c r="E1027" i="3"/>
  <c r="E1423" i="3"/>
  <c r="E859" i="3"/>
  <c r="E173" i="3"/>
  <c r="E939" i="3"/>
  <c r="E139" i="3"/>
  <c r="E860" i="3"/>
  <c r="E487" i="3"/>
  <c r="E321" i="3"/>
  <c r="E384" i="3"/>
  <c r="E1242" i="3"/>
  <c r="E804" i="3"/>
  <c r="E1068" i="3"/>
  <c r="E1089" i="3"/>
  <c r="E140" i="3"/>
  <c r="E105" i="3"/>
  <c r="E1446" i="3"/>
  <c r="E718" i="3"/>
  <c r="E488" i="3"/>
  <c r="E31" i="3"/>
  <c r="E1378" i="3"/>
  <c r="E1486" i="3"/>
  <c r="E703" i="3"/>
  <c r="E322" i="3"/>
  <c r="E572" i="3"/>
  <c r="E338" i="3"/>
  <c r="E1144" i="3"/>
  <c r="E966" i="3"/>
  <c r="E1465" i="3"/>
  <c r="E1000" i="3"/>
  <c r="E1329" i="3"/>
  <c r="E967" i="3"/>
  <c r="E949" i="3"/>
  <c r="E339" i="3"/>
  <c r="E1069" i="3"/>
  <c r="E909" i="3"/>
  <c r="E829" i="3"/>
  <c r="E1254" i="3"/>
  <c r="E1424" i="3"/>
  <c r="E650" i="3"/>
  <c r="E987" i="3"/>
  <c r="E369" i="3"/>
  <c r="E1396" i="3"/>
  <c r="E406" i="3"/>
  <c r="E356" i="3"/>
  <c r="E749" i="3"/>
  <c r="E517" i="3"/>
  <c r="E1466" i="3"/>
  <c r="E910" i="3"/>
  <c r="E840" i="3"/>
  <c r="E218" i="3"/>
  <c r="E448" i="3"/>
  <c r="E81" i="3"/>
  <c r="E407" i="3"/>
  <c r="E1365" i="3"/>
  <c r="E219" i="3"/>
  <c r="E1167" i="3"/>
  <c r="E220" i="3"/>
  <c r="E1207" i="3"/>
  <c r="E122" i="3"/>
  <c r="E639" i="3"/>
  <c r="E315" i="3"/>
  <c r="E988" i="3"/>
  <c r="E1232" i="3"/>
  <c r="E786" i="3"/>
  <c r="E385" i="3"/>
  <c r="E297" i="3"/>
  <c r="E1053" i="3"/>
  <c r="E156" i="3"/>
  <c r="E736" i="3"/>
  <c r="E174" i="3"/>
  <c r="E640" i="3"/>
  <c r="E465" i="3"/>
  <c r="E273" i="3"/>
  <c r="E874" i="3"/>
  <c r="E466" i="3"/>
  <c r="E1330" i="3"/>
  <c r="E1255" i="3"/>
  <c r="E274" i="3"/>
  <c r="E408" i="3"/>
  <c r="E46" i="3"/>
  <c r="E1180" i="3"/>
  <c r="E704" i="3"/>
  <c r="E1379" i="3"/>
  <c r="E1256" i="3"/>
  <c r="E651" i="3"/>
  <c r="E841" i="3"/>
  <c r="E889" i="3"/>
  <c r="E175" i="3"/>
  <c r="E5" i="3"/>
  <c r="E489" i="3"/>
  <c r="E1467" i="3"/>
  <c r="E503" i="3"/>
  <c r="E1331" i="3"/>
  <c r="E386" i="3"/>
  <c r="E1190" i="3"/>
  <c r="E1354" i="3"/>
  <c r="E1313" i="3"/>
  <c r="E950" i="3"/>
  <c r="E1314" i="3"/>
  <c r="E1145" i="3"/>
  <c r="E1355" i="3"/>
  <c r="E490" i="3"/>
  <c r="E82" i="3"/>
  <c r="E1103" i="3"/>
  <c r="E357" i="3"/>
  <c r="E259" i="3"/>
  <c r="E491" i="3"/>
  <c r="E677" i="3"/>
  <c r="E32" i="3"/>
  <c r="E423" i="3"/>
  <c r="E1070" i="3"/>
  <c r="E1243" i="3"/>
  <c r="E22" i="3"/>
  <c r="E1191" i="3"/>
  <c r="E1208" i="3"/>
  <c r="E928" i="3"/>
  <c r="E1366" i="3"/>
  <c r="E1181" i="3"/>
  <c r="E573" i="3"/>
  <c r="E83" i="3"/>
  <c r="E1233" i="3"/>
  <c r="E193" i="3"/>
  <c r="E194" i="3"/>
  <c r="E1447" i="3"/>
  <c r="E504" i="3"/>
  <c r="E1054" i="3"/>
  <c r="E890" i="3"/>
  <c r="E556" i="3"/>
  <c r="E1146" i="3"/>
  <c r="E1397" i="3"/>
  <c r="E1410" i="3"/>
  <c r="E1090" i="3"/>
  <c r="E911" i="3"/>
  <c r="E242" i="3"/>
  <c r="E1425" i="3"/>
  <c r="E719" i="3"/>
  <c r="E449" i="3"/>
  <c r="E1118" i="3"/>
  <c r="E768" i="3"/>
  <c r="E340" i="3"/>
  <c r="E298" i="3"/>
  <c r="E288" i="3"/>
  <c r="E678" i="3"/>
  <c r="E47" i="3"/>
  <c r="E951" i="3"/>
  <c r="E542" i="3"/>
  <c r="E195" i="3"/>
  <c r="E299" i="3"/>
  <c r="E529" i="3"/>
  <c r="E221" i="3"/>
  <c r="E467" i="3"/>
  <c r="E1315" i="3"/>
  <c r="E1244" i="3"/>
  <c r="E1291" i="3"/>
  <c r="E358" i="3"/>
  <c r="E289" i="3"/>
  <c r="E787" i="3"/>
  <c r="E84" i="3"/>
  <c r="E106" i="3"/>
  <c r="E1028" i="3"/>
  <c r="E1209" i="3"/>
  <c r="E1038" i="3"/>
  <c r="E705" i="3"/>
  <c r="E316" i="3"/>
  <c r="E574" i="3"/>
  <c r="E687" i="3"/>
  <c r="E1011" i="3"/>
  <c r="E817" i="3"/>
  <c r="E85" i="3"/>
  <c r="E1316" i="3"/>
  <c r="E688" i="3"/>
  <c r="E359" i="3"/>
  <c r="E1039" i="3"/>
  <c r="E912" i="3"/>
  <c r="E222" i="3"/>
  <c r="E243" i="3"/>
  <c r="E1055" i="3"/>
  <c r="E750" i="3"/>
  <c r="E842" i="3"/>
  <c r="E1317" i="3"/>
  <c r="E1257" i="3"/>
  <c r="E275" i="3"/>
  <c r="E1192" i="3"/>
  <c r="E244" i="3"/>
  <c r="E33" i="3"/>
  <c r="E706" i="3"/>
  <c r="E707" i="3"/>
  <c r="E1157" i="3"/>
  <c r="E616" i="3"/>
  <c r="E34" i="3"/>
  <c r="E424" i="3"/>
  <c r="E737" i="3"/>
  <c r="E788" i="3"/>
  <c r="E1380" i="3"/>
  <c r="E176" i="3"/>
  <c r="E1332" i="3"/>
  <c r="E1119" i="3"/>
  <c r="E664" i="3"/>
  <c r="E323" i="3"/>
  <c r="E769" i="3"/>
  <c r="E1056" i="3"/>
  <c r="E1132" i="3"/>
  <c r="E557" i="3"/>
  <c r="E223" i="3"/>
  <c r="E627" i="3"/>
  <c r="E891" i="3"/>
  <c r="E913" i="3"/>
  <c r="E1168" i="3"/>
  <c r="E592" i="3"/>
  <c r="E558" i="3"/>
  <c r="E1193" i="3"/>
  <c r="E86" i="3"/>
  <c r="E952" i="3"/>
  <c r="E434" i="3"/>
  <c r="E177" i="3"/>
  <c r="E617" i="3"/>
  <c r="E1104" i="3"/>
  <c r="E224" i="3"/>
  <c r="E559" i="3"/>
  <c r="E892" i="3"/>
  <c r="E360" i="3"/>
  <c r="E1182" i="3"/>
  <c r="E893" i="3"/>
  <c r="E60" i="3"/>
  <c r="E317" i="3"/>
  <c r="E1448" i="3"/>
  <c r="E35" i="3"/>
  <c r="E708" i="3"/>
  <c r="E1258" i="3"/>
  <c r="E843" i="3"/>
  <c r="E276" i="3"/>
  <c r="E260" i="3"/>
  <c r="E61" i="3"/>
  <c r="E107" i="3"/>
  <c r="E341" i="3"/>
  <c r="E1057" i="3"/>
  <c r="E689" i="3"/>
  <c r="E1105" i="3"/>
  <c r="E875" i="3"/>
  <c r="E1426" i="3"/>
  <c r="E989" i="3"/>
  <c r="E914" i="3"/>
  <c r="E23" i="3"/>
  <c r="E1259" i="3"/>
  <c r="E720" i="3"/>
  <c r="E953" i="3"/>
  <c r="E196" i="3"/>
  <c r="E300" i="3"/>
  <c r="E141" i="3"/>
  <c r="E560" i="3"/>
  <c r="E450" i="3"/>
  <c r="E593" i="3"/>
  <c r="E1356" i="3"/>
  <c r="E36" i="3"/>
  <c r="E505" i="3"/>
  <c r="E1427" i="3"/>
  <c r="E770" i="3"/>
  <c r="E123" i="3"/>
  <c r="E954" i="3"/>
  <c r="E124" i="3"/>
  <c r="E1106" i="3"/>
  <c r="E277" i="3"/>
  <c r="E1071" i="3"/>
  <c r="E1333" i="3"/>
  <c r="E915" i="3"/>
  <c r="E6" i="3"/>
  <c r="E861" i="3"/>
  <c r="E451" i="3"/>
  <c r="E575" i="3"/>
  <c r="E435" i="3"/>
  <c r="E771" i="3"/>
  <c r="E1040" i="3"/>
  <c r="E197" i="3"/>
  <c r="E370" i="3"/>
  <c r="E1468" i="3"/>
  <c r="E543" i="3"/>
  <c r="E530" i="3"/>
  <c r="E157" i="3"/>
  <c r="E301" i="3"/>
  <c r="E665" i="3"/>
  <c r="E198" i="3"/>
  <c r="E62" i="3"/>
  <c r="E1245" i="3"/>
  <c r="E738" i="3"/>
  <c r="E225" i="3"/>
  <c r="E199" i="3"/>
  <c r="E628" i="3"/>
  <c r="E302" i="3"/>
  <c r="E361" i="3"/>
  <c r="E1147" i="3"/>
  <c r="E492" i="3"/>
  <c r="E1449" i="3"/>
  <c r="E48" i="3"/>
  <c r="E200" i="3"/>
  <c r="E1398" i="3"/>
  <c r="E1276" i="3"/>
  <c r="E1399" i="3"/>
  <c r="E387" i="3"/>
  <c r="E1133" i="3"/>
  <c r="E493" i="3"/>
  <c r="E576" i="3"/>
  <c r="E1411" i="3"/>
  <c r="E844" i="3"/>
  <c r="E916" i="3"/>
  <c r="E303" i="3"/>
  <c r="E690" i="3"/>
  <c r="E1183" i="3"/>
  <c r="E388" i="3"/>
  <c r="E342" i="3"/>
  <c r="E1292" i="3"/>
  <c r="E304" i="3"/>
  <c r="E789" i="3"/>
  <c r="E1246" i="3"/>
  <c r="E1220" i="3"/>
  <c r="E652" i="3"/>
  <c r="E594" i="3"/>
  <c r="E87" i="3"/>
  <c r="E371" i="3"/>
  <c r="E158" i="3"/>
  <c r="E917" i="3"/>
  <c r="E772" i="3"/>
  <c r="E49" i="3"/>
  <c r="E1260" i="3"/>
  <c r="E894" i="3"/>
  <c r="E1169" i="3"/>
  <c r="E544" i="3"/>
  <c r="E1381" i="3"/>
  <c r="E1091" i="3"/>
  <c r="E561" i="3"/>
  <c r="E1293" i="3"/>
  <c r="E178" i="3"/>
  <c r="E494" i="3"/>
  <c r="E641" i="3"/>
  <c r="E1318" i="3"/>
  <c r="E653" i="3"/>
  <c r="E1134" i="3"/>
  <c r="E1058" i="3"/>
  <c r="E642" i="3"/>
  <c r="E125" i="3"/>
  <c r="E691" i="3"/>
  <c r="E709" i="3"/>
  <c r="E159" i="3"/>
  <c r="E108" i="3"/>
  <c r="E109" i="3"/>
  <c r="E1120" i="3"/>
  <c r="E1277" i="3"/>
  <c r="E126" i="3"/>
  <c r="E595" i="3"/>
  <c r="E1029" i="3"/>
  <c r="E1135" i="3"/>
  <c r="E63" i="3"/>
  <c r="E278" i="3"/>
  <c r="E818" i="3"/>
  <c r="E1059" i="3"/>
  <c r="E751" i="3"/>
  <c r="E1450" i="3"/>
  <c r="E1345" i="3"/>
  <c r="E518" i="3"/>
  <c r="E1400" i="3"/>
  <c r="E1170" i="3"/>
  <c r="E1030" i="3"/>
  <c r="E773" i="3"/>
  <c r="E452" i="3"/>
  <c r="E929" i="3"/>
  <c r="E1092" i="3"/>
  <c r="E805" i="3"/>
  <c r="E990" i="3"/>
  <c r="E1294" i="3"/>
  <c r="E790" i="3"/>
  <c r="E160" i="3"/>
  <c r="E362" i="3"/>
  <c r="E895" i="3"/>
  <c r="E692" i="3"/>
  <c r="E1194" i="3"/>
  <c r="E226" i="3"/>
  <c r="E968" i="3"/>
  <c r="E1012" i="3"/>
  <c r="E495" i="3"/>
  <c r="E577" i="3"/>
  <c r="E862" i="3"/>
  <c r="E468" i="3"/>
  <c r="E562" i="3"/>
  <c r="E991" i="3"/>
  <c r="E1428" i="3"/>
  <c r="E409" i="3"/>
  <c r="E830" i="3"/>
  <c r="E1270" i="3"/>
  <c r="E1093" i="3"/>
  <c r="E64" i="3"/>
  <c r="E1107" i="3"/>
  <c r="E127" i="3"/>
  <c r="E1121" i="3"/>
  <c r="E710" i="3"/>
  <c r="E940" i="3"/>
  <c r="E531" i="3"/>
  <c r="E1210" i="3"/>
  <c r="E1108" i="3"/>
  <c r="E161" i="3"/>
  <c r="E50" i="3"/>
  <c r="E819" i="3"/>
  <c r="E545" i="3"/>
  <c r="E876" i="3"/>
  <c r="E1041" i="3"/>
  <c r="E752" i="3"/>
  <c r="E1122" i="3"/>
  <c r="E1412" i="3"/>
  <c r="E1382" i="3"/>
  <c r="E1469" i="3"/>
  <c r="E1013" i="3"/>
  <c r="E1487" i="3"/>
  <c r="E324" i="3"/>
  <c r="E739" i="3"/>
  <c r="E1171" i="3"/>
  <c r="E1401" i="3"/>
  <c r="E1221" i="3"/>
  <c r="E162" i="3"/>
  <c r="E325" i="3"/>
  <c r="E604" i="3"/>
  <c r="E410" i="3"/>
  <c r="E506" i="3"/>
  <c r="E1060" i="3"/>
  <c r="E496" i="3"/>
  <c r="E992" i="3"/>
  <c r="E820" i="3"/>
  <c r="E497" i="3"/>
  <c r="E845" i="3"/>
  <c r="E877" i="3"/>
  <c r="E969" i="3"/>
  <c r="E261" i="3"/>
  <c r="E142" i="3"/>
  <c r="E372" i="3"/>
  <c r="E1123" i="3"/>
  <c r="E1014" i="3"/>
  <c r="E774" i="3"/>
  <c r="E596" i="3"/>
  <c r="E507" i="3"/>
  <c r="E821" i="3"/>
  <c r="E305" i="3"/>
  <c r="E201" i="3"/>
  <c r="E1367" i="3"/>
  <c r="E227" i="3"/>
  <c r="E279" i="3"/>
  <c r="E1334" i="3"/>
  <c r="E280" i="3"/>
  <c r="E326" i="3"/>
  <c r="E1429" i="3"/>
  <c r="E1402" i="3"/>
  <c r="E941" i="3"/>
  <c r="E1302" i="3"/>
  <c r="E1430" i="3"/>
  <c r="E202" i="3"/>
  <c r="E228" i="3"/>
  <c r="E654" i="3"/>
  <c r="E618" i="3"/>
  <c r="E7" i="3"/>
  <c r="E343" i="3"/>
  <c r="E1470" i="3"/>
  <c r="E363" i="3"/>
  <c r="E8" i="3"/>
  <c r="E1195" i="3"/>
  <c r="E389" i="3"/>
  <c r="E390" i="3"/>
  <c r="E1072" i="3"/>
  <c r="E1001" i="3"/>
  <c r="E693" i="3"/>
  <c r="E436" i="3"/>
  <c r="E532" i="3"/>
  <c r="E1431" i="3"/>
  <c r="E1368" i="3"/>
  <c r="E753" i="3"/>
  <c r="E863" i="3"/>
  <c r="E425" i="3"/>
  <c r="E1148" i="3"/>
  <c r="E128" i="3"/>
  <c r="E1184" i="3"/>
  <c r="E9" i="3"/>
  <c r="E10" i="3"/>
  <c r="E1002" i="3"/>
  <c r="E1003" i="3"/>
  <c r="E1124" i="3"/>
  <c r="E1488" i="3"/>
  <c r="E37" i="3"/>
  <c r="E1109" i="3"/>
  <c r="E65" i="3"/>
  <c r="E143" i="3"/>
  <c r="E453" i="3"/>
  <c r="E144" i="3"/>
  <c r="E754" i="3"/>
  <c r="E11" i="3"/>
  <c r="E391" i="3"/>
  <c r="E1136" i="3"/>
  <c r="E66" i="3"/>
  <c r="E721" i="3"/>
  <c r="E1110" i="3"/>
  <c r="E1451" i="3"/>
  <c r="E1413" i="3"/>
  <c r="E1222" i="3"/>
  <c r="E245" i="3"/>
  <c r="E426" i="3"/>
  <c r="E179" i="3"/>
  <c r="E1303" i="3"/>
  <c r="E955" i="3"/>
  <c r="E327" i="3"/>
  <c r="E864" i="3"/>
  <c r="E1414" i="3"/>
  <c r="E1137" i="3"/>
  <c r="E1295" i="3"/>
  <c r="E1031" i="3"/>
  <c r="E1489" i="3"/>
  <c r="E1125" i="3"/>
  <c r="E1403" i="3"/>
  <c r="E865" i="3"/>
  <c r="E1415" i="3"/>
  <c r="E1369" i="3"/>
  <c r="E1211" i="3"/>
  <c r="E878" i="3"/>
  <c r="E722" i="3"/>
  <c r="E229" i="3"/>
  <c r="E1061" i="3"/>
  <c r="E1404" i="3"/>
  <c r="E629" i="3"/>
  <c r="E546" i="3"/>
  <c r="E1062" i="3"/>
  <c r="E51" i="3"/>
  <c r="E1073" i="3"/>
  <c r="E806" i="3"/>
  <c r="E930" i="3"/>
  <c r="E469" i="3"/>
  <c r="E723" i="3"/>
  <c r="E437" i="3"/>
  <c r="E879" i="3"/>
  <c r="E1042" i="3"/>
  <c r="E392" i="3"/>
  <c r="E1158" i="3"/>
  <c r="E1149" i="3"/>
  <c r="E993" i="3"/>
  <c r="E508" i="3"/>
  <c r="E1304" i="3"/>
  <c r="E373" i="3"/>
  <c r="E438" i="3"/>
  <c r="E822" i="3"/>
  <c r="E145" i="3"/>
  <c r="E88" i="3"/>
  <c r="E1383" i="3"/>
  <c r="E439" i="3"/>
  <c r="E846" i="3"/>
  <c r="E52" i="3"/>
  <c r="E89" i="3"/>
  <c r="E1004" i="3"/>
  <c r="E53" i="3"/>
  <c r="E597" i="3"/>
  <c r="E67" i="3"/>
  <c r="E1271" i="3"/>
  <c r="E1172" i="3"/>
  <c r="E1094" i="3"/>
  <c r="E1247" i="3"/>
  <c r="E679" i="3"/>
  <c r="E1319" i="3"/>
  <c r="E470" i="3"/>
  <c r="E619" i="3"/>
  <c r="E970" i="3"/>
  <c r="E203" i="3"/>
  <c r="E1471" i="3"/>
  <c r="E1126" i="3"/>
  <c r="E578" i="3"/>
  <c r="E246" i="3"/>
  <c r="E393" i="3"/>
  <c r="E318" i="3"/>
  <c r="E1234" i="3"/>
  <c r="E471" i="3"/>
  <c r="E1278" i="3"/>
  <c r="E230" i="3"/>
  <c r="E1335" i="3"/>
  <c r="E666" i="3"/>
  <c r="E344" i="3"/>
  <c r="E605" i="3"/>
  <c r="E1472" i="3"/>
  <c r="E427" i="3"/>
  <c r="E509" i="3"/>
  <c r="E775" i="3"/>
  <c r="E776" i="3"/>
  <c r="E563" i="3"/>
  <c r="E847" i="3"/>
  <c r="E606" i="3"/>
  <c r="E694" i="3"/>
  <c r="E1127" i="3"/>
  <c r="E1173" i="3"/>
  <c r="E1159" i="3"/>
  <c r="E454" i="3"/>
  <c r="E519" i="3"/>
  <c r="E1138" i="3"/>
  <c r="E1357" i="3"/>
  <c r="E498" i="3"/>
  <c r="E755" i="3"/>
  <c r="E823" i="3"/>
  <c r="E831" i="3"/>
  <c r="E204" i="3"/>
  <c r="E1370" i="3"/>
  <c r="E1043" i="3"/>
  <c r="E90" i="3"/>
  <c r="E1196" i="3"/>
  <c r="E1074" i="3"/>
  <c r="E180" i="3"/>
  <c r="E499" i="3"/>
  <c r="E1248" i="3"/>
  <c r="E1384" i="3"/>
  <c r="E394" i="3"/>
  <c r="E181" i="3"/>
  <c r="E1358" i="3"/>
  <c r="E1490" i="3"/>
  <c r="E1063" i="3"/>
  <c r="E68" i="3"/>
  <c r="E1320" i="3"/>
  <c r="E971" i="3"/>
  <c r="E247" i="3"/>
  <c r="E182" i="3"/>
  <c r="E1261" i="3"/>
  <c r="E374" i="3"/>
  <c r="E994" i="3"/>
  <c r="E848" i="3"/>
  <c r="E1160" i="3"/>
  <c r="E1491" i="3"/>
  <c r="E520" i="3"/>
  <c r="E12" i="3"/>
  <c r="E248" i="3"/>
  <c r="E740" i="3"/>
  <c r="E205" i="3"/>
  <c r="E711" i="3"/>
  <c r="E1015" i="3"/>
  <c r="E643" i="3"/>
  <c r="E972" i="3"/>
  <c r="E1336" i="3"/>
  <c r="E956" i="3"/>
  <c r="E472" i="3"/>
  <c r="E1321" i="3"/>
  <c r="E607" i="3"/>
  <c r="E183" i="3"/>
  <c r="E896" i="3"/>
  <c r="E411" i="3"/>
  <c r="E655" i="3"/>
  <c r="E1235" i="3"/>
  <c r="E319" i="3"/>
  <c r="E777" i="3"/>
  <c r="E579" i="3"/>
  <c r="E262" i="3"/>
  <c r="E375" i="3"/>
  <c r="E644" i="3"/>
  <c r="E866" i="3"/>
  <c r="E395" i="3"/>
  <c r="E231" i="3"/>
  <c r="E533" i="3"/>
  <c r="E69" i="3"/>
  <c r="E263" i="3"/>
  <c r="E1212" i="3"/>
  <c r="E91" i="3"/>
  <c r="E1492" i="3"/>
  <c r="E1095" i="3"/>
  <c r="E184" i="3"/>
  <c r="E1075" i="3"/>
  <c r="E1346" i="3"/>
  <c r="E620" i="3"/>
  <c r="E110" i="3"/>
  <c r="E1076" i="3"/>
  <c r="E129" i="3"/>
  <c r="E1305" i="3"/>
  <c r="E791" i="3"/>
  <c r="E1337" i="3"/>
  <c r="E1223" i="3"/>
  <c r="E290" i="3"/>
  <c r="E1224" i="3"/>
  <c r="E608" i="3"/>
  <c r="E645" i="3"/>
  <c r="E1111" i="3"/>
  <c r="E396" i="3"/>
  <c r="E521" i="3"/>
  <c r="E1279" i="3"/>
  <c r="E741" i="3"/>
  <c r="E130" i="3"/>
  <c r="E712" i="3"/>
  <c r="E1197" i="3"/>
  <c r="E897" i="3"/>
  <c r="E1174" i="3"/>
  <c r="E291" i="3"/>
  <c r="E376" i="3"/>
  <c r="E1198" i="3"/>
  <c r="E473" i="3"/>
  <c r="E807" i="3"/>
  <c r="E778" i="3"/>
  <c r="E564" i="3"/>
  <c r="E1044" i="3"/>
  <c r="E54" i="3"/>
  <c r="E163" i="3"/>
  <c r="E1096" i="3"/>
  <c r="E440" i="3"/>
  <c r="E1005" i="3"/>
  <c r="E206" i="3"/>
  <c r="E867" i="3"/>
  <c r="E70" i="3"/>
  <c r="E565" i="3"/>
  <c r="E71" i="3"/>
  <c r="E1385" i="3"/>
  <c r="E1432" i="3"/>
  <c r="E292" i="3"/>
  <c r="E328" i="3"/>
  <c r="E164" i="3"/>
  <c r="E1112" i="3"/>
  <c r="E1416" i="3"/>
  <c r="E1225" i="3"/>
  <c r="E808" i="3"/>
  <c r="E1338" i="3"/>
  <c r="E646" i="3"/>
  <c r="E72" i="3"/>
  <c r="E165" i="3"/>
  <c r="E566" i="3"/>
  <c r="E1262" i="3"/>
  <c r="E474" i="3"/>
  <c r="E1032" i="3"/>
  <c r="E1371" i="3"/>
  <c r="E680" i="3"/>
  <c r="E232" i="3"/>
  <c r="E957" i="3"/>
  <c r="E1417" i="3"/>
  <c r="E809" i="3"/>
  <c r="E824" i="3"/>
  <c r="E1452" i="3"/>
  <c r="E609" i="3"/>
  <c r="E377" i="3"/>
  <c r="E1493" i="3"/>
  <c r="E1405" i="3"/>
  <c r="E1453" i="3"/>
  <c r="E475" i="3"/>
  <c r="E580" i="3"/>
  <c r="E695" i="3"/>
  <c r="E1386" i="3"/>
  <c r="E880" i="3"/>
  <c r="E581" i="3"/>
  <c r="E1263" i="3"/>
  <c r="E293" i="3"/>
  <c r="E207" i="3"/>
  <c r="E832" i="3"/>
  <c r="E792" i="3"/>
  <c r="E378" i="3"/>
  <c r="E1236" i="3"/>
  <c r="E547" i="3"/>
  <c r="E724" i="3"/>
  <c r="E567" i="3"/>
  <c r="E111" i="3"/>
  <c r="E1213" i="3"/>
  <c r="E73" i="3"/>
  <c r="E621" i="3"/>
  <c r="E428" i="3"/>
  <c r="E13" i="3"/>
  <c r="E667" i="3"/>
  <c r="E958" i="3"/>
  <c r="E1387" i="3"/>
  <c r="E1433" i="3"/>
  <c r="E1226" i="3"/>
  <c r="E345" i="3"/>
  <c r="E1406" i="3"/>
  <c r="E582" i="3"/>
  <c r="E942" i="3"/>
  <c r="E249" i="3"/>
  <c r="E476" i="3"/>
  <c r="E429" i="3"/>
  <c r="E647" i="3"/>
  <c r="E1097" i="3"/>
  <c r="E793" i="3"/>
  <c r="E55" i="3"/>
  <c r="E943" i="3"/>
  <c r="E779" i="3"/>
  <c r="E1033" i="3"/>
  <c r="E281" i="3"/>
  <c r="E264" i="3"/>
  <c r="E598" i="3"/>
  <c r="E1454" i="3"/>
  <c r="E92" i="3"/>
  <c r="E1434" i="3"/>
  <c r="E1296" i="3"/>
  <c r="E166" i="3"/>
  <c r="E868" i="3"/>
  <c r="E1280" i="3"/>
  <c r="E306" i="3"/>
  <c r="E742" i="3"/>
  <c r="E849" i="3"/>
  <c r="E14" i="3"/>
  <c r="E995" i="3"/>
  <c r="E743" i="3"/>
  <c r="E794" i="3"/>
  <c r="E1359" i="3"/>
  <c r="E725" i="3"/>
  <c r="E648" i="3"/>
  <c r="E1347" i="3"/>
  <c r="E756" i="3"/>
  <c r="E250" i="3"/>
  <c r="E167" i="3"/>
  <c r="E510" i="3"/>
  <c r="E24" i="3"/>
  <c r="E1214" i="3"/>
  <c r="E833" i="3"/>
  <c r="E780" i="3"/>
  <c r="E1064" i="3"/>
  <c r="E834" i="3"/>
  <c r="E996" i="3"/>
  <c r="E500" i="3"/>
  <c r="E1215" i="3"/>
  <c r="E534" i="3"/>
  <c r="E918" i="3"/>
  <c r="E898" i="3"/>
  <c r="E56" i="3"/>
  <c r="E1272" i="3"/>
  <c r="E265" i="3"/>
  <c r="E1139" i="3"/>
  <c r="E1199" i="3"/>
  <c r="E1237" i="3"/>
  <c r="E346" i="3"/>
  <c r="E668" i="3"/>
  <c r="E233" i="3"/>
  <c r="E713" i="3"/>
  <c r="E781" i="3"/>
  <c r="E112" i="3"/>
  <c r="E997" i="3"/>
  <c r="E548" i="3"/>
  <c r="E973" i="3"/>
  <c r="E1113" i="3"/>
  <c r="E931" i="3"/>
  <c r="E549" i="3"/>
  <c r="E208" i="3"/>
  <c r="E168" i="3"/>
  <c r="E430" i="3"/>
  <c r="E599" i="3"/>
  <c r="E501" i="3"/>
  <c r="E347" i="3"/>
  <c r="E583" i="3"/>
  <c r="E1045" i="3"/>
  <c r="E584" i="3"/>
  <c r="E1388" i="3"/>
  <c r="E795" i="3"/>
  <c r="E1418" i="3"/>
  <c r="E1455" i="3"/>
  <c r="E696" i="3"/>
  <c r="E1077" i="3"/>
  <c r="E251" i="3"/>
  <c r="E131" i="3"/>
  <c r="E252" i="3"/>
  <c r="E74" i="3"/>
  <c r="E630" i="3"/>
  <c r="E1238" i="3"/>
  <c r="E825" i="3"/>
  <c r="E455" i="3"/>
  <c r="E1175" i="3"/>
  <c r="E1419" i="3"/>
  <c r="E1456" i="3"/>
  <c r="E656" i="3"/>
  <c r="E266" i="3"/>
  <c r="E657" i="3"/>
  <c r="E456" i="3"/>
  <c r="E1128" i="3"/>
  <c r="E294" i="3"/>
  <c r="E397" i="3"/>
  <c r="E757" i="3"/>
  <c r="E1273" i="3"/>
  <c r="E1322" i="3"/>
  <c r="E511" i="3"/>
  <c r="E522" i="3"/>
  <c r="E1249" i="3"/>
  <c r="E75" i="3"/>
  <c r="E1494" i="3"/>
  <c r="E146" i="3"/>
  <c r="E93" i="3"/>
  <c r="E1281" i="3"/>
  <c r="E1360" i="3"/>
  <c r="E1185" i="3"/>
  <c r="E959" i="3"/>
  <c r="E38" i="3"/>
  <c r="E329" i="3"/>
  <c r="E1065" i="3"/>
  <c r="E1078" i="3"/>
  <c r="E57" i="3"/>
  <c r="E1016" i="3"/>
  <c r="E209" i="3"/>
  <c r="E899" i="3"/>
  <c r="E441" i="3"/>
  <c r="E15" i="3"/>
  <c r="E1282" i="3"/>
  <c r="E810" i="3"/>
  <c r="E412" i="3"/>
  <c r="E585" i="3"/>
  <c r="E379" i="3"/>
  <c r="E631" i="3"/>
  <c r="E1297" i="3"/>
  <c r="E1150" i="3"/>
  <c r="E523" i="3"/>
  <c r="E974" i="3"/>
  <c r="E975" i="3"/>
  <c r="E295" i="3"/>
  <c r="E1389" i="3"/>
  <c r="E1339" i="3"/>
  <c r="E1017" i="3"/>
  <c r="E1006" i="3"/>
  <c r="E512" i="3"/>
  <c r="E1151" i="3"/>
  <c r="E796" i="3"/>
  <c r="E1034" i="3"/>
  <c r="E398" i="3"/>
  <c r="E758" i="3"/>
  <c r="E759" i="3"/>
  <c r="E477" i="3"/>
  <c r="E39" i="3"/>
  <c r="E399" i="3"/>
  <c r="E649" i="3"/>
  <c r="E94" i="3"/>
  <c r="E95" i="3"/>
  <c r="E881" i="3"/>
  <c r="E307" i="3"/>
  <c r="E76" i="3"/>
  <c r="E267" i="3"/>
  <c r="E681" i="3"/>
  <c r="E586" i="3"/>
  <c r="E330" i="3"/>
  <c r="E1274" i="3"/>
  <c r="E1435" i="3"/>
  <c r="E513" i="3"/>
  <c r="E58" i="3"/>
  <c r="E1390" i="3"/>
  <c r="E308" i="3"/>
  <c r="E442" i="3"/>
  <c r="E568" i="3"/>
  <c r="E147" i="3"/>
  <c r="E1361" i="3"/>
  <c r="E760" i="3"/>
  <c r="E1046" i="3"/>
  <c r="E587" i="3"/>
  <c r="E1186" i="3"/>
  <c r="E1436" i="3"/>
  <c r="E1018" i="3"/>
  <c r="E811" i="3"/>
  <c r="E16" i="3"/>
  <c r="E431" i="3"/>
  <c r="E960" i="3"/>
  <c r="E210" i="3"/>
  <c r="E96" i="3"/>
  <c r="E1372" i="3"/>
  <c r="E1407" i="3"/>
  <c r="E1250" i="3"/>
  <c r="E976" i="3"/>
  <c r="E726" i="3"/>
  <c r="E1047" i="3"/>
  <c r="E1200" i="3"/>
  <c r="E331" i="3"/>
  <c r="E268" i="3"/>
  <c r="E1201" i="3"/>
  <c r="E1348" i="3"/>
  <c r="E332" i="3"/>
  <c r="E113" i="3"/>
  <c r="E1161" i="3"/>
  <c r="E850" i="3"/>
  <c r="E1079" i="3"/>
  <c r="E1152" i="3"/>
  <c r="E1216" i="3"/>
  <c r="E1176" i="3"/>
  <c r="E1048" i="3"/>
  <c r="E59" i="3"/>
  <c r="E77" i="3"/>
  <c r="E514" i="3"/>
  <c r="E714" i="3"/>
  <c r="E234" i="3"/>
  <c r="E348" i="3"/>
  <c r="E550" i="3"/>
  <c r="E919" i="3"/>
  <c r="E132" i="3"/>
  <c r="E432" i="3"/>
  <c r="E114" i="3"/>
  <c r="E1457" i="3"/>
  <c r="E1323" i="3"/>
  <c r="E961" i="3"/>
  <c r="E1437" i="3"/>
  <c r="E97" i="3"/>
  <c r="E1153" i="3"/>
  <c r="E900" i="3"/>
  <c r="E1473" i="3"/>
  <c r="E1264" i="3"/>
  <c r="E1098" i="3"/>
  <c r="E797" i="3"/>
  <c r="E882" i="3"/>
  <c r="E40" i="3"/>
  <c r="E1438" i="3"/>
  <c r="E115" i="3"/>
  <c r="E1227" i="3"/>
  <c r="E1458" i="3"/>
  <c r="E727" i="3"/>
  <c r="E253" i="3"/>
  <c r="E1474" i="3"/>
  <c r="E658" i="3"/>
  <c r="E1306" i="3"/>
  <c r="E1373" i="3"/>
  <c r="E1187" i="3"/>
  <c r="E1459" i="3"/>
  <c r="E1049" i="3"/>
  <c r="E1391" i="3"/>
  <c r="E977" i="3"/>
  <c r="E478" i="3"/>
  <c r="E98" i="3"/>
  <c r="E1140" i="3"/>
  <c r="E1251" i="3"/>
  <c r="E524" i="3"/>
  <c r="E1239" i="3"/>
  <c r="E901" i="3"/>
  <c r="E1019" i="3"/>
  <c r="E622" i="3"/>
  <c r="E669" i="3"/>
  <c r="E235" i="3"/>
  <c r="E1228" i="3"/>
  <c r="E148" i="3"/>
  <c r="E25" i="3"/>
  <c r="E349" i="3"/>
  <c r="E835" i="3"/>
  <c r="E632" i="3"/>
  <c r="E380" i="3"/>
  <c r="E633" i="3"/>
  <c r="E1020" i="3"/>
  <c r="E282" i="3"/>
  <c r="E1362" i="3"/>
  <c r="E149" i="3"/>
  <c r="E400" i="3"/>
  <c r="E920" i="3"/>
  <c r="E283" i="3"/>
  <c r="E1099" i="3"/>
  <c r="E1021" i="3"/>
  <c r="E1298" i="3"/>
  <c r="E836" i="3"/>
  <c r="E1007" i="3"/>
  <c r="E1439" i="3"/>
  <c r="E17" i="3"/>
  <c r="E921" i="3"/>
  <c r="E185" i="3"/>
  <c r="E41" i="3"/>
  <c r="E902" i="3"/>
  <c r="E1162" i="3"/>
  <c r="E1475" i="3"/>
  <c r="E1202" i="3"/>
  <c r="E1374" i="3"/>
  <c r="E413" i="3"/>
  <c r="E903" i="3"/>
  <c r="E133" i="3"/>
  <c r="E798" i="3"/>
  <c r="E116" i="3"/>
  <c r="E812" i="3"/>
  <c r="E569" i="3"/>
  <c r="E1080" i="3"/>
  <c r="E1324" i="3"/>
  <c r="E998" i="3"/>
  <c r="E134" i="3"/>
  <c r="E42" i="3"/>
  <c r="E1188" i="3"/>
  <c r="E922" i="3"/>
  <c r="E254" i="3"/>
  <c r="E169" i="3"/>
  <c r="E333" i="3"/>
  <c r="E1299" i="3"/>
  <c r="E1163" i="3"/>
  <c r="E1476" i="3"/>
  <c r="E1154" i="3"/>
  <c r="E1240" i="3"/>
  <c r="E728" i="3"/>
  <c r="E457" i="3"/>
  <c r="E932" i="3"/>
  <c r="E944" i="3"/>
  <c r="E43" i="3"/>
  <c r="E150" i="3"/>
  <c r="E1035" i="3"/>
  <c r="E334" i="3"/>
  <c r="E945" i="3"/>
  <c r="E634" i="3"/>
  <c r="E414" i="3"/>
  <c r="E883" i="3"/>
  <c r="E851" i="3"/>
  <c r="E799" i="3"/>
  <c r="E1100" i="3"/>
  <c r="E117" i="3"/>
  <c r="E18" i="3"/>
  <c r="E309" i="3"/>
  <c r="E525" i="3"/>
  <c r="E1081" i="3"/>
  <c r="E236" i="3"/>
  <c r="E1300" i="3"/>
  <c r="E1392" i="3"/>
  <c r="E1375" i="3"/>
  <c r="E1082" i="3"/>
  <c r="E670" i="3"/>
  <c r="E659" i="3"/>
  <c r="E904" i="3"/>
  <c r="E978" i="3"/>
  <c r="E715" i="3"/>
  <c r="E237" i="3"/>
  <c r="E284" i="3"/>
  <c r="E1265" i="3"/>
  <c r="E458" i="3"/>
  <c r="E1283" i="3"/>
  <c r="E535" i="3"/>
  <c r="E320" i="3"/>
  <c r="E1495" i="3"/>
  <c r="E186" i="3"/>
  <c r="E364" i="3"/>
  <c r="E744" i="3"/>
  <c r="E310" i="3"/>
  <c r="E269" i="3"/>
  <c r="E151" i="3"/>
  <c r="E745" i="3"/>
  <c r="E1141" i="3"/>
  <c r="E716" i="3"/>
  <c r="E729" i="3"/>
  <c r="E1177" i="3"/>
  <c r="E1284" i="3"/>
  <c r="E1477" i="3"/>
  <c r="E697" i="3"/>
  <c r="E1083" i="3"/>
  <c r="E660" i="3"/>
  <c r="E869" i="3"/>
  <c r="E479" i="3"/>
  <c r="E746" i="3"/>
  <c r="E1285" i="3"/>
  <c r="E923" i="3"/>
  <c r="E401" i="3"/>
  <c r="E730" i="3"/>
  <c r="E837" i="3"/>
  <c r="E1307" i="3"/>
  <c r="E1308" i="3"/>
  <c r="E661" i="3"/>
  <c r="E1340" i="3"/>
  <c r="E826" i="3"/>
  <c r="E1217" i="3"/>
  <c r="E1325" i="3"/>
  <c r="E152" i="3"/>
  <c r="E443" i="3"/>
  <c r="E1129" i="3"/>
  <c r="E671" i="3"/>
  <c r="E1349" i="3"/>
  <c r="E1440" i="3"/>
  <c r="E211" i="3"/>
  <c r="E78" i="3"/>
  <c r="E610" i="3"/>
  <c r="E1203" i="3"/>
  <c r="E1420" i="3"/>
  <c r="E135" i="3"/>
  <c r="E782" i="3"/>
  <c r="E551" i="3"/>
  <c r="E212" i="3"/>
  <c r="E731" i="3"/>
  <c r="E26" i="3"/>
  <c r="E19" i="3"/>
  <c r="E933" i="3"/>
  <c r="E238" i="3"/>
  <c r="E365" i="3"/>
  <c r="E335" i="3"/>
  <c r="E672" i="3"/>
  <c r="E884" i="3"/>
  <c r="E1266" i="3"/>
  <c r="E1008" i="3"/>
  <c r="E1496" i="3"/>
  <c r="E480" i="3"/>
  <c r="E270" i="3"/>
  <c r="E526" i="3"/>
  <c r="E366" i="3"/>
  <c r="E1350" i="3"/>
  <c r="E1441" i="3"/>
  <c r="E1326" i="3"/>
  <c r="E136" i="3"/>
  <c r="E1218" i="3"/>
  <c r="E1036" i="3"/>
  <c r="E381" i="3"/>
  <c r="E1130" i="3"/>
  <c r="E187" i="3"/>
  <c r="E527" i="3"/>
  <c r="E1066" i="3"/>
  <c r="E536" i="3"/>
  <c r="E979" i="3"/>
  <c r="E1341" i="3"/>
  <c r="E382" i="3"/>
  <c r="E570" i="3"/>
  <c r="E239" i="3"/>
  <c r="E552" i="3"/>
  <c r="E118" i="3"/>
  <c r="E1421" i="3"/>
  <c r="E813" i="3"/>
  <c r="E1164" i="3"/>
  <c r="E27" i="3"/>
  <c r="E240" i="3"/>
  <c r="E600" i="3"/>
  <c r="E415" i="3"/>
  <c r="E885" i="3"/>
  <c r="E213" i="3"/>
  <c r="E99" i="3"/>
  <c r="E682" i="3"/>
  <c r="E28" i="3"/>
  <c r="E698" i="3"/>
  <c r="E924" i="3"/>
  <c r="E1393" i="3"/>
  <c r="E673" i="3"/>
  <c r="E1478" i="3"/>
  <c r="E1376" i="3"/>
  <c r="E1084" i="3"/>
  <c r="E732" i="3"/>
  <c r="E1351" i="3"/>
  <c r="E537" i="3"/>
  <c r="E761" i="3"/>
  <c r="E1377" i="3"/>
  <c r="E444" i="3"/>
  <c r="E416" i="3"/>
  <c r="E1286" i="3"/>
  <c r="E1189" i="3"/>
  <c r="E623" i="3"/>
  <c r="E417" i="3"/>
  <c r="E588" i="3"/>
  <c r="E1085" i="3"/>
  <c r="E79" i="3"/>
  <c r="E80" i="3"/>
  <c r="E20" i="3"/>
  <c r="E611" i="3"/>
  <c r="E402" i="3"/>
  <c r="E153" i="3"/>
  <c r="E1479" i="3"/>
  <c r="E515" i="3"/>
  <c r="E962" i="3"/>
  <c r="E800" i="3"/>
  <c r="E481" i="3"/>
  <c r="E1497" i="3"/>
  <c r="E255" i="3"/>
  <c r="E946" i="3"/>
  <c r="E980" i="3"/>
  <c r="E1142" i="3"/>
  <c r="E814" i="3"/>
  <c r="E154" i="3"/>
  <c r="E601" i="3"/>
  <c r="E925" i="3"/>
  <c r="E445" i="3"/>
  <c r="E1086" i="3"/>
  <c r="E635" i="3"/>
  <c r="E612" i="3"/>
  <c r="E1442" i="3"/>
  <c r="E1480" i="3"/>
  <c r="E137" i="3"/>
  <c r="E188" i="3"/>
  <c r="E1067" i="3"/>
  <c r="E1498" i="3"/>
  <c r="E29" i="3"/>
  <c r="E852" i="3"/>
  <c r="E963" i="3"/>
  <c r="E624" i="3"/>
  <c r="E100" i="3"/>
  <c r="E189" i="3"/>
  <c r="E418" i="3"/>
  <c r="E1155" i="3"/>
  <c r="E683" i="3"/>
  <c r="E1481" i="3"/>
  <c r="E1114" i="3"/>
  <c r="E964" i="3"/>
  <c r="E981" i="3"/>
  <c r="E101" i="3"/>
  <c r="E636" i="3"/>
  <c r="E674" i="3"/>
  <c r="E482" i="3"/>
  <c r="E256" i="3"/>
  <c r="E699" i="3"/>
  <c r="E1241" i="3"/>
  <c r="E886" i="3"/>
  <c r="E1482" i="3"/>
  <c r="E1287" i="3"/>
  <c r="E1165" i="3"/>
  <c r="E905" i="3"/>
  <c r="E271" i="3"/>
  <c r="E419" i="3"/>
  <c r="E1408" i="3"/>
  <c r="E733" i="3"/>
  <c r="E403" i="3"/>
  <c r="E257" i="3"/>
  <c r="E538" i="3"/>
  <c r="E539" i="3"/>
  <c r="E827" i="3"/>
  <c r="E1483" i="3"/>
  <c r="E1422" i="3"/>
  <c r="E684" i="3"/>
  <c r="E1499" i="3"/>
  <c r="E516" i="3"/>
  <c r="E815" i="3"/>
  <c r="E1500" i="3"/>
  <c r="E906" i="3"/>
  <c r="E907" i="3"/>
  <c r="E214" i="3"/>
  <c r="E717" i="3"/>
  <c r="E662" i="3"/>
  <c r="E1342" i="3"/>
  <c r="E838" i="3"/>
  <c r="E119" i="3"/>
  <c r="E571" i="3"/>
  <c r="E870" i="3"/>
  <c r="E350" i="3"/>
  <c r="E1204" i="3"/>
  <c r="E982" i="3"/>
  <c r="E908" i="3"/>
  <c r="E155" i="3"/>
  <c r="E675" i="3"/>
  <c r="E734" i="3"/>
  <c r="E483" i="3"/>
  <c r="E1460" i="3"/>
  <c r="E1267" i="3"/>
  <c r="E934" i="3"/>
  <c r="E1037" i="3"/>
  <c r="E1252" i="3"/>
  <c r="E1461" i="3"/>
  <c r="E420" i="3"/>
  <c r="E935" i="3"/>
  <c r="E1288" i="3"/>
  <c r="E1394" i="3"/>
  <c r="E1205" i="3"/>
  <c r="E367" i="3"/>
  <c r="E102" i="3"/>
  <c r="E947" i="3"/>
  <c r="E602" i="3"/>
  <c r="E589" i="3"/>
  <c r="E421" i="3"/>
  <c r="E1022" i="3"/>
  <c r="E404" i="3"/>
  <c r="E44" i="3"/>
  <c r="E311" i="3"/>
  <c r="E839" i="3"/>
  <c r="E540" i="3"/>
  <c r="E30" i="3"/>
  <c r="E553" i="3"/>
  <c r="E983" i="3"/>
  <c r="E613" i="3"/>
  <c r="E1363" i="3"/>
  <c r="E871" i="3"/>
  <c r="E1289" i="3"/>
  <c r="E312" i="3"/>
  <c r="E735" i="3"/>
  <c r="E1050" i="3"/>
  <c r="E272" i="3"/>
  <c r="E1115" i="3"/>
  <c r="E296" i="3"/>
  <c r="E625" i="3"/>
  <c r="E484" i="3"/>
  <c r="E1501" i="3"/>
  <c r="E1462" i="3"/>
  <c r="E747" i="3"/>
  <c r="E1309" i="3"/>
  <c r="E1023" i="3"/>
  <c r="E762" i="3"/>
  <c r="E215" i="3"/>
  <c r="E853" i="3"/>
  <c r="E313" i="3"/>
  <c r="E1101" i="3"/>
  <c r="E1009" i="3"/>
  <c r="E554" i="3"/>
  <c r="E887" i="3"/>
  <c r="E854" i="3"/>
  <c r="E801" i="3"/>
  <c r="E816" i="3"/>
  <c r="E459" i="3"/>
  <c r="E190" i="3"/>
  <c r="E241" i="3"/>
  <c r="E855" i="3"/>
  <c r="E1268" i="3"/>
  <c r="E700" i="3"/>
  <c r="E1310" i="3"/>
  <c r="E351" i="3"/>
  <c r="E216" i="3"/>
  <c r="E936" i="3"/>
  <c r="E1343" i="3"/>
  <c r="E1364" i="3"/>
  <c r="E352" i="3"/>
  <c r="E637" i="3"/>
  <c r="E353" i="3"/>
  <c r="E1409" i="3"/>
  <c r="E1087" i="3"/>
  <c r="E763" i="3"/>
  <c r="E926" i="3"/>
  <c r="E802" i="3"/>
  <c r="E1327" i="3"/>
  <c r="E191" i="3"/>
  <c r="E663" i="3"/>
  <c r="E1178" i="3"/>
  <c r="E170" i="3"/>
  <c r="E368" i="3"/>
  <c r="E1024" i="3"/>
  <c r="E828" i="3"/>
  <c r="E1395" i="3"/>
  <c r="E984" i="3"/>
  <c r="E927" i="3"/>
  <c r="H856" i="3"/>
  <c r="H555" i="3"/>
  <c r="H258" i="3"/>
  <c r="H1051" i="3"/>
  <c r="H1156" i="3"/>
  <c r="H783" i="3"/>
  <c r="H1484" i="3"/>
  <c r="H1253" i="3"/>
  <c r="H685" i="3"/>
  <c r="H764" i="3"/>
  <c r="H2" i="3"/>
  <c r="H626" i="3"/>
  <c r="H433" i="3"/>
  <c r="H528" i="3"/>
  <c r="H285" i="3"/>
  <c r="H999" i="3"/>
  <c r="H45" i="3"/>
  <c r="H686" i="3"/>
  <c r="H446" i="3"/>
  <c r="H447" i="3"/>
  <c r="H1328" i="3"/>
  <c r="H1352" i="3"/>
  <c r="H1301" i="3"/>
  <c r="H765" i="3"/>
  <c r="H21" i="3"/>
  <c r="H701" i="3"/>
  <c r="H103" i="3"/>
  <c r="H1206" i="3"/>
  <c r="H1344" i="3"/>
  <c r="H888" i="3"/>
  <c r="H603" i="3"/>
  <c r="H1229" i="3"/>
  <c r="H336" i="3"/>
  <c r="H614" i="3"/>
  <c r="H1025" i="3"/>
  <c r="H1230" i="3"/>
  <c r="H541" i="3"/>
  <c r="H766" i="3"/>
  <c r="H460" i="3"/>
  <c r="H872" i="3"/>
  <c r="H676" i="3"/>
  <c r="H138" i="3"/>
  <c r="H702" i="3"/>
  <c r="H314" i="3"/>
  <c r="H1275" i="3"/>
  <c r="H1088" i="3"/>
  <c r="H1052" i="3"/>
  <c r="H3" i="3"/>
  <c r="H171" i="3"/>
  <c r="H937" i="3"/>
  <c r="H354" i="3"/>
  <c r="H217" i="3"/>
  <c r="H461" i="3"/>
  <c r="H192" i="3"/>
  <c r="H938" i="3"/>
  <c r="H784" i="3"/>
  <c r="H337" i="3"/>
  <c r="H803" i="3"/>
  <c r="H172" i="3"/>
  <c r="H985" i="3"/>
  <c r="H104" i="3"/>
  <c r="H462" i="3"/>
  <c r="H1231" i="3"/>
  <c r="H463" i="3"/>
  <c r="H1290" i="3"/>
  <c r="H485" i="3"/>
  <c r="H857" i="3"/>
  <c r="H120" i="3"/>
  <c r="H1010" i="3"/>
  <c r="H1443" i="3"/>
  <c r="H1131" i="3"/>
  <c r="H405" i="3"/>
  <c r="H1143" i="3"/>
  <c r="H590" i="3"/>
  <c r="H355" i="3"/>
  <c r="H383" i="3"/>
  <c r="H1116" i="3"/>
  <c r="H767" i="3"/>
  <c r="H1117" i="3"/>
  <c r="H873" i="3"/>
  <c r="H785" i="3"/>
  <c r="H948" i="3"/>
  <c r="H748" i="3"/>
  <c r="H464" i="3"/>
  <c r="H1311" i="3"/>
  <c r="H1444" i="3"/>
  <c r="H1269" i="3"/>
  <c r="H1166" i="3"/>
  <c r="H1219" i="3"/>
  <c r="H1312" i="3"/>
  <c r="H4" i="3"/>
  <c r="H1102" i="3"/>
  <c r="H286" i="3"/>
  <c r="H287" i="3"/>
  <c r="H965" i="3"/>
  <c r="H1026" i="3"/>
  <c r="H1463" i="3"/>
  <c r="H502" i="3"/>
  <c r="H1179" i="3"/>
  <c r="H986" i="3"/>
  <c r="H858" i="3"/>
  <c r="H1464" i="3"/>
  <c r="H486" i="3"/>
  <c r="H591" i="3"/>
  <c r="H1445" i="3"/>
  <c r="H638" i="3"/>
  <c r="H121" i="3"/>
  <c r="H1353" i="3"/>
  <c r="H422" i="3"/>
  <c r="H1485" i="3"/>
  <c r="H615" i="3"/>
  <c r="H1027" i="3"/>
  <c r="H1423" i="3"/>
  <c r="H859" i="3"/>
  <c r="H173" i="3"/>
  <c r="H939" i="3"/>
  <c r="H139" i="3"/>
  <c r="H860" i="3"/>
  <c r="H487" i="3"/>
  <c r="H321" i="3"/>
  <c r="H384" i="3"/>
  <c r="H1242" i="3"/>
  <c r="H804" i="3"/>
  <c r="H1068" i="3"/>
  <c r="H1089" i="3"/>
  <c r="H140" i="3"/>
  <c r="H105" i="3"/>
  <c r="H1446" i="3"/>
  <c r="H718" i="3"/>
  <c r="H488" i="3"/>
  <c r="H31" i="3"/>
  <c r="H1378" i="3"/>
  <c r="H1486" i="3"/>
  <c r="H703" i="3"/>
  <c r="H322" i="3"/>
  <c r="H572" i="3"/>
  <c r="H338" i="3"/>
  <c r="H1144" i="3"/>
  <c r="H966" i="3"/>
  <c r="H1465" i="3"/>
  <c r="H1000" i="3"/>
  <c r="H1329" i="3"/>
  <c r="H967" i="3"/>
  <c r="H949" i="3"/>
  <c r="H339" i="3"/>
  <c r="H1069" i="3"/>
  <c r="H909" i="3"/>
  <c r="H829" i="3"/>
  <c r="H1254" i="3"/>
  <c r="H1424" i="3"/>
  <c r="H650" i="3"/>
  <c r="H987" i="3"/>
  <c r="H369" i="3"/>
  <c r="H1396" i="3"/>
  <c r="H406" i="3"/>
  <c r="H356" i="3"/>
  <c r="H749" i="3"/>
  <c r="H517" i="3"/>
  <c r="H1466" i="3"/>
  <c r="H910" i="3"/>
  <c r="H840" i="3"/>
  <c r="H218" i="3"/>
  <c r="H448" i="3"/>
  <c r="H81" i="3"/>
  <c r="H407" i="3"/>
  <c r="H1365" i="3"/>
  <c r="H219" i="3"/>
  <c r="H1167" i="3"/>
  <c r="H220" i="3"/>
  <c r="H1207" i="3"/>
  <c r="H122" i="3"/>
  <c r="H639" i="3"/>
  <c r="H315" i="3"/>
  <c r="H988" i="3"/>
  <c r="H1232" i="3"/>
  <c r="H786" i="3"/>
  <c r="H385" i="3"/>
  <c r="H297" i="3"/>
  <c r="H1053" i="3"/>
  <c r="H156" i="3"/>
  <c r="H736" i="3"/>
  <c r="H174" i="3"/>
  <c r="H640" i="3"/>
  <c r="H465" i="3"/>
  <c r="H273" i="3"/>
  <c r="H874" i="3"/>
  <c r="H466" i="3"/>
  <c r="H1330" i="3"/>
  <c r="H1255" i="3"/>
  <c r="H274" i="3"/>
  <c r="H408" i="3"/>
  <c r="H46" i="3"/>
  <c r="H1180" i="3"/>
  <c r="H704" i="3"/>
  <c r="H1379" i="3"/>
  <c r="H1256" i="3"/>
  <c r="H651" i="3"/>
  <c r="H841" i="3"/>
  <c r="H889" i="3"/>
  <c r="H175" i="3"/>
  <c r="H5" i="3"/>
  <c r="H489" i="3"/>
  <c r="H1467" i="3"/>
  <c r="H503" i="3"/>
  <c r="H1331" i="3"/>
  <c r="H386" i="3"/>
  <c r="H1190" i="3"/>
  <c r="H1354" i="3"/>
  <c r="H1313" i="3"/>
  <c r="H950" i="3"/>
  <c r="H1314" i="3"/>
  <c r="H1145" i="3"/>
  <c r="H1355" i="3"/>
  <c r="H490" i="3"/>
  <c r="H82" i="3"/>
  <c r="H1103" i="3"/>
  <c r="H357" i="3"/>
  <c r="H259" i="3"/>
  <c r="H491" i="3"/>
  <c r="H677" i="3"/>
  <c r="H32" i="3"/>
  <c r="H423" i="3"/>
  <c r="H1070" i="3"/>
  <c r="H1243" i="3"/>
  <c r="H22" i="3"/>
  <c r="H1191" i="3"/>
  <c r="H1208" i="3"/>
  <c r="H928" i="3"/>
  <c r="H1366" i="3"/>
  <c r="H1181" i="3"/>
  <c r="H573" i="3"/>
  <c r="H83" i="3"/>
  <c r="H1233" i="3"/>
  <c r="H193" i="3"/>
  <c r="H194" i="3"/>
  <c r="H1447" i="3"/>
  <c r="H504" i="3"/>
  <c r="H1054" i="3"/>
  <c r="H890" i="3"/>
  <c r="H556" i="3"/>
  <c r="H1146" i="3"/>
  <c r="H1397" i="3"/>
  <c r="H1410" i="3"/>
  <c r="H1090" i="3"/>
  <c r="H911" i="3"/>
  <c r="H242" i="3"/>
  <c r="H1425" i="3"/>
  <c r="H719" i="3"/>
  <c r="H449" i="3"/>
  <c r="H1118" i="3"/>
  <c r="H768" i="3"/>
  <c r="H340" i="3"/>
  <c r="H298" i="3"/>
  <c r="H288" i="3"/>
  <c r="H678" i="3"/>
  <c r="H47" i="3"/>
  <c r="H951" i="3"/>
  <c r="H542" i="3"/>
  <c r="H195" i="3"/>
  <c r="H299" i="3"/>
  <c r="H529" i="3"/>
  <c r="H221" i="3"/>
  <c r="H467" i="3"/>
  <c r="H1315" i="3"/>
  <c r="H1244" i="3"/>
  <c r="H1291" i="3"/>
  <c r="H358" i="3"/>
  <c r="H289" i="3"/>
  <c r="H787" i="3"/>
  <c r="H84" i="3"/>
  <c r="H106" i="3"/>
  <c r="H1028" i="3"/>
  <c r="H1209" i="3"/>
  <c r="H1038" i="3"/>
  <c r="H705" i="3"/>
  <c r="H316" i="3"/>
  <c r="H574" i="3"/>
  <c r="H687" i="3"/>
  <c r="H1011" i="3"/>
  <c r="H817" i="3"/>
  <c r="H85" i="3"/>
  <c r="H1316" i="3"/>
  <c r="H688" i="3"/>
  <c r="H359" i="3"/>
  <c r="H1039" i="3"/>
  <c r="H912" i="3"/>
  <c r="H222" i="3"/>
  <c r="H243" i="3"/>
  <c r="H1055" i="3"/>
  <c r="H750" i="3"/>
  <c r="H842" i="3"/>
  <c r="H1317" i="3"/>
  <c r="H1257" i="3"/>
  <c r="H275" i="3"/>
  <c r="H1192" i="3"/>
  <c r="H244" i="3"/>
  <c r="H33" i="3"/>
  <c r="H706" i="3"/>
  <c r="H707" i="3"/>
  <c r="H1157" i="3"/>
  <c r="H616" i="3"/>
  <c r="H34" i="3"/>
  <c r="H424" i="3"/>
  <c r="H737" i="3"/>
  <c r="H788" i="3"/>
  <c r="H1380" i="3"/>
  <c r="H176" i="3"/>
  <c r="H1332" i="3"/>
  <c r="H1119" i="3"/>
  <c r="H664" i="3"/>
  <c r="H323" i="3"/>
  <c r="H769" i="3"/>
  <c r="H1056" i="3"/>
  <c r="H1132" i="3"/>
  <c r="H557" i="3"/>
  <c r="H223" i="3"/>
  <c r="H627" i="3"/>
  <c r="H891" i="3"/>
  <c r="H913" i="3"/>
  <c r="H1168" i="3"/>
  <c r="H592" i="3"/>
  <c r="H558" i="3"/>
  <c r="H1193" i="3"/>
  <c r="H86" i="3"/>
  <c r="H952" i="3"/>
  <c r="H434" i="3"/>
  <c r="H177" i="3"/>
  <c r="H617" i="3"/>
  <c r="H1104" i="3"/>
  <c r="H224" i="3"/>
  <c r="H559" i="3"/>
  <c r="H892" i="3"/>
  <c r="H360" i="3"/>
  <c r="H1182" i="3"/>
  <c r="H893" i="3"/>
  <c r="H60" i="3"/>
  <c r="H317" i="3"/>
  <c r="H1448" i="3"/>
  <c r="H35" i="3"/>
  <c r="H708" i="3"/>
  <c r="H1258" i="3"/>
  <c r="H843" i="3"/>
  <c r="H276" i="3"/>
  <c r="H260" i="3"/>
  <c r="H61" i="3"/>
  <c r="H107" i="3"/>
  <c r="H341" i="3"/>
  <c r="H1057" i="3"/>
  <c r="H689" i="3"/>
  <c r="H1105" i="3"/>
  <c r="H875" i="3"/>
  <c r="H1426" i="3"/>
  <c r="H989" i="3"/>
  <c r="H914" i="3"/>
  <c r="H23" i="3"/>
  <c r="H1259" i="3"/>
  <c r="H720" i="3"/>
  <c r="H953" i="3"/>
  <c r="H196" i="3"/>
  <c r="H300" i="3"/>
  <c r="H141" i="3"/>
  <c r="H560" i="3"/>
  <c r="H450" i="3"/>
  <c r="H593" i="3"/>
  <c r="H1356" i="3"/>
  <c r="H36" i="3"/>
  <c r="H505" i="3"/>
  <c r="H1427" i="3"/>
  <c r="H770" i="3"/>
  <c r="H123" i="3"/>
  <c r="H954" i="3"/>
  <c r="H124" i="3"/>
  <c r="H1106" i="3"/>
  <c r="H277" i="3"/>
  <c r="H1071" i="3"/>
  <c r="H1333" i="3"/>
  <c r="H915" i="3"/>
  <c r="H6" i="3"/>
  <c r="H861" i="3"/>
  <c r="H451" i="3"/>
  <c r="H575" i="3"/>
  <c r="H435" i="3"/>
  <c r="H771" i="3"/>
  <c r="H1040" i="3"/>
  <c r="H197" i="3"/>
  <c r="H370" i="3"/>
  <c r="H1468" i="3"/>
  <c r="H543" i="3"/>
  <c r="H530" i="3"/>
  <c r="H157" i="3"/>
  <c r="H301" i="3"/>
  <c r="H665" i="3"/>
  <c r="H198" i="3"/>
  <c r="H62" i="3"/>
  <c r="H1245" i="3"/>
  <c r="H738" i="3"/>
  <c r="H225" i="3"/>
  <c r="H199" i="3"/>
  <c r="H628" i="3"/>
  <c r="H302" i="3"/>
  <c r="H361" i="3"/>
  <c r="H1147" i="3"/>
  <c r="H492" i="3"/>
  <c r="H1449" i="3"/>
  <c r="H48" i="3"/>
  <c r="H200" i="3"/>
  <c r="H1398" i="3"/>
  <c r="H1276" i="3"/>
  <c r="H1399" i="3"/>
  <c r="H387" i="3"/>
  <c r="H1133" i="3"/>
  <c r="H493" i="3"/>
  <c r="H576" i="3"/>
  <c r="H1411" i="3"/>
  <c r="H844" i="3"/>
  <c r="H916" i="3"/>
  <c r="H303" i="3"/>
  <c r="H690" i="3"/>
  <c r="H1183" i="3"/>
  <c r="H388" i="3"/>
  <c r="H342" i="3"/>
  <c r="H1292" i="3"/>
  <c r="H304" i="3"/>
  <c r="H789" i="3"/>
  <c r="H1246" i="3"/>
  <c r="H1220" i="3"/>
  <c r="H652" i="3"/>
  <c r="H594" i="3"/>
  <c r="H87" i="3"/>
  <c r="H371" i="3"/>
  <c r="H158" i="3"/>
  <c r="H917" i="3"/>
  <c r="H772" i="3"/>
  <c r="H49" i="3"/>
  <c r="H1260" i="3"/>
  <c r="H894" i="3"/>
  <c r="H1169" i="3"/>
  <c r="H544" i="3"/>
  <c r="H1381" i="3"/>
  <c r="H1091" i="3"/>
  <c r="H561" i="3"/>
  <c r="H1293" i="3"/>
  <c r="H178" i="3"/>
  <c r="H494" i="3"/>
  <c r="H641" i="3"/>
  <c r="H1318" i="3"/>
  <c r="H653" i="3"/>
  <c r="H1134" i="3"/>
  <c r="H1058" i="3"/>
  <c r="H642" i="3"/>
  <c r="H125" i="3"/>
  <c r="H691" i="3"/>
  <c r="H709" i="3"/>
  <c r="H159" i="3"/>
  <c r="H108" i="3"/>
  <c r="H109" i="3"/>
  <c r="H1120" i="3"/>
  <c r="H1277" i="3"/>
  <c r="H126" i="3"/>
  <c r="H595" i="3"/>
  <c r="H1029" i="3"/>
  <c r="H1135" i="3"/>
  <c r="H63" i="3"/>
  <c r="H278" i="3"/>
  <c r="H818" i="3"/>
  <c r="H1059" i="3"/>
  <c r="H751" i="3"/>
  <c r="H1450" i="3"/>
  <c r="H1345" i="3"/>
  <c r="H518" i="3"/>
  <c r="H1400" i="3"/>
  <c r="H1170" i="3"/>
  <c r="H1030" i="3"/>
  <c r="H773" i="3"/>
  <c r="H452" i="3"/>
  <c r="H929" i="3"/>
  <c r="H1092" i="3"/>
  <c r="H805" i="3"/>
  <c r="H990" i="3"/>
  <c r="H1294" i="3"/>
  <c r="H790" i="3"/>
  <c r="H160" i="3"/>
  <c r="H362" i="3"/>
  <c r="H895" i="3"/>
  <c r="H692" i="3"/>
  <c r="H1194" i="3"/>
  <c r="H226" i="3"/>
  <c r="H968" i="3"/>
  <c r="H1012" i="3"/>
  <c r="H495" i="3"/>
  <c r="H577" i="3"/>
  <c r="H862" i="3"/>
  <c r="H468" i="3"/>
  <c r="H562" i="3"/>
  <c r="H991" i="3"/>
  <c r="H1428" i="3"/>
  <c r="H409" i="3"/>
  <c r="H830" i="3"/>
  <c r="H1270" i="3"/>
  <c r="H1093" i="3"/>
  <c r="H64" i="3"/>
  <c r="H1107" i="3"/>
  <c r="H127" i="3"/>
  <c r="H1121" i="3"/>
  <c r="H710" i="3"/>
  <c r="H940" i="3"/>
  <c r="H531" i="3"/>
  <c r="H1210" i="3"/>
  <c r="H1108" i="3"/>
  <c r="H161" i="3"/>
  <c r="H50" i="3"/>
  <c r="H819" i="3"/>
  <c r="H545" i="3"/>
  <c r="H876" i="3"/>
  <c r="H1041" i="3"/>
  <c r="H752" i="3"/>
  <c r="H1122" i="3"/>
  <c r="H1412" i="3"/>
  <c r="H1382" i="3"/>
  <c r="H1469" i="3"/>
  <c r="H1013" i="3"/>
  <c r="H1487" i="3"/>
  <c r="H324" i="3"/>
  <c r="H739" i="3"/>
  <c r="H1171" i="3"/>
  <c r="H1401" i="3"/>
  <c r="H1221" i="3"/>
  <c r="H162" i="3"/>
  <c r="H325" i="3"/>
  <c r="H604" i="3"/>
  <c r="H410" i="3"/>
  <c r="H506" i="3"/>
  <c r="H1060" i="3"/>
  <c r="H496" i="3"/>
  <c r="H992" i="3"/>
  <c r="H820" i="3"/>
  <c r="H497" i="3"/>
  <c r="H845" i="3"/>
  <c r="H877" i="3"/>
  <c r="H969" i="3"/>
  <c r="H261" i="3"/>
  <c r="H142" i="3"/>
  <c r="H372" i="3"/>
  <c r="H1123" i="3"/>
  <c r="H1014" i="3"/>
  <c r="H774" i="3"/>
  <c r="H596" i="3"/>
  <c r="H507" i="3"/>
  <c r="H821" i="3"/>
  <c r="H305" i="3"/>
  <c r="H201" i="3"/>
  <c r="H1367" i="3"/>
  <c r="H227" i="3"/>
  <c r="H279" i="3"/>
  <c r="H1334" i="3"/>
  <c r="H280" i="3"/>
  <c r="H326" i="3"/>
  <c r="H1429" i="3"/>
  <c r="H1402" i="3"/>
  <c r="H941" i="3"/>
  <c r="H1302" i="3"/>
  <c r="H1430" i="3"/>
  <c r="H202" i="3"/>
  <c r="H228" i="3"/>
  <c r="H654" i="3"/>
  <c r="H618" i="3"/>
  <c r="H7" i="3"/>
  <c r="H343" i="3"/>
  <c r="H1470" i="3"/>
  <c r="H363" i="3"/>
  <c r="H8" i="3"/>
  <c r="H1195" i="3"/>
  <c r="H389" i="3"/>
  <c r="H390" i="3"/>
  <c r="H1072" i="3"/>
  <c r="H1001" i="3"/>
  <c r="H693" i="3"/>
  <c r="H436" i="3"/>
  <c r="H532" i="3"/>
  <c r="H1431" i="3"/>
  <c r="H1368" i="3"/>
  <c r="H753" i="3"/>
  <c r="H863" i="3"/>
  <c r="H425" i="3"/>
  <c r="H1148" i="3"/>
  <c r="H128" i="3"/>
  <c r="H1184" i="3"/>
  <c r="H9" i="3"/>
  <c r="H10" i="3"/>
  <c r="H1002" i="3"/>
  <c r="H1003" i="3"/>
  <c r="H1124" i="3"/>
  <c r="H1488" i="3"/>
  <c r="H37" i="3"/>
  <c r="H1109" i="3"/>
  <c r="H65" i="3"/>
  <c r="H143" i="3"/>
  <c r="H453" i="3"/>
  <c r="H144" i="3"/>
  <c r="H754" i="3"/>
  <c r="H11" i="3"/>
  <c r="H391" i="3"/>
  <c r="H1136" i="3"/>
  <c r="H66" i="3"/>
  <c r="H721" i="3"/>
  <c r="H1110" i="3"/>
  <c r="H1451" i="3"/>
  <c r="H1413" i="3"/>
  <c r="H1222" i="3"/>
  <c r="H245" i="3"/>
  <c r="H426" i="3"/>
  <c r="H179" i="3"/>
  <c r="H1303" i="3"/>
  <c r="H955" i="3"/>
  <c r="H327" i="3"/>
  <c r="H864" i="3"/>
  <c r="H1414" i="3"/>
  <c r="H1137" i="3"/>
  <c r="H1295" i="3"/>
  <c r="H1031" i="3"/>
  <c r="H1489" i="3"/>
  <c r="H1125" i="3"/>
  <c r="H1403" i="3"/>
  <c r="H865" i="3"/>
  <c r="H1415" i="3"/>
  <c r="H1369" i="3"/>
  <c r="H1211" i="3"/>
  <c r="H878" i="3"/>
  <c r="H722" i="3"/>
  <c r="H229" i="3"/>
  <c r="H1061" i="3"/>
  <c r="H1404" i="3"/>
  <c r="H629" i="3"/>
  <c r="H546" i="3"/>
  <c r="H1062" i="3"/>
  <c r="H51" i="3"/>
  <c r="H1073" i="3"/>
  <c r="H806" i="3"/>
  <c r="H930" i="3"/>
  <c r="H469" i="3"/>
  <c r="H723" i="3"/>
  <c r="H437" i="3"/>
  <c r="H879" i="3"/>
  <c r="H1042" i="3"/>
  <c r="H392" i="3"/>
  <c r="H1158" i="3"/>
  <c r="H1149" i="3"/>
  <c r="H993" i="3"/>
  <c r="H508" i="3"/>
  <c r="H1304" i="3"/>
  <c r="H373" i="3"/>
  <c r="H438" i="3"/>
  <c r="H822" i="3"/>
  <c r="H145" i="3"/>
  <c r="H88" i="3"/>
  <c r="H1383" i="3"/>
  <c r="H439" i="3"/>
  <c r="H846" i="3"/>
  <c r="H52" i="3"/>
  <c r="H89" i="3"/>
  <c r="H1004" i="3"/>
  <c r="H53" i="3"/>
  <c r="H597" i="3"/>
  <c r="H67" i="3"/>
  <c r="H1271" i="3"/>
  <c r="H1172" i="3"/>
  <c r="H1094" i="3"/>
  <c r="H1247" i="3"/>
  <c r="H679" i="3"/>
  <c r="H1319" i="3"/>
  <c r="H470" i="3"/>
  <c r="H619" i="3"/>
  <c r="H970" i="3"/>
  <c r="H203" i="3"/>
  <c r="H1471" i="3"/>
  <c r="H1126" i="3"/>
  <c r="H578" i="3"/>
  <c r="H246" i="3"/>
  <c r="H393" i="3"/>
  <c r="H318" i="3"/>
  <c r="H1234" i="3"/>
  <c r="H471" i="3"/>
  <c r="H1278" i="3"/>
  <c r="H230" i="3"/>
  <c r="H1335" i="3"/>
  <c r="H666" i="3"/>
  <c r="H344" i="3"/>
  <c r="H605" i="3"/>
  <c r="H1472" i="3"/>
  <c r="H427" i="3"/>
  <c r="H509" i="3"/>
  <c r="H775" i="3"/>
  <c r="H776" i="3"/>
  <c r="H563" i="3"/>
  <c r="H847" i="3"/>
  <c r="H606" i="3"/>
  <c r="H694" i="3"/>
  <c r="H1127" i="3"/>
  <c r="H1173" i="3"/>
  <c r="H1159" i="3"/>
  <c r="H454" i="3"/>
  <c r="H519" i="3"/>
  <c r="H1138" i="3"/>
  <c r="H1357" i="3"/>
  <c r="H498" i="3"/>
  <c r="H755" i="3"/>
  <c r="H823" i="3"/>
  <c r="H831" i="3"/>
  <c r="H204" i="3"/>
  <c r="H1370" i="3"/>
  <c r="H1043" i="3"/>
  <c r="H90" i="3"/>
  <c r="H1196" i="3"/>
  <c r="H1074" i="3"/>
  <c r="H180" i="3"/>
  <c r="H499" i="3"/>
  <c r="H1248" i="3"/>
  <c r="H1384" i="3"/>
  <c r="H394" i="3"/>
  <c r="H181" i="3"/>
  <c r="H1358" i="3"/>
  <c r="H1490" i="3"/>
  <c r="H1063" i="3"/>
  <c r="H68" i="3"/>
  <c r="H1320" i="3"/>
  <c r="H971" i="3"/>
  <c r="H247" i="3"/>
  <c r="H182" i="3"/>
  <c r="H1261" i="3"/>
  <c r="H374" i="3"/>
  <c r="H994" i="3"/>
  <c r="H848" i="3"/>
  <c r="H1160" i="3"/>
  <c r="H1491" i="3"/>
  <c r="H520" i="3"/>
  <c r="H12" i="3"/>
  <c r="H248" i="3"/>
  <c r="H740" i="3"/>
  <c r="H205" i="3"/>
  <c r="H711" i="3"/>
  <c r="H1015" i="3"/>
  <c r="H643" i="3"/>
  <c r="H972" i="3"/>
  <c r="H1336" i="3"/>
  <c r="H956" i="3"/>
  <c r="H472" i="3"/>
  <c r="H1321" i="3"/>
  <c r="H607" i="3"/>
  <c r="H183" i="3"/>
  <c r="H896" i="3"/>
  <c r="H411" i="3"/>
  <c r="H655" i="3"/>
  <c r="H1235" i="3"/>
  <c r="H319" i="3"/>
  <c r="H777" i="3"/>
  <c r="H579" i="3"/>
  <c r="H262" i="3"/>
  <c r="H375" i="3"/>
  <c r="H644" i="3"/>
  <c r="H866" i="3"/>
  <c r="H395" i="3"/>
  <c r="H231" i="3"/>
  <c r="H533" i="3"/>
  <c r="H69" i="3"/>
  <c r="H263" i="3"/>
  <c r="H1212" i="3"/>
  <c r="H91" i="3"/>
  <c r="H1492" i="3"/>
  <c r="H1095" i="3"/>
  <c r="H184" i="3"/>
  <c r="H1075" i="3"/>
  <c r="H1346" i="3"/>
  <c r="H620" i="3"/>
  <c r="H110" i="3"/>
  <c r="H1076" i="3"/>
  <c r="H129" i="3"/>
  <c r="H1305" i="3"/>
  <c r="H791" i="3"/>
  <c r="H1337" i="3"/>
  <c r="H1223" i="3"/>
  <c r="H290" i="3"/>
  <c r="H1224" i="3"/>
  <c r="H608" i="3"/>
  <c r="H645" i="3"/>
  <c r="H1111" i="3"/>
  <c r="H396" i="3"/>
  <c r="H521" i="3"/>
  <c r="H1279" i="3"/>
  <c r="H741" i="3"/>
  <c r="H130" i="3"/>
  <c r="H712" i="3"/>
  <c r="H1197" i="3"/>
  <c r="H897" i="3"/>
  <c r="H1174" i="3"/>
  <c r="H291" i="3"/>
  <c r="H376" i="3"/>
  <c r="H1198" i="3"/>
  <c r="H473" i="3"/>
  <c r="H807" i="3"/>
  <c r="H778" i="3"/>
  <c r="H564" i="3"/>
  <c r="H1044" i="3"/>
  <c r="H54" i="3"/>
  <c r="H163" i="3"/>
  <c r="H1096" i="3"/>
  <c r="H440" i="3"/>
  <c r="H1005" i="3"/>
  <c r="H206" i="3"/>
  <c r="H867" i="3"/>
  <c r="H70" i="3"/>
  <c r="H565" i="3"/>
  <c r="H71" i="3"/>
  <c r="H1385" i="3"/>
  <c r="H1432" i="3"/>
  <c r="H292" i="3"/>
  <c r="H328" i="3"/>
  <c r="H164" i="3"/>
  <c r="H1112" i="3"/>
  <c r="H1416" i="3"/>
  <c r="H1225" i="3"/>
  <c r="H808" i="3"/>
  <c r="H1338" i="3"/>
  <c r="H646" i="3"/>
  <c r="H72" i="3"/>
  <c r="H165" i="3"/>
  <c r="H566" i="3"/>
  <c r="H1262" i="3"/>
  <c r="H474" i="3"/>
  <c r="H1032" i="3"/>
  <c r="H1371" i="3"/>
  <c r="H680" i="3"/>
  <c r="H232" i="3"/>
  <c r="H957" i="3"/>
  <c r="H1417" i="3"/>
  <c r="H809" i="3"/>
  <c r="H824" i="3"/>
  <c r="H1452" i="3"/>
  <c r="H609" i="3"/>
  <c r="H377" i="3"/>
  <c r="H1493" i="3"/>
  <c r="H1405" i="3"/>
  <c r="H1453" i="3"/>
  <c r="H475" i="3"/>
  <c r="H580" i="3"/>
  <c r="H695" i="3"/>
  <c r="H1386" i="3"/>
  <c r="H880" i="3"/>
  <c r="H581" i="3"/>
  <c r="H1263" i="3"/>
  <c r="H293" i="3"/>
  <c r="H207" i="3"/>
  <c r="H832" i="3"/>
  <c r="H792" i="3"/>
  <c r="H378" i="3"/>
  <c r="H1236" i="3"/>
  <c r="H547" i="3"/>
  <c r="H724" i="3"/>
  <c r="H567" i="3"/>
  <c r="H111" i="3"/>
  <c r="H1213" i="3"/>
  <c r="H73" i="3"/>
  <c r="H621" i="3"/>
  <c r="H428" i="3"/>
  <c r="H13" i="3"/>
  <c r="H667" i="3"/>
  <c r="H958" i="3"/>
  <c r="H1387" i="3"/>
  <c r="H1433" i="3"/>
  <c r="H1226" i="3"/>
  <c r="H345" i="3"/>
  <c r="H1406" i="3"/>
  <c r="H582" i="3"/>
  <c r="H942" i="3"/>
  <c r="H249" i="3"/>
  <c r="H476" i="3"/>
  <c r="H429" i="3"/>
  <c r="H647" i="3"/>
  <c r="H1097" i="3"/>
  <c r="H793" i="3"/>
  <c r="H55" i="3"/>
  <c r="H943" i="3"/>
  <c r="H779" i="3"/>
  <c r="H1033" i="3"/>
  <c r="H281" i="3"/>
  <c r="H264" i="3"/>
  <c r="H598" i="3"/>
  <c r="H1454" i="3"/>
  <c r="H92" i="3"/>
  <c r="H1434" i="3"/>
  <c r="H1296" i="3"/>
  <c r="H166" i="3"/>
  <c r="H868" i="3"/>
  <c r="H1280" i="3"/>
  <c r="H306" i="3"/>
  <c r="H742" i="3"/>
  <c r="H849" i="3"/>
  <c r="H14" i="3"/>
  <c r="H995" i="3"/>
  <c r="H743" i="3"/>
  <c r="H794" i="3"/>
  <c r="H1359" i="3"/>
  <c r="H725" i="3"/>
  <c r="H648" i="3"/>
  <c r="H1347" i="3"/>
  <c r="H756" i="3"/>
  <c r="H250" i="3"/>
  <c r="H167" i="3"/>
  <c r="H510" i="3"/>
  <c r="H24" i="3"/>
  <c r="H1214" i="3"/>
  <c r="H833" i="3"/>
  <c r="H780" i="3"/>
  <c r="H1064" i="3"/>
  <c r="H834" i="3"/>
  <c r="H996" i="3"/>
  <c r="H500" i="3"/>
  <c r="H1215" i="3"/>
  <c r="H534" i="3"/>
  <c r="H918" i="3"/>
  <c r="H898" i="3"/>
  <c r="H56" i="3"/>
  <c r="H1272" i="3"/>
  <c r="H265" i="3"/>
  <c r="H1139" i="3"/>
  <c r="H1199" i="3"/>
  <c r="H1237" i="3"/>
  <c r="H346" i="3"/>
  <c r="H668" i="3"/>
  <c r="H233" i="3"/>
  <c r="H713" i="3"/>
  <c r="H781" i="3"/>
  <c r="H112" i="3"/>
  <c r="H997" i="3"/>
  <c r="H548" i="3"/>
  <c r="H973" i="3"/>
  <c r="H1113" i="3"/>
  <c r="H931" i="3"/>
  <c r="H549" i="3"/>
  <c r="H208" i="3"/>
  <c r="H168" i="3"/>
  <c r="H430" i="3"/>
  <c r="H599" i="3"/>
  <c r="H501" i="3"/>
  <c r="H347" i="3"/>
  <c r="H583" i="3"/>
  <c r="H1045" i="3"/>
  <c r="H584" i="3"/>
  <c r="H1388" i="3"/>
  <c r="H795" i="3"/>
  <c r="H1418" i="3"/>
  <c r="H1455" i="3"/>
  <c r="H696" i="3"/>
  <c r="H1077" i="3"/>
  <c r="H251" i="3"/>
  <c r="H131" i="3"/>
  <c r="H252" i="3"/>
  <c r="H74" i="3"/>
  <c r="H630" i="3"/>
  <c r="H1238" i="3"/>
  <c r="H825" i="3"/>
  <c r="H455" i="3"/>
  <c r="H1175" i="3"/>
  <c r="H1419" i="3"/>
  <c r="H1456" i="3"/>
  <c r="H656" i="3"/>
  <c r="H266" i="3"/>
  <c r="H657" i="3"/>
  <c r="H456" i="3"/>
  <c r="H1128" i="3"/>
  <c r="H294" i="3"/>
  <c r="H397" i="3"/>
  <c r="H757" i="3"/>
  <c r="H1273" i="3"/>
  <c r="H1322" i="3"/>
  <c r="H511" i="3"/>
  <c r="H522" i="3"/>
  <c r="H1249" i="3"/>
  <c r="H75" i="3"/>
  <c r="H1494" i="3"/>
  <c r="H146" i="3"/>
  <c r="H93" i="3"/>
  <c r="H1281" i="3"/>
  <c r="H1360" i="3"/>
  <c r="H1185" i="3"/>
  <c r="H959" i="3"/>
  <c r="H38" i="3"/>
  <c r="H329" i="3"/>
  <c r="H1065" i="3"/>
  <c r="H1078" i="3"/>
  <c r="H57" i="3"/>
  <c r="H1016" i="3"/>
  <c r="H209" i="3"/>
  <c r="H899" i="3"/>
  <c r="H441" i="3"/>
  <c r="H15" i="3"/>
  <c r="H1282" i="3"/>
  <c r="H810" i="3"/>
  <c r="H412" i="3"/>
  <c r="H585" i="3"/>
  <c r="H379" i="3"/>
  <c r="H631" i="3"/>
  <c r="H1297" i="3"/>
  <c r="H1150" i="3"/>
  <c r="H523" i="3"/>
  <c r="H974" i="3"/>
  <c r="H975" i="3"/>
  <c r="H295" i="3"/>
  <c r="H1389" i="3"/>
  <c r="H1339" i="3"/>
  <c r="H1017" i="3"/>
  <c r="H1006" i="3"/>
  <c r="H512" i="3"/>
  <c r="H1151" i="3"/>
  <c r="H796" i="3"/>
  <c r="H1034" i="3"/>
  <c r="H398" i="3"/>
  <c r="H758" i="3"/>
  <c r="H759" i="3"/>
  <c r="H477" i="3"/>
  <c r="H39" i="3"/>
  <c r="H399" i="3"/>
  <c r="H649" i="3"/>
  <c r="H94" i="3"/>
  <c r="H95" i="3"/>
  <c r="H881" i="3"/>
  <c r="H307" i="3"/>
  <c r="H76" i="3"/>
  <c r="H267" i="3"/>
  <c r="H681" i="3"/>
  <c r="H586" i="3"/>
  <c r="H330" i="3"/>
  <c r="H1274" i="3"/>
  <c r="H1435" i="3"/>
  <c r="H513" i="3"/>
  <c r="H58" i="3"/>
  <c r="H1390" i="3"/>
  <c r="H308" i="3"/>
  <c r="H442" i="3"/>
  <c r="H568" i="3"/>
  <c r="H147" i="3"/>
  <c r="H1361" i="3"/>
  <c r="H760" i="3"/>
  <c r="H1046" i="3"/>
  <c r="H587" i="3"/>
  <c r="H1186" i="3"/>
  <c r="H1436" i="3"/>
  <c r="H1018" i="3"/>
  <c r="H811" i="3"/>
  <c r="H16" i="3"/>
  <c r="H431" i="3"/>
  <c r="H960" i="3"/>
  <c r="H210" i="3"/>
  <c r="H96" i="3"/>
  <c r="H1372" i="3"/>
  <c r="H1407" i="3"/>
  <c r="H1250" i="3"/>
  <c r="H976" i="3"/>
  <c r="H726" i="3"/>
  <c r="H1047" i="3"/>
  <c r="H1200" i="3"/>
  <c r="H331" i="3"/>
  <c r="H268" i="3"/>
  <c r="H1201" i="3"/>
  <c r="H1348" i="3"/>
  <c r="H332" i="3"/>
  <c r="H113" i="3"/>
  <c r="H1161" i="3"/>
  <c r="H850" i="3"/>
  <c r="H1079" i="3"/>
  <c r="H1152" i="3"/>
  <c r="H1216" i="3"/>
  <c r="H1176" i="3"/>
  <c r="H1048" i="3"/>
  <c r="H59" i="3"/>
  <c r="H77" i="3"/>
  <c r="H514" i="3"/>
  <c r="H714" i="3"/>
  <c r="H234" i="3"/>
  <c r="H348" i="3"/>
  <c r="H550" i="3"/>
  <c r="H919" i="3"/>
  <c r="H132" i="3"/>
  <c r="H432" i="3"/>
  <c r="H114" i="3"/>
  <c r="H1457" i="3"/>
  <c r="H1323" i="3"/>
  <c r="H961" i="3"/>
  <c r="H1437" i="3"/>
  <c r="H97" i="3"/>
  <c r="H1153" i="3"/>
  <c r="H900" i="3"/>
  <c r="H1473" i="3"/>
  <c r="H1264" i="3"/>
  <c r="H1098" i="3"/>
  <c r="H797" i="3"/>
  <c r="H882" i="3"/>
  <c r="H40" i="3"/>
  <c r="H1438" i="3"/>
  <c r="H115" i="3"/>
  <c r="H1227" i="3"/>
  <c r="H1458" i="3"/>
  <c r="H727" i="3"/>
  <c r="H253" i="3"/>
  <c r="H1474" i="3"/>
  <c r="H658" i="3"/>
  <c r="H1306" i="3"/>
  <c r="H1373" i="3"/>
  <c r="H1187" i="3"/>
  <c r="H1459" i="3"/>
  <c r="H1049" i="3"/>
  <c r="H1391" i="3"/>
  <c r="H977" i="3"/>
  <c r="H478" i="3"/>
  <c r="H98" i="3"/>
  <c r="H1140" i="3"/>
  <c r="H1251" i="3"/>
  <c r="H524" i="3"/>
  <c r="H1239" i="3"/>
  <c r="H901" i="3"/>
  <c r="H1019" i="3"/>
  <c r="H622" i="3"/>
  <c r="H669" i="3"/>
  <c r="H235" i="3"/>
  <c r="H1228" i="3"/>
  <c r="H148" i="3"/>
  <c r="H25" i="3"/>
  <c r="H349" i="3"/>
  <c r="H835" i="3"/>
  <c r="H632" i="3"/>
  <c r="H380" i="3"/>
  <c r="H633" i="3"/>
  <c r="H1020" i="3"/>
  <c r="H282" i="3"/>
  <c r="H1362" i="3"/>
  <c r="H149" i="3"/>
  <c r="H400" i="3"/>
  <c r="H920" i="3"/>
  <c r="H283" i="3"/>
  <c r="H1099" i="3"/>
  <c r="H1021" i="3"/>
  <c r="H1298" i="3"/>
  <c r="H836" i="3"/>
  <c r="H1007" i="3"/>
  <c r="H1439" i="3"/>
  <c r="H17" i="3"/>
  <c r="H921" i="3"/>
  <c r="H185" i="3"/>
  <c r="H41" i="3"/>
  <c r="H902" i="3"/>
  <c r="H1162" i="3"/>
  <c r="H1475" i="3"/>
  <c r="H1202" i="3"/>
  <c r="H1374" i="3"/>
  <c r="H413" i="3"/>
  <c r="H903" i="3"/>
  <c r="H133" i="3"/>
  <c r="H798" i="3"/>
  <c r="H116" i="3"/>
  <c r="H812" i="3"/>
  <c r="H569" i="3"/>
  <c r="H1080" i="3"/>
  <c r="H1324" i="3"/>
  <c r="H998" i="3"/>
  <c r="H134" i="3"/>
  <c r="H42" i="3"/>
  <c r="H1188" i="3"/>
  <c r="H922" i="3"/>
  <c r="H254" i="3"/>
  <c r="H169" i="3"/>
  <c r="H333" i="3"/>
  <c r="H1299" i="3"/>
  <c r="H1163" i="3"/>
  <c r="H1476" i="3"/>
  <c r="H1154" i="3"/>
  <c r="H1240" i="3"/>
  <c r="H728" i="3"/>
  <c r="H457" i="3"/>
  <c r="H932" i="3"/>
  <c r="H944" i="3"/>
  <c r="H43" i="3"/>
  <c r="H150" i="3"/>
  <c r="H1035" i="3"/>
  <c r="H334" i="3"/>
  <c r="H945" i="3"/>
  <c r="H634" i="3"/>
  <c r="H414" i="3"/>
  <c r="H883" i="3"/>
  <c r="H851" i="3"/>
  <c r="H799" i="3"/>
  <c r="H1100" i="3"/>
  <c r="H117" i="3"/>
  <c r="H18" i="3"/>
  <c r="H309" i="3"/>
  <c r="H525" i="3"/>
  <c r="H1081" i="3"/>
  <c r="H236" i="3"/>
  <c r="H1300" i="3"/>
  <c r="H1392" i="3"/>
  <c r="H1375" i="3"/>
  <c r="H1082" i="3"/>
  <c r="H670" i="3"/>
  <c r="H659" i="3"/>
  <c r="H904" i="3"/>
  <c r="H978" i="3"/>
  <c r="H715" i="3"/>
  <c r="H237" i="3"/>
  <c r="H284" i="3"/>
  <c r="H1265" i="3"/>
  <c r="H458" i="3"/>
  <c r="H1283" i="3"/>
  <c r="H535" i="3"/>
  <c r="H320" i="3"/>
  <c r="H1495" i="3"/>
  <c r="H186" i="3"/>
  <c r="H364" i="3"/>
  <c r="H744" i="3"/>
  <c r="H310" i="3"/>
  <c r="H269" i="3"/>
  <c r="H151" i="3"/>
  <c r="H745" i="3"/>
  <c r="H1141" i="3"/>
  <c r="H716" i="3"/>
  <c r="H729" i="3"/>
  <c r="H1177" i="3"/>
  <c r="H1284" i="3"/>
  <c r="H1477" i="3"/>
  <c r="H697" i="3"/>
  <c r="H1083" i="3"/>
  <c r="H660" i="3"/>
  <c r="H869" i="3"/>
  <c r="H479" i="3"/>
  <c r="H746" i="3"/>
  <c r="H1285" i="3"/>
  <c r="H923" i="3"/>
  <c r="H401" i="3"/>
  <c r="H730" i="3"/>
  <c r="H837" i="3"/>
  <c r="H1307" i="3"/>
  <c r="H1308" i="3"/>
  <c r="H661" i="3"/>
  <c r="H1340" i="3"/>
  <c r="H826" i="3"/>
  <c r="H1217" i="3"/>
  <c r="H1325" i="3"/>
  <c r="H152" i="3"/>
  <c r="H443" i="3"/>
  <c r="H1129" i="3"/>
  <c r="H671" i="3"/>
  <c r="H1349" i="3"/>
  <c r="H1440" i="3"/>
  <c r="H211" i="3"/>
  <c r="H78" i="3"/>
  <c r="H610" i="3"/>
  <c r="H1203" i="3"/>
  <c r="H1420" i="3"/>
  <c r="H135" i="3"/>
  <c r="H782" i="3"/>
  <c r="H551" i="3"/>
  <c r="H212" i="3"/>
  <c r="H731" i="3"/>
  <c r="H26" i="3"/>
  <c r="H19" i="3"/>
  <c r="H933" i="3"/>
  <c r="H238" i="3"/>
  <c r="H365" i="3"/>
  <c r="H335" i="3"/>
  <c r="H672" i="3"/>
  <c r="H884" i="3"/>
  <c r="H1266" i="3"/>
  <c r="H1008" i="3"/>
  <c r="H1496" i="3"/>
  <c r="H480" i="3"/>
  <c r="H270" i="3"/>
  <c r="H526" i="3"/>
  <c r="H366" i="3"/>
  <c r="H1350" i="3"/>
  <c r="H1441" i="3"/>
  <c r="H1326" i="3"/>
  <c r="H136" i="3"/>
  <c r="H1218" i="3"/>
  <c r="H1036" i="3"/>
  <c r="H381" i="3"/>
  <c r="H1130" i="3"/>
  <c r="H187" i="3"/>
  <c r="H527" i="3"/>
  <c r="H1066" i="3"/>
  <c r="H536" i="3"/>
  <c r="H979" i="3"/>
  <c r="H1341" i="3"/>
  <c r="H382" i="3"/>
  <c r="H570" i="3"/>
  <c r="H239" i="3"/>
  <c r="H552" i="3"/>
  <c r="H118" i="3"/>
  <c r="H1421" i="3"/>
  <c r="H813" i="3"/>
  <c r="H1164" i="3"/>
  <c r="H27" i="3"/>
  <c r="H240" i="3"/>
  <c r="H600" i="3"/>
  <c r="H415" i="3"/>
  <c r="H885" i="3"/>
  <c r="H213" i="3"/>
  <c r="H99" i="3"/>
  <c r="H682" i="3"/>
  <c r="H28" i="3"/>
  <c r="H698" i="3"/>
  <c r="H924" i="3"/>
  <c r="H1393" i="3"/>
  <c r="H673" i="3"/>
  <c r="H1478" i="3"/>
  <c r="H1376" i="3"/>
  <c r="H1084" i="3"/>
  <c r="H732" i="3"/>
  <c r="H1351" i="3"/>
  <c r="H537" i="3"/>
  <c r="H761" i="3"/>
  <c r="H1377" i="3"/>
  <c r="H444" i="3"/>
  <c r="H416" i="3"/>
  <c r="H1286" i="3"/>
  <c r="H1189" i="3"/>
  <c r="H623" i="3"/>
  <c r="H417" i="3"/>
  <c r="H588" i="3"/>
  <c r="H1085" i="3"/>
  <c r="H79" i="3"/>
  <c r="H80" i="3"/>
  <c r="H20" i="3"/>
  <c r="H611" i="3"/>
  <c r="H402" i="3"/>
  <c r="H153" i="3"/>
  <c r="H1479" i="3"/>
  <c r="H515" i="3"/>
  <c r="H962" i="3"/>
  <c r="H800" i="3"/>
  <c r="H481" i="3"/>
  <c r="H1497" i="3"/>
  <c r="H255" i="3"/>
  <c r="H946" i="3"/>
  <c r="H980" i="3"/>
  <c r="H1142" i="3"/>
  <c r="H814" i="3"/>
  <c r="H154" i="3"/>
  <c r="H601" i="3"/>
  <c r="H925" i="3"/>
  <c r="H445" i="3"/>
  <c r="H1086" i="3"/>
  <c r="H635" i="3"/>
  <c r="H612" i="3"/>
  <c r="H1442" i="3"/>
  <c r="H1480" i="3"/>
  <c r="H137" i="3"/>
  <c r="H188" i="3"/>
  <c r="H1067" i="3"/>
  <c r="H1498" i="3"/>
  <c r="H29" i="3"/>
  <c r="H852" i="3"/>
  <c r="H963" i="3"/>
  <c r="H624" i="3"/>
  <c r="H100" i="3"/>
  <c r="H189" i="3"/>
  <c r="H418" i="3"/>
  <c r="H1155" i="3"/>
  <c r="H683" i="3"/>
  <c r="H1481" i="3"/>
  <c r="H1114" i="3"/>
  <c r="H964" i="3"/>
  <c r="H981" i="3"/>
  <c r="H101" i="3"/>
  <c r="H636" i="3"/>
  <c r="H674" i="3"/>
  <c r="H482" i="3"/>
  <c r="H256" i="3"/>
  <c r="H699" i="3"/>
  <c r="H1241" i="3"/>
  <c r="H886" i="3"/>
  <c r="H1482" i="3"/>
  <c r="H1287" i="3"/>
  <c r="H1165" i="3"/>
  <c r="H905" i="3"/>
  <c r="H271" i="3"/>
  <c r="H419" i="3"/>
  <c r="H1408" i="3"/>
  <c r="H733" i="3"/>
  <c r="H403" i="3"/>
  <c r="H257" i="3"/>
  <c r="H538" i="3"/>
  <c r="H539" i="3"/>
  <c r="H827" i="3"/>
  <c r="H1483" i="3"/>
  <c r="H1422" i="3"/>
  <c r="H684" i="3"/>
  <c r="H1499" i="3"/>
  <c r="H516" i="3"/>
  <c r="H815" i="3"/>
  <c r="H1500" i="3"/>
  <c r="H906" i="3"/>
  <c r="H907" i="3"/>
  <c r="H214" i="3"/>
  <c r="H717" i="3"/>
  <c r="H662" i="3"/>
  <c r="H1342" i="3"/>
  <c r="H838" i="3"/>
  <c r="H119" i="3"/>
  <c r="H571" i="3"/>
  <c r="H870" i="3"/>
  <c r="H350" i="3"/>
  <c r="H1204" i="3"/>
  <c r="H982" i="3"/>
  <c r="H908" i="3"/>
  <c r="H155" i="3"/>
  <c r="H675" i="3"/>
  <c r="H734" i="3"/>
  <c r="H483" i="3"/>
  <c r="H1460" i="3"/>
  <c r="H1267" i="3"/>
  <c r="H934" i="3"/>
  <c r="H1037" i="3"/>
  <c r="H1252" i="3"/>
  <c r="H1461" i="3"/>
  <c r="H420" i="3"/>
  <c r="H935" i="3"/>
  <c r="H1288" i="3"/>
  <c r="H1394" i="3"/>
  <c r="H1205" i="3"/>
  <c r="H367" i="3"/>
  <c r="H102" i="3"/>
  <c r="H947" i="3"/>
  <c r="H602" i="3"/>
  <c r="H589" i="3"/>
  <c r="H421" i="3"/>
  <c r="H1022" i="3"/>
  <c r="H404" i="3"/>
  <c r="H44" i="3"/>
  <c r="H311" i="3"/>
  <c r="H839" i="3"/>
  <c r="H540" i="3"/>
  <c r="H30" i="3"/>
  <c r="H553" i="3"/>
  <c r="H983" i="3"/>
  <c r="H613" i="3"/>
  <c r="H1363" i="3"/>
  <c r="H871" i="3"/>
  <c r="H1289" i="3"/>
  <c r="H312" i="3"/>
  <c r="H735" i="3"/>
  <c r="H1050" i="3"/>
  <c r="H272" i="3"/>
  <c r="H1115" i="3"/>
  <c r="H296" i="3"/>
  <c r="H625" i="3"/>
  <c r="H484" i="3"/>
  <c r="H1501" i="3"/>
  <c r="H1462" i="3"/>
  <c r="H747" i="3"/>
  <c r="H1309" i="3"/>
  <c r="H1023" i="3"/>
  <c r="H762" i="3"/>
  <c r="H215" i="3"/>
  <c r="H853" i="3"/>
  <c r="H313" i="3"/>
  <c r="H1101" i="3"/>
  <c r="H1009" i="3"/>
  <c r="H554" i="3"/>
  <c r="H887" i="3"/>
  <c r="H854" i="3"/>
  <c r="H801" i="3"/>
  <c r="H816" i="3"/>
  <c r="H459" i="3"/>
  <c r="H190" i="3"/>
  <c r="H241" i="3"/>
  <c r="H855" i="3"/>
  <c r="H1268" i="3"/>
  <c r="H700" i="3"/>
  <c r="H1310" i="3"/>
  <c r="H351" i="3"/>
  <c r="H216" i="3"/>
  <c r="H936" i="3"/>
  <c r="H1343" i="3"/>
  <c r="H1364" i="3"/>
  <c r="H352" i="3"/>
  <c r="H637" i="3"/>
  <c r="H353" i="3"/>
  <c r="H1409" i="3"/>
  <c r="H1087" i="3"/>
  <c r="H763" i="3"/>
  <c r="H926" i="3"/>
  <c r="H802" i="3"/>
  <c r="H1327" i="3"/>
  <c r="H191" i="3"/>
  <c r="H663" i="3"/>
  <c r="H1178" i="3"/>
  <c r="H170" i="3"/>
  <c r="H368" i="3"/>
  <c r="H1024" i="3"/>
  <c r="H828" i="3"/>
  <c r="H1395" i="3"/>
  <c r="H984" i="3"/>
  <c r="H927" i="3"/>
  <c r="I6" i="5"/>
  <c r="H6" i="5"/>
  <c r="G6" i="5"/>
  <c r="I5" i="5"/>
  <c r="H5" i="5"/>
  <c r="G5" i="5"/>
  <c r="B7" i="5"/>
  <c r="B6" i="5"/>
  <c r="B5" i="5"/>
  <c r="O5" i="5"/>
  <c r="N5" i="5"/>
  <c r="M5" i="5"/>
  <c r="S6" i="5"/>
  <c r="S5" i="5"/>
  <c r="S4" i="5"/>
  <c r="B4" i="5"/>
  <c r="V3" i="5" a="1"/>
  <c r="V3" i="5" s="1"/>
  <c r="C7" i="5" l="1"/>
  <c r="C5" i="5"/>
  <c r="N6" i="5"/>
  <c r="O6" i="5"/>
  <c r="M6" i="5"/>
  <c r="P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7C370A-703D-4071-8844-41D532F1A346}" keepAlive="1" name="Query - Allocation Rule explained" description="Connection to the 'Allocation Rule explained' query in the workbook." type="5" refreshedVersion="8" background="1" saveData="1">
    <dbPr connection="Provider=Microsoft.Mashup.OleDb.1;Data Source=$Workbook$;Location=&quot;Allocation Rule explained&quot;;Extended Properties=&quot;&quot;" command="SELECT * FROM [Allocation Rule explained]"/>
  </connection>
  <connection id="2" xr16:uid="{998974CB-B444-412F-893B-70A90DD3C92D}" keepAlive="1" name="Query - Delivery data" description="Connection to the 'Delivery data' query in the workbook." type="5" refreshedVersion="8" background="1" saveData="1">
    <dbPr connection="Provider=Microsoft.Mashup.OleDb.1;Data Source=$Workbook$;Location=&quot;Delivery data&quot;;Extended Properties=&quot;&quot;" command="SELECT * FROM [Delivery data]"/>
  </connection>
  <connection id="3" xr16:uid="{E8A55439-C4F5-4952-89A9-E1B44427EE8E}" keepAlive="1" name="Query - Preliminary Analysis" description="Connection to the 'Preliminary Analysis' query in the workbook." type="5" refreshedVersion="8" background="1" saveData="1">
    <dbPr connection="Provider=Microsoft.Mashup.OleDb.1;Data Source=$Workbook$;Location=&quot;Preliminary Analysis&quot;;Extended Properties=&quot;&quot;" command="SELECT * FROM [Preliminary Analysi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<sst xmlns="http://schemas.openxmlformats.org/spreadsheetml/2006/main" count="15083" uniqueCount="3136">
  <si>
    <t>Allocation Rule</t>
  </si>
  <si>
    <t>Explanation</t>
  </si>
  <si>
    <t xml:space="preserve">Standard Rules  </t>
  </si>
  <si>
    <t>Orders assigned this rule are processed using default allocation criteria, considering factors like order volume, geographic location, and delivery time windows. This represents the standard operating procedure for resource allocation.</t>
  </si>
  <si>
    <t xml:space="preserve">Expedited Rules  </t>
  </si>
  <si>
    <t>Orders assigned this rule receive priority treatment. Resources are allocated to expedite processing and delivery, typically applied to urgent or time-sensitive orders.</t>
  </si>
  <si>
    <t xml:space="preserve">Custom Rules    </t>
  </si>
  <si>
    <t>Custom allocation rules may be applied to specific orders. These rules are tailored to unique scenarios or customer requirements and can include specialized allocation criteria or preferences.</t>
  </si>
  <si>
    <t>Order ID</t>
  </si>
  <si>
    <t>Delivery Address</t>
  </si>
  <si>
    <t>Order date</t>
  </si>
  <si>
    <t>Order time</t>
  </si>
  <si>
    <t>Order Status</t>
  </si>
  <si>
    <t>Driver ID</t>
  </si>
  <si>
    <t>Current Location</t>
  </si>
  <si>
    <t>Delivery Time (min)</t>
  </si>
  <si>
    <t>Delays (min)</t>
  </si>
  <si>
    <t>Customer Feedback</t>
  </si>
  <si>
    <t>Route</t>
  </si>
  <si>
    <t>Delivery Zone</t>
  </si>
  <si>
    <t>Allocation Rules</t>
  </si>
  <si>
    <t>884 Main St, Citye</t>
  </si>
  <si>
    <t>Completed</t>
  </si>
  <si>
    <t>D59</t>
  </si>
  <si>
    <t>City E</t>
  </si>
  <si>
    <t>Neutral</t>
  </si>
  <si>
    <t>Route2</t>
  </si>
  <si>
    <t>Zone2</t>
  </si>
  <si>
    <t>Custom Rules</t>
  </si>
  <si>
    <t>55 Oak St, Citye</t>
  </si>
  <si>
    <t>D4</t>
  </si>
  <si>
    <t>City A</t>
  </si>
  <si>
    <t>Positive</t>
  </si>
  <si>
    <t>Route1</t>
  </si>
  <si>
    <t>Zone3</t>
  </si>
  <si>
    <t>123 Main St, Citye</t>
  </si>
  <si>
    <t>D21</t>
  </si>
  <si>
    <t>City D</t>
  </si>
  <si>
    <t>Negative</t>
  </si>
  <si>
    <t>66 Cedar St, Cityd</t>
  </si>
  <si>
    <t>D70</t>
  </si>
  <si>
    <t>Route3</t>
  </si>
  <si>
    <t>748 Elm St, Cityb</t>
  </si>
  <si>
    <t>D77</t>
  </si>
  <si>
    <t>City C</t>
  </si>
  <si>
    <t>Zone1</t>
  </si>
  <si>
    <t>Expedited Rules</t>
  </si>
  <si>
    <t>255 Cedar St, Cityb</t>
  </si>
  <si>
    <t>In Progress</t>
  </si>
  <si>
    <t>D54</t>
  </si>
  <si>
    <t>Route5</t>
  </si>
  <si>
    <t>Standard Rules</t>
  </si>
  <si>
    <t>856 Elm St, Citya</t>
  </si>
  <si>
    <t>D99</t>
  </si>
  <si>
    <t>Route4</t>
  </si>
  <si>
    <t>665 Pine St, Citya</t>
  </si>
  <si>
    <t>D84</t>
  </si>
  <si>
    <t>340 Main St, Citya</t>
  </si>
  <si>
    <t>D49</t>
  </si>
  <si>
    <t>969 Pine St, Citye</t>
  </si>
  <si>
    <t>D53</t>
  </si>
  <si>
    <t>City B</t>
  </si>
  <si>
    <t>718 Pine St, Cityd</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</si>
  <si>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</si>
  <si>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</si>
  <si>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</si>
  <si>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</si>
  <si>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</si>
  <si>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</si>
  <si>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</si>
  <si>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</si>
  <si>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</si>
  <si>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</si>
  <si>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</si>
  <si>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</si>
  <si>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</si>
  <si>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</si>
  <si>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</si>
  <si>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</si>
  <si>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</si>
  <si>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</si>
  <si>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</si>
  <si>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</si>
  <si>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</si>
  <si>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</si>
  <si>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</si>
  <si>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</si>
  <si>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5 Oak St, Cityd</t>
  </si>
  <si>
    <t>D10</t>
  </si>
  <si>
    <t>314 Main St, Citye</t>
  </si>
  <si>
    <t>D5</t>
  </si>
  <si>
    <t>577 Oak St, Citya</t>
  </si>
  <si>
    <t>D14</t>
  </si>
  <si>
    <t>979 Elm St, Cityb</t>
  </si>
  <si>
    <t>D80</t>
  </si>
  <si>
    <t>652 Cedar St, Cityd</t>
  </si>
  <si>
    <t>D90</t>
  </si>
  <si>
    <t>187 Cedar St, Cityb</t>
  </si>
  <si>
    <t>D60</t>
  </si>
  <si>
    <t>1000 Oak St, Citya</t>
  </si>
  <si>
    <t>D42</t>
  </si>
  <si>
    <t>894 Elm St, Citye</t>
  </si>
  <si>
    <t>D82</t>
  </si>
  <si>
    <t>384 Cedar St, Cityb</t>
  </si>
  <si>
    <t>D27</t>
  </si>
  <si>
    <t>913 Pine St, Cityb</t>
  </si>
  <si>
    <t>D43</t>
  </si>
  <si>
    <t>520 Elm St, Cityd</t>
  </si>
  <si>
    <t>D69</t>
  </si>
  <si>
    <t>32 Cedar St, Citya</t>
  </si>
  <si>
    <t>958 Cedar St, Citya</t>
  </si>
  <si>
    <t>D39</t>
  </si>
  <si>
    <t>827 Oak St, Cityc</t>
  </si>
  <si>
    <t>111 Oak St, Cityb</t>
  </si>
  <si>
    <t>D34</t>
  </si>
  <si>
    <t>605 Cedar St, Cityb</t>
  </si>
  <si>
    <t>D6</t>
  </si>
  <si>
    <t>922 Main St, Cityd</t>
  </si>
  <si>
    <t>D48</t>
  </si>
  <si>
    <t>198 Cedar St, Cityb</t>
  </si>
  <si>
    <t>D16</t>
  </si>
  <si>
    <t>628 Oak St, Cityd</t>
  </si>
  <si>
    <t>951 Cedar St, Cityd</t>
  </si>
  <si>
    <t>D25</t>
  </si>
  <si>
    <t>803 Pine St, Citya</t>
  </si>
  <si>
    <t>D86</t>
  </si>
  <si>
    <t>685 Cedar St, Citya</t>
  </si>
  <si>
    <t>D72</t>
  </si>
  <si>
    <t>347 Elm St, Cityc</t>
  </si>
  <si>
    <t>145 Elm St, Cityd</t>
  </si>
  <si>
    <t>193 Pine St, Citya</t>
  </si>
  <si>
    <t>D18</t>
  </si>
  <si>
    <t>367 Main St, Cityd</t>
  </si>
  <si>
    <t>D63</t>
  </si>
  <si>
    <t>831 Cedar St, Citya</t>
  </si>
  <si>
    <t>D28</t>
  </si>
  <si>
    <t>869 Cedar St, Citya</t>
  </si>
  <si>
    <t>D2</t>
  </si>
  <si>
    <t>680 Oak St, Citye</t>
  </si>
  <si>
    <t>577 Cedar St, Citye</t>
  </si>
  <si>
    <t>D19</t>
  </si>
  <si>
    <t>535 Pine St, Citye</t>
  </si>
  <si>
    <t>659 Elm St, Cityc</t>
  </si>
  <si>
    <t>329 Elm St, Cityd</t>
  </si>
  <si>
    <t>782 Elm St, Cityc</t>
  </si>
  <si>
    <t>D55</t>
  </si>
  <si>
    <t>967 Pine St, Cityd</t>
  </si>
  <si>
    <t>446 Pine St, Citya</t>
  </si>
  <si>
    <t>D66</t>
  </si>
  <si>
    <t>503 Main St, Cityd</t>
  </si>
  <si>
    <t>107 Oak St, Citye</t>
  </si>
  <si>
    <t>496 Cedar St, Cityd</t>
  </si>
  <si>
    <t>314 Pine St, Cityc</t>
  </si>
  <si>
    <t>790 Main St, Citye</t>
  </si>
  <si>
    <t>D87</t>
  </si>
  <si>
    <t>852 Main St, Cityb</t>
  </si>
  <si>
    <t>D35</t>
  </si>
  <si>
    <t>970 Main St, Cityc</t>
  </si>
  <si>
    <t>914 Cedar St, Citye</t>
  </si>
  <si>
    <t>D15</t>
  </si>
  <si>
    <t>556 Elm St, Cityc</t>
  </si>
  <si>
    <t>D68</t>
  </si>
  <si>
    <t>757 Main St, Citye</t>
  </si>
  <si>
    <t>D97</t>
  </si>
  <si>
    <t>29 Main St, Cityc</t>
  </si>
  <si>
    <t>D75</t>
  </si>
  <si>
    <t>395 Elm St, Cityc</t>
  </si>
  <si>
    <t>D30</t>
  </si>
  <si>
    <t>988 Cedar St, Citya</t>
  </si>
  <si>
    <t>D76</t>
  </si>
  <si>
    <t>844 Pine St, Citye</t>
  </si>
  <si>
    <t>D41</t>
  </si>
  <si>
    <t>537 Elm St, Citye</t>
  </si>
  <si>
    <t>380 Main St, Cityb</t>
  </si>
  <si>
    <t>D3</t>
  </si>
  <si>
    <t>102 Pine St, Cityb</t>
  </si>
  <si>
    <t>D74</t>
  </si>
  <si>
    <t>914 Elm St, Cityc</t>
  </si>
  <si>
    <t>75 Elm St, Cityd</t>
  </si>
  <si>
    <t>212 Cedar St, Citye</t>
  </si>
  <si>
    <t>16 Main St, Cityd</t>
  </si>
  <si>
    <t>211 Main St, Cityc</t>
  </si>
  <si>
    <t>D64</t>
  </si>
  <si>
    <t>5 Elm St, Cityc</t>
  </si>
  <si>
    <t>D52</t>
  </si>
  <si>
    <t>182 Pine St, Cityb</t>
  </si>
  <si>
    <t>381 Pine St, Citya</t>
  </si>
  <si>
    <t>D89</t>
  </si>
  <si>
    <t>160 Elm St, Citye</t>
  </si>
  <si>
    <t>253 Cedar St, Cityc</t>
  </si>
  <si>
    <t>D85</t>
  </si>
  <si>
    <t>904 Pine St, Citye</t>
  </si>
  <si>
    <t>D78</t>
  </si>
  <si>
    <t>728 Oak St, Cityb</t>
  </si>
  <si>
    <t>D81</t>
  </si>
  <si>
    <t>963 Oak St, Cityd</t>
  </si>
  <si>
    <t>707 Main St, Cityd</t>
  </si>
  <si>
    <t>844 Pine St, Cityd</t>
  </si>
  <si>
    <t>D73</t>
  </si>
  <si>
    <t>285 Elm St, Cityd</t>
  </si>
  <si>
    <t>260 Cedar St, Citya</t>
  </si>
  <si>
    <t>642 Pine St, Citya</t>
  </si>
  <si>
    <t>D65</t>
  </si>
  <si>
    <t>713 Pine St, Cityb</t>
  </si>
  <si>
    <t>679 Elm St, Citya</t>
  </si>
  <si>
    <t>D98</t>
  </si>
  <si>
    <t>653 Main St, Citya</t>
  </si>
  <si>
    <t>D36</t>
  </si>
  <si>
    <t>163 Pine St, Citya</t>
  </si>
  <si>
    <t>D79</t>
  </si>
  <si>
    <t>188 Cedar St, Cityc</t>
  </si>
  <si>
    <t>172 Oak St, Cityd</t>
  </si>
  <si>
    <t>292 Cedar St, Cityc</t>
  </si>
  <si>
    <t>112 Main St, Cityd</t>
  </si>
  <si>
    <t>843 Elm St, Citya</t>
  </si>
  <si>
    <t>569 Pine St, Cityb</t>
  </si>
  <si>
    <t>D45</t>
  </si>
  <si>
    <t>131 Cedar St, Citya</t>
  </si>
  <si>
    <t>481 Pine St, Citya</t>
  </si>
  <si>
    <t>115 Elm St, Citya</t>
  </si>
  <si>
    <t>D31</t>
  </si>
  <si>
    <t>854 Pine St, Cityb</t>
  </si>
  <si>
    <t>86 Main St, Cityb</t>
  </si>
  <si>
    <t>447 Cedar St, Cityc</t>
  </si>
  <si>
    <t>449 Elm St, Cityd</t>
  </si>
  <si>
    <t>D96</t>
  </si>
  <si>
    <t>612 Main St, Citye</t>
  </si>
  <si>
    <t>786 Elm St, Cityb</t>
  </si>
  <si>
    <t>743 Oak St, Citya</t>
  </si>
  <si>
    <t>583 Main St, Cityb</t>
  </si>
  <si>
    <t>350 Oak St, Cityb</t>
  </si>
  <si>
    <t>359 Pine St, Cityb</t>
  </si>
  <si>
    <t>924 Main St, Cityd</t>
  </si>
  <si>
    <t>D26</t>
  </si>
  <si>
    <t>390 Elm St, Cityc</t>
  </si>
  <si>
    <t>518 Main St, Cityb</t>
  </si>
  <si>
    <t>D83</t>
  </si>
  <si>
    <t>189 Elm St, Cityc</t>
  </si>
  <si>
    <t>674 Pine St, Citya</t>
  </si>
  <si>
    <t>D71</t>
  </si>
  <si>
    <t>893 Pine St, Citya</t>
  </si>
  <si>
    <t>864 Elm St, Citye</t>
  </si>
  <si>
    <t>542 Oak St, Citye</t>
  </si>
  <si>
    <t>165 Elm St, Citye</t>
  </si>
  <si>
    <t>988 Oak St, Citya</t>
  </si>
  <si>
    <t>D50</t>
  </si>
  <si>
    <t>115 Main St, Cityd</t>
  </si>
  <si>
    <t>531 Cedar St, Citya</t>
  </si>
  <si>
    <t>D100</t>
  </si>
  <si>
    <t>634 Elm St, Cityc</t>
  </si>
  <si>
    <t>D93</t>
  </si>
  <si>
    <t>924 Main St, Cityb</t>
  </si>
  <si>
    <t>7 Pine St, Citya</t>
  </si>
  <si>
    <t>577 Main St, Cityd</t>
  </si>
  <si>
    <t>D40</t>
  </si>
  <si>
    <t>788 Cedar St, Citya</t>
  </si>
  <si>
    <t>878 Elm St, Citya</t>
  </si>
  <si>
    <t>578 Cedar St, Citya</t>
  </si>
  <si>
    <t>21 Pine St, Citye</t>
  </si>
  <si>
    <t>661 Pine St, Cityc</t>
  </si>
  <si>
    <t>703 Cedar St, Cityd</t>
  </si>
  <si>
    <t>461 Elm St, Cityd</t>
  </si>
  <si>
    <t>628 Oak St, Cityc</t>
  </si>
  <si>
    <t>652 Pine St, Cityd</t>
  </si>
  <si>
    <t>942 Elm St, Cityd</t>
  </si>
  <si>
    <t>550 Oak St, Cityb</t>
  </si>
  <si>
    <t>D61</t>
  </si>
  <si>
    <t>148 Oak St, Cityb</t>
  </si>
  <si>
    <t>D57</t>
  </si>
  <si>
    <t>987 Pine St, Cityc</t>
  </si>
  <si>
    <t>904 Elm St, Cityc</t>
  </si>
  <si>
    <t>758 Main St, Cityd</t>
  </si>
  <si>
    <t>D46</t>
  </si>
  <si>
    <t>825 Oak St, Cityb</t>
  </si>
  <si>
    <t>44 Pine St, Cityd</t>
  </si>
  <si>
    <t>D29</t>
  </si>
  <si>
    <t>728 Cedar St, Cityb</t>
  </si>
  <si>
    <t>D94</t>
  </si>
  <si>
    <t>412 Elm St, Cityc</t>
  </si>
  <si>
    <t>214 Pine St, Cityd</t>
  </si>
  <si>
    <t>905 Pine St, Cityd</t>
  </si>
  <si>
    <t>752 Pine St, Cityd</t>
  </si>
  <si>
    <t>D37</t>
  </si>
  <si>
    <t>976 Pine St, Cityd</t>
  </si>
  <si>
    <t>373 Oak St, Cityc</t>
  </si>
  <si>
    <t>682 Pine St, Cityb</t>
  </si>
  <si>
    <t>D58</t>
  </si>
  <si>
    <t>741 Cedar St, Cityb</t>
  </si>
  <si>
    <t>252 Elm St, Cityb</t>
  </si>
  <si>
    <t>583 Elm St, Citye</t>
  </si>
  <si>
    <t>D13</t>
  </si>
  <si>
    <t>373 Pine St, Citye</t>
  </si>
  <si>
    <t>884 Pine St, Cityc</t>
  </si>
  <si>
    <t>D92</t>
  </si>
  <si>
    <t>660 Oak St, Cityb</t>
  </si>
  <si>
    <t>403 Elm St, Cityd</t>
  </si>
  <si>
    <t>112 Cedar St, Cityd</t>
  </si>
  <si>
    <t>308 Cedar St, Cityd</t>
  </si>
  <si>
    <t>53 Elm St, Cityb</t>
  </si>
  <si>
    <t>346 Cedar St, Cityb</t>
  </si>
  <si>
    <t>676 Pine St, Citye</t>
  </si>
  <si>
    <t>443 Elm St, Cityd</t>
  </si>
  <si>
    <t>25 Elm St, Cityd</t>
  </si>
  <si>
    <t>582 Elm St, Cityc</t>
  </si>
  <si>
    <t>764 Cedar St, Cityb</t>
  </si>
  <si>
    <t>657 Pine St, Citye</t>
  </si>
  <si>
    <t>D24</t>
  </si>
  <si>
    <t>801 Elm St, Cityb</t>
  </si>
  <si>
    <t>422 Oak St, Cityd</t>
  </si>
  <si>
    <t>D17</t>
  </si>
  <si>
    <t>252 Elm St, Cityd</t>
  </si>
  <si>
    <t>D51</t>
  </si>
  <si>
    <t>324 Cedar St, Citye</t>
  </si>
  <si>
    <t>544 Main St, Citya</t>
  </si>
  <si>
    <t>806 Main St, Citya</t>
  </si>
  <si>
    <t>22 Main St, Citya</t>
  </si>
  <si>
    <t>D22</t>
  </si>
  <si>
    <t>340 Main St, Cityc</t>
  </si>
  <si>
    <t>954 Oak St, Cityb</t>
  </si>
  <si>
    <t>762 Elm St, Cityb</t>
  </si>
  <si>
    <t>315 Main St, Cityc</t>
  </si>
  <si>
    <t>639 Oak St, Citye</t>
  </si>
  <si>
    <t>927 Pine St, Cityd</t>
  </si>
  <si>
    <t>311 Main St, Citye</t>
  </si>
  <si>
    <t>164 Elm St, Cityb</t>
  </si>
  <si>
    <t>426 Main St, Citye</t>
  </si>
  <si>
    <t>933 Cedar St, Cityd</t>
  </si>
  <si>
    <t>163 Cedar St, Citye</t>
  </si>
  <si>
    <t>644 Pine St, Cityc</t>
  </si>
  <si>
    <t>707 Elm St, Citya</t>
  </si>
  <si>
    <t>680 Elm St, Cityd</t>
  </si>
  <si>
    <t>100 Main St, Cityb</t>
  </si>
  <si>
    <t>902 Pine St, Cityd</t>
  </si>
  <si>
    <t>389 Pine St, Cityb</t>
  </si>
  <si>
    <t>786 Main St, Citye</t>
  </si>
  <si>
    <t>705 Oak St, Cityd</t>
  </si>
  <si>
    <t>599 Cedar St, Cityb</t>
  </si>
  <si>
    <t>459 Main St, Cityd</t>
  </si>
  <si>
    <t>D8</t>
  </si>
  <si>
    <t>970 Cedar St, Cityc</t>
  </si>
  <si>
    <t>907 Oak St, Citya</t>
  </si>
  <si>
    <t>908 Oak St, Citya</t>
  </si>
  <si>
    <t>182 Elm St, Citye</t>
  </si>
  <si>
    <t>308 Pine St, Cityb</t>
  </si>
  <si>
    <t>114 Elm St, Cityc</t>
  </si>
  <si>
    <t>300 Main St, Cityc</t>
  </si>
  <si>
    <t>618 Pine St, Citya</t>
  </si>
  <si>
    <t>637 Cedar St, Cityd</t>
  </si>
  <si>
    <t>174 Oak St, Cityc</t>
  </si>
  <si>
    <t>197 Cedar St, Cityc</t>
  </si>
  <si>
    <t>533 Main St, Cityd</t>
  </si>
  <si>
    <t>327 Elm St, Citya</t>
  </si>
  <si>
    <t>665 Elm St, Cityc</t>
  </si>
  <si>
    <t>270 Pine St, Cityd</t>
  </si>
  <si>
    <t>346 Main St, Cityc</t>
  </si>
  <si>
    <t>768 Pine St, Citya</t>
  </si>
  <si>
    <t>341 Cedar St, Citya</t>
  </si>
  <si>
    <t>134 Cedar St, Citya</t>
  </si>
  <si>
    <t>753 Cedar St, Citya</t>
  </si>
  <si>
    <t>310 Pine St, Cityb</t>
  </si>
  <si>
    <t>D62</t>
  </si>
  <si>
    <t>398 Main St, Cityc</t>
  </si>
  <si>
    <t>714 Pine St, Cityc</t>
  </si>
  <si>
    <t>376 Cedar St, Cityd</t>
  </si>
  <si>
    <t>417 Oak St, Cityb</t>
  </si>
  <si>
    <t>966 Oak St, Cityc</t>
  </si>
  <si>
    <t>566 Elm St, Cityd</t>
  </si>
  <si>
    <t>289 Oak St, Citya</t>
  </si>
  <si>
    <t>936 Pine St, Citya</t>
  </si>
  <si>
    <t>825 Oak St, Citye</t>
  </si>
  <si>
    <t>918 Main St, Citya</t>
  </si>
  <si>
    <t>831 Elm St, Citya</t>
  </si>
  <si>
    <t>249 Main St, Cityb</t>
  </si>
  <si>
    <t>383 Main St, Cityb</t>
  </si>
  <si>
    <t>586 Elm St, Citya</t>
  </si>
  <si>
    <t>D95</t>
  </si>
  <si>
    <t>885 Main St, Citya</t>
  </si>
  <si>
    <t>741 Main St, Cityc</t>
  </si>
  <si>
    <t>892 Cedar St, Citya</t>
  </si>
  <si>
    <t>D20</t>
  </si>
  <si>
    <t>160 Cedar St, Cityd</t>
  </si>
  <si>
    <t>647 Oak St, Citya</t>
  </si>
  <si>
    <t>628 Main St, Citya</t>
  </si>
  <si>
    <t>722 Elm St, Cityb</t>
  </si>
  <si>
    <t>941 Main St, Cityb</t>
  </si>
  <si>
    <t>94 Main St, Citya</t>
  </si>
  <si>
    <t>444 Elm St, Cityb</t>
  </si>
  <si>
    <t>52 Main St, Cityd</t>
  </si>
  <si>
    <t>329 Cedar St, Cityb</t>
  </si>
  <si>
    <t>488 Elm St, Cityd</t>
  </si>
  <si>
    <t>620 Elm St, Cityd</t>
  </si>
  <si>
    <t>295 Cedar St, Citya</t>
  </si>
  <si>
    <t>454 Elm St, Citye</t>
  </si>
  <si>
    <t>7 Main St, Cityb</t>
  </si>
  <si>
    <t>998 Elm St, Cityc</t>
  </si>
  <si>
    <t>148 Cedar St, Citye</t>
  </si>
  <si>
    <t>997 Elm St, Citya</t>
  </si>
  <si>
    <t>720 Main St, Cityb</t>
  </si>
  <si>
    <t>192 Oak St, Cityb</t>
  </si>
  <si>
    <t>167 Pine St, Citye</t>
  </si>
  <si>
    <t>304 Cedar St, Cityd</t>
  </si>
  <si>
    <t>519 Oak St, Cityb</t>
  </si>
  <si>
    <t>437 Oak St, Cityc</t>
  </si>
  <si>
    <t>754 Elm St, Citye</t>
  </si>
  <si>
    <t>8 Oak St, Cityc</t>
  </si>
  <si>
    <t>773 Elm St, Citya</t>
  </si>
  <si>
    <t>64 Main St, Cityd</t>
  </si>
  <si>
    <t>353 Main St, Citye</t>
  </si>
  <si>
    <t>D7</t>
  </si>
  <si>
    <t>774 Pine St, Citya</t>
  </si>
  <si>
    <t>691 Pine St, Citya</t>
  </si>
  <si>
    <t>763 Main St, Cityc</t>
  </si>
  <si>
    <t>603 Oak St, Citye</t>
  </si>
  <si>
    <t>695 Main St, Citye</t>
  </si>
  <si>
    <t>269 Oak St, Cityd</t>
  </si>
  <si>
    <t>D56</t>
  </si>
  <si>
    <t>367 Pine St, Cityc</t>
  </si>
  <si>
    <t>512 Oak St, Cityd</t>
  </si>
  <si>
    <t>321 Cedar St, Cityb</t>
  </si>
  <si>
    <t>234 Cedar St, Cityb</t>
  </si>
  <si>
    <t>44 Oak St, Cityd</t>
  </si>
  <si>
    <t>477 Pine St, Cityc</t>
  </si>
  <si>
    <t>946 Pine St, Cityd</t>
  </si>
  <si>
    <t>890 Pine St, Cityd</t>
  </si>
  <si>
    <t>157 Elm St, Cityd</t>
  </si>
  <si>
    <t>430 Main St, Cityb</t>
  </si>
  <si>
    <t>808 Oak St, Cityd</t>
  </si>
  <si>
    <t>892 Elm St, Cityd</t>
  </si>
  <si>
    <t>375 Main St, Cityd</t>
  </si>
  <si>
    <t>811 Elm St, Cityb</t>
  </si>
  <si>
    <t>608 Elm St, Cityb</t>
  </si>
  <si>
    <t>98 Main St, Cityd</t>
  </si>
  <si>
    <t>484 Elm St, Cityc</t>
  </si>
  <si>
    <t>346 Elm St, Citya</t>
  </si>
  <si>
    <t>510 Pine St, Cityb</t>
  </si>
  <si>
    <t>311 Cedar St, Cityc</t>
  </si>
  <si>
    <t>234 Elm St, Cityd</t>
  </si>
  <si>
    <t>622 Pine St, Cityd</t>
  </si>
  <si>
    <t>446 Elm St, Cityd</t>
  </si>
  <si>
    <t>993 Main St, Cityc</t>
  </si>
  <si>
    <t>985 Main St, Citya</t>
  </si>
  <si>
    <t>976 Oak St, Cityd</t>
  </si>
  <si>
    <t>623 Oak St, Cityb</t>
  </si>
  <si>
    <t>241 Cedar St, Cityd</t>
  </si>
  <si>
    <t>823 Elm St, Cityd</t>
  </si>
  <si>
    <t>503 Main St, Cityc</t>
  </si>
  <si>
    <t>D47</t>
  </si>
  <si>
    <t>647 Elm St, Cityc</t>
  </si>
  <si>
    <t>646 Oak St, Citye</t>
  </si>
  <si>
    <t>440 Cedar St, Citya</t>
  </si>
  <si>
    <t>614 Elm St, Citye</t>
  </si>
  <si>
    <t>289 Oak St, Cityc</t>
  </si>
  <si>
    <t>827 Elm St, Cityc</t>
  </si>
  <si>
    <t>579 Pine St, Citya</t>
  </si>
  <si>
    <t>19 Pine St, Cityc</t>
  </si>
  <si>
    <t>428 Elm St, Cityb</t>
  </si>
  <si>
    <t>968 Oak St, Cityb</t>
  </si>
  <si>
    <t>932 Oak St, Cityd</t>
  </si>
  <si>
    <t>806 Oak St, Citye</t>
  </si>
  <si>
    <t>349 Cedar St, Cityc</t>
  </si>
  <si>
    <t>716 Elm St, Cityb</t>
  </si>
  <si>
    <t>989 Oak St, Citye</t>
  </si>
  <si>
    <t>995 Elm St, Citye</t>
  </si>
  <si>
    <t>625 Elm St, Cityb</t>
  </si>
  <si>
    <t>501 Cedar St, Cityd</t>
  </si>
  <si>
    <t>912 Main St, Cityc</t>
  </si>
  <si>
    <t>524 Main St, Cityd</t>
  </si>
  <si>
    <t>769 Elm St, Citye</t>
  </si>
  <si>
    <t>330 Main St, Citye</t>
  </si>
  <si>
    <t>503 Pine St, Citye</t>
  </si>
  <si>
    <t>923 Oak St, Citya</t>
  </si>
  <si>
    <t>461 Pine St, Cityb</t>
  </si>
  <si>
    <t>811 Oak St, Cityb</t>
  </si>
  <si>
    <t>D12</t>
  </si>
  <si>
    <t>373 Main St, Cityd</t>
  </si>
  <si>
    <t>253 Elm St, Citya</t>
  </si>
  <si>
    <t>336 Oak St, Citye</t>
  </si>
  <si>
    <t>495 Cedar St, Cityb</t>
  </si>
  <si>
    <t>803 Oak St, Cityc</t>
  </si>
  <si>
    <t>497 Oak St, Citye</t>
  </si>
  <si>
    <t>905 Cedar St, Cityb</t>
  </si>
  <si>
    <t>844 Elm St, Citye</t>
  </si>
  <si>
    <t>620 Main St, Cityc</t>
  </si>
  <si>
    <t>752 Main St, Cityb</t>
  </si>
  <si>
    <t>537 Cedar St, Cityc</t>
  </si>
  <si>
    <t>255 Pine St, Cityd</t>
  </si>
  <si>
    <t>718 Main St, Cityc</t>
  </si>
  <si>
    <t>268 Elm St, Cityb</t>
  </si>
  <si>
    <t>304 Main St, Citya</t>
  </si>
  <si>
    <t>668 Pine St, Citya</t>
  </si>
  <si>
    <t>378 Pine St, Cityb</t>
  </si>
  <si>
    <t>458 Pine St, Citye</t>
  </si>
  <si>
    <t>161 Cedar St, Cityd</t>
  </si>
  <si>
    <t>777 Oak St, Citya</t>
  </si>
  <si>
    <t>960 Oak St, Cityd</t>
  </si>
  <si>
    <t>283 Elm St, Citye</t>
  </si>
  <si>
    <t>465 Oak St, Cityb</t>
  </si>
  <si>
    <t>601 Elm St, Cityc</t>
  </si>
  <si>
    <t>980 Main St, Citya</t>
  </si>
  <si>
    <t>54 Oak St, Citye</t>
  </si>
  <si>
    <t>489 Oak St, Cityb</t>
  </si>
  <si>
    <t>323 Pine St, Citye</t>
  </si>
  <si>
    <t>27 Pine St, Cityc</t>
  </si>
  <si>
    <t>406 Elm St, Cityc</t>
  </si>
  <si>
    <t>628 Main St, Cityc</t>
  </si>
  <si>
    <t>332 Cedar St, Citye</t>
  </si>
  <si>
    <t>41 Cedar St, Citya</t>
  </si>
  <si>
    <t>741 Elm St, Cityd</t>
  </si>
  <si>
    <t>66 Main St, Cityb</t>
  </si>
  <si>
    <t>156 Main St, Citye</t>
  </si>
  <si>
    <t>168 Elm St, Citya</t>
  </si>
  <si>
    <t>773 Oak St, Cityc</t>
  </si>
  <si>
    <t>347 Main St, Cityd</t>
  </si>
  <si>
    <t>352 Main St, Cityd</t>
  </si>
  <si>
    <t>411 Cedar St, Citya</t>
  </si>
  <si>
    <t>538 Pine St, Cityd</t>
  </si>
  <si>
    <t>712 Elm St, Citye</t>
  </si>
  <si>
    <t>843 Main St, Cityb</t>
  </si>
  <si>
    <t>460 Elm St, Citya</t>
  </si>
  <si>
    <t>782 Oak St, Cityb</t>
  </si>
  <si>
    <t>246 Main St, Citye</t>
  </si>
  <si>
    <t>25 Main St, Cityb</t>
  </si>
  <si>
    <t>491 Main St, Citya</t>
  </si>
  <si>
    <t>225 Elm St, Cityb</t>
  </si>
  <si>
    <t>978 Elm St, Citye</t>
  </si>
  <si>
    <t>328 Oak St, Cityd</t>
  </si>
  <si>
    <t>775 Pine St, Citya</t>
  </si>
  <si>
    <t>523 Oak St, Cityd</t>
  </si>
  <si>
    <t>25 Pine St, Citye</t>
  </si>
  <si>
    <t>70 Main St, Cityb</t>
  </si>
  <si>
    <t>604 Main St, Cityb</t>
  </si>
  <si>
    <t>236 Cedar St, Cityd</t>
  </si>
  <si>
    <t>8 Oak St, Citya</t>
  </si>
  <si>
    <t>596 Oak St, Citye</t>
  </si>
  <si>
    <t>921 Elm St, Cityd</t>
  </si>
  <si>
    <t>218 Elm St, Citye</t>
  </si>
  <si>
    <t>8 Cedar St, Cityc</t>
  </si>
  <si>
    <t>273 Cedar St, Cityc</t>
  </si>
  <si>
    <t>524 Pine St, Cityb</t>
  </si>
  <si>
    <t>855 Elm St, Citye</t>
  </si>
  <si>
    <t>263 Oak St, Cityb</t>
  </si>
  <si>
    <t>335 Oak St, Cityd</t>
  </si>
  <si>
    <t>123 Oak St, Cityd</t>
  </si>
  <si>
    <t>30 Pine St, Citye</t>
  </si>
  <si>
    <t>991 Cedar St, Cityd</t>
  </si>
  <si>
    <t>210 Elm St, Citya</t>
  </si>
  <si>
    <t>43 Pine St, Citya</t>
  </si>
  <si>
    <t>761 Elm St, Cityb</t>
  </si>
  <si>
    <t>778 Cedar St, Cityc</t>
  </si>
  <si>
    <t>853 Elm St, Citye</t>
  </si>
  <si>
    <t>838 Oak St, Cityc</t>
  </si>
  <si>
    <t>475 Main St, Cityb</t>
  </si>
  <si>
    <t>581 Oak St, Cityb</t>
  </si>
  <si>
    <t>524 Main St, Cityc</t>
  </si>
  <si>
    <t>13 Elm St, Cityb</t>
  </si>
  <si>
    <t>882 Oak St, Cityb</t>
  </si>
  <si>
    <t>512 Pine St, Cityc</t>
  </si>
  <si>
    <t>469 Pine St, Citye</t>
  </si>
  <si>
    <t>772 Elm St, Cityd</t>
  </si>
  <si>
    <t>492 Cedar St, Citye</t>
  </si>
  <si>
    <t>293 Elm St, Citya</t>
  </si>
  <si>
    <t>632 Main St, Citya</t>
  </si>
  <si>
    <t>874 Main St, Citye</t>
  </si>
  <si>
    <t>52 Main St, Cityc</t>
  </si>
  <si>
    <t>953 Main St, Cityc</t>
  </si>
  <si>
    <t>456 Pine St, Citye</t>
  </si>
  <si>
    <t>985 Elm St, Citya</t>
  </si>
  <si>
    <t>55 Oak St, Cityb</t>
  </si>
  <si>
    <t>662 Elm St, Cityd</t>
  </si>
  <si>
    <t>760 Oak St, Citya</t>
  </si>
  <si>
    <t>287 Pine St, Citya</t>
  </si>
  <si>
    <t>305 Main St, Citya</t>
  </si>
  <si>
    <t>310 Elm St, Cityc</t>
  </si>
  <si>
    <t>468 Elm St, Citya</t>
  </si>
  <si>
    <t>942 Main St, Cityd</t>
  </si>
  <si>
    <t>179 Main St, Citya</t>
  </si>
  <si>
    <t>89 Elm St, Cityd</t>
  </si>
  <si>
    <t>891 Cedar St, Citye</t>
  </si>
  <si>
    <t>280 Oak St, Citya</t>
  </si>
  <si>
    <t>720 Cedar St, Cityd</t>
  </si>
  <si>
    <t>65 Elm St, Cityb</t>
  </si>
  <si>
    <t>67 Pine St, Cityd</t>
  </si>
  <si>
    <t>31 Main St, Cityd</t>
  </si>
  <si>
    <t>443 Pine St, Cityd</t>
  </si>
  <si>
    <t>180 Main St, Citye</t>
  </si>
  <si>
    <t>919 Main St, Citya</t>
  </si>
  <si>
    <t>983 Oak St, Cityc</t>
  </si>
  <si>
    <t>737 Pine St, Cityb</t>
  </si>
  <si>
    <t>822 Oak St, Citya</t>
  </si>
  <si>
    <t>688 Oak St, Cityb</t>
  </si>
  <si>
    <t>241 Pine St, Citya</t>
  </si>
  <si>
    <t>666 Main St, Citye</t>
  </si>
  <si>
    <t>856 Pine St, Citye</t>
  </si>
  <si>
    <t>975 Pine St, Cityb</t>
  </si>
  <si>
    <t>733 Main St, Cityc</t>
  </si>
  <si>
    <t>373 Main St, Citye</t>
  </si>
  <si>
    <t>377 Pine St, Cityd</t>
  </si>
  <si>
    <t>558 Elm St, Cityc</t>
  </si>
  <si>
    <t>675 Oak St, Citye</t>
  </si>
  <si>
    <t>554 Elm St, Cityc</t>
  </si>
  <si>
    <t>753 Oak St, Cityd</t>
  </si>
  <si>
    <t>179 Cedar St, Cityd</t>
  </si>
  <si>
    <t>382 Pine St, Cityc</t>
  </si>
  <si>
    <t>786 Oak St, Cityb</t>
  </si>
  <si>
    <t>834 Pine St, Citye</t>
  </si>
  <si>
    <t>418 Oak St, Cityd</t>
  </si>
  <si>
    <t>89 Cedar St, Cityc</t>
  </si>
  <si>
    <t>907 Elm St, Cityc</t>
  </si>
  <si>
    <t>947 Oak St, Cityd</t>
  </si>
  <si>
    <t>462 Cedar St, Cityb</t>
  </si>
  <si>
    <t>519 Elm St, Citye</t>
  </si>
  <si>
    <t>350 Cedar St, Cityb</t>
  </si>
  <si>
    <t>872 Cedar St, Cityb</t>
  </si>
  <si>
    <t>836 Elm St, Cityd</t>
  </si>
  <si>
    <t>84 Pine St, Citya</t>
  </si>
  <si>
    <t>514 Cedar St, Citya</t>
  </si>
  <si>
    <t>533 Main St, Citye</t>
  </si>
  <si>
    <t>5 Oak St, Citye</t>
  </si>
  <si>
    <t>681 Elm St, Cityb</t>
  </si>
  <si>
    <t>701 Oak St, Cityd</t>
  </si>
  <si>
    <t>120 Oak St, Cityc</t>
  </si>
  <si>
    <t>562 Pine St, Citye</t>
  </si>
  <si>
    <t>673 Pine St, Cityb</t>
  </si>
  <si>
    <t>591 Oak St, Cityd</t>
  </si>
  <si>
    <t>705 Main St, Cityb</t>
  </si>
  <si>
    <t>656 Pine St, Cityb</t>
  </si>
  <si>
    <t>855 Elm St, Citya</t>
  </si>
  <si>
    <t>915 Cedar St, Citya</t>
  </si>
  <si>
    <t>508 Elm St, Citya</t>
  </si>
  <si>
    <t>712 Oak St, Cityb</t>
  </si>
  <si>
    <t>774 Pine St, Cityc</t>
  </si>
  <si>
    <t>846 Elm St, Citye</t>
  </si>
  <si>
    <t>654 Main St, Cityb</t>
  </si>
  <si>
    <t>25 Main St, Citya</t>
  </si>
  <si>
    <t>303 Main St, Cityb</t>
  </si>
  <si>
    <t>191 Main St, Citya</t>
  </si>
  <si>
    <t>260 Pine St, Citya</t>
  </si>
  <si>
    <t>433 Oak St, Cityd</t>
  </si>
  <si>
    <t>11 Cedar St, Cityc</t>
  </si>
  <si>
    <t>352 Pine St, Cityc</t>
  </si>
  <si>
    <t>214 Oak St, Cityd</t>
  </si>
  <si>
    <t>635 Cedar St, Cityd</t>
  </si>
  <si>
    <t>651 Cedar St, Citye</t>
  </si>
  <si>
    <t>512 Oak St, Cityc</t>
  </si>
  <si>
    <t>32 Oak St, Cityd</t>
  </si>
  <si>
    <t>882 Pine St, Citye</t>
  </si>
  <si>
    <t>789 Main St, Cityd</t>
  </si>
  <si>
    <t>706 Cedar St, Citye</t>
  </si>
  <si>
    <t>902 Oak St, Cityd</t>
  </si>
  <si>
    <t>28 Pine St, Citya</t>
  </si>
  <si>
    <t>986 Pine St, Citya</t>
  </si>
  <si>
    <t>487 Oak St, Citye</t>
  </si>
  <si>
    <t>95 Main St, Cityb</t>
  </si>
  <si>
    <t>742 Main St, Cityd</t>
  </si>
  <si>
    <t>389 Oak St, Cityb</t>
  </si>
  <si>
    <t>619 Pine St, Citya</t>
  </si>
  <si>
    <t>331 Oak St, Citye</t>
  </si>
  <si>
    <t>796 Pine St, Cityb</t>
  </si>
  <si>
    <t>629 Pine St, Citya</t>
  </si>
  <si>
    <t>11 Elm St, Citye</t>
  </si>
  <si>
    <t>456 Main St, Citye</t>
  </si>
  <si>
    <t>186 Pine St, Cityc</t>
  </si>
  <si>
    <t>714 Cedar St, Cityd</t>
  </si>
  <si>
    <t>821 Cedar St, Citya</t>
  </si>
  <si>
    <t>715 Cedar St, Cityd</t>
  </si>
  <si>
    <t>179 Pine St, Cityc</t>
  </si>
  <si>
    <t>875 Elm St, Citya</t>
  </si>
  <si>
    <t>298 Cedar St, Cityc</t>
  </si>
  <si>
    <t>437 Main St, Cityb</t>
  </si>
  <si>
    <t>992 Main St, Cityb</t>
  </si>
  <si>
    <t>494 Pine St, Cityb</t>
  </si>
  <si>
    <t>6 Pine St, Cityb</t>
  </si>
  <si>
    <t>792 Pine St, Citya</t>
  </si>
  <si>
    <t>310 Elm St, Cityb</t>
  </si>
  <si>
    <t>349 Cedar St, Cityd</t>
  </si>
  <si>
    <t>235 Pine St, Citya</t>
  </si>
  <si>
    <t>104 Elm St, Cityb</t>
  </si>
  <si>
    <t>136 Cedar St, Citye</t>
  </si>
  <si>
    <t>25 Pine St, Cityd</t>
  </si>
  <si>
    <t>376 Pine St, Citya</t>
  </si>
  <si>
    <t>726 Cedar St, Cityc</t>
  </si>
  <si>
    <t>651 Cedar St, Citya</t>
  </si>
  <si>
    <t>429 Pine St, Citya</t>
  </si>
  <si>
    <t>286 Pine St, Citye</t>
  </si>
  <si>
    <t>719 Pine St, Citya</t>
  </si>
  <si>
    <t>67 Main St, Cityc</t>
  </si>
  <si>
    <t>899 Oak St, Cityd</t>
  </si>
  <si>
    <t>411 Cedar St, Cityb</t>
  </si>
  <si>
    <t>929 Elm St, Citya</t>
  </si>
  <si>
    <t>25 Elm St, Citya</t>
  </si>
  <si>
    <t>585 Elm St, Cityb</t>
  </si>
  <si>
    <t>457 Cedar St, Cityc</t>
  </si>
  <si>
    <t>571 Oak St, Cityd</t>
  </si>
  <si>
    <t>69 Elm St, Citye</t>
  </si>
  <si>
    <t>424 Main St, Citye</t>
  </si>
  <si>
    <t>41 Elm St, Cityb</t>
  </si>
  <si>
    <t>151 Oak St, Cityb</t>
  </si>
  <si>
    <t>765 Pine St, Citya</t>
  </si>
  <si>
    <t>381 Main St, Citye</t>
  </si>
  <si>
    <t>808 Main St, Citya</t>
  </si>
  <si>
    <t>538 Oak St, Citye</t>
  </si>
  <si>
    <t>544 Main St, Cityc</t>
  </si>
  <si>
    <t>902 Elm St, Cityc</t>
  </si>
  <si>
    <t>943 Elm St, Cityd</t>
  </si>
  <si>
    <t>821 Elm St, Cityb</t>
  </si>
  <si>
    <t>680 Pine St, Cityd</t>
  </si>
  <si>
    <t>491 Elm St, Citya</t>
  </si>
  <si>
    <t>177 Pine St, Citye</t>
  </si>
  <si>
    <t>649 Cedar St, Citya</t>
  </si>
  <si>
    <t>150 Elm St, Citye</t>
  </si>
  <si>
    <t>149 Main St, Cityd</t>
  </si>
  <si>
    <t>526 Main St, Citye</t>
  </si>
  <si>
    <t>169 Elm St, Cityd</t>
  </si>
  <si>
    <t>860 Oak St, Cityb</t>
  </si>
  <si>
    <t>848 Oak St, Cityd</t>
  </si>
  <si>
    <t>62 Pine St, Citya</t>
  </si>
  <si>
    <t>892 Oak St, Cityd</t>
  </si>
  <si>
    <t>29 Elm St, Cityc</t>
  </si>
  <si>
    <t>401 Pine St, Citye</t>
  </si>
  <si>
    <t>857 Elm St, Cityb</t>
  </si>
  <si>
    <t>491 Cedar St, Citye</t>
  </si>
  <si>
    <t>911 Pine St, Cityb</t>
  </si>
  <si>
    <t>248 Cedar St, Citye</t>
  </si>
  <si>
    <t>295 Pine St, Citya</t>
  </si>
  <si>
    <t>444 Cedar St, Citya</t>
  </si>
  <si>
    <t>428 Main St, Citye</t>
  </si>
  <si>
    <t>87 Elm St, Citya</t>
  </si>
  <si>
    <t>379 Oak St, Cityd</t>
  </si>
  <si>
    <t>288 Pine St, Cityc</t>
  </si>
  <si>
    <t>311 Cedar St, Citye</t>
  </si>
  <si>
    <t>524 Pine St, Cityd</t>
  </si>
  <si>
    <t>776 Cedar St, Citye</t>
  </si>
  <si>
    <t>946 Cedar St, Citye</t>
  </si>
  <si>
    <t>677 Cedar St, Cityb</t>
  </si>
  <si>
    <t>481 Oak St, Citya</t>
  </si>
  <si>
    <t>709 Pine St, Cityc</t>
  </si>
  <si>
    <t>546 Cedar St, Citye</t>
  </si>
  <si>
    <t>647 Main St, Cityc</t>
  </si>
  <si>
    <t>645 Oak St, Cityc</t>
  </si>
  <si>
    <t>896 Oak St, Citye</t>
  </si>
  <si>
    <t>526 Elm St, Cityc</t>
  </si>
  <si>
    <t>950 Oak St, Cityb</t>
  </si>
  <si>
    <t>580 Elm St, Cityc</t>
  </si>
  <si>
    <t>996 Oak St, Cityb</t>
  </si>
  <si>
    <t>846 Oak St, Citye</t>
  </si>
  <si>
    <t>693 Pine St, Cityc</t>
  </si>
  <si>
    <t>271 Cedar St, Cityd</t>
  </si>
  <si>
    <t>686 Elm St, Citye</t>
  </si>
  <si>
    <t>912 Elm St, Cityc</t>
  </si>
  <si>
    <t>195 Oak St, Citye</t>
  </si>
  <si>
    <t>567 Oak St, Cityb</t>
  </si>
  <si>
    <t>818 Pine St, Citye</t>
  </si>
  <si>
    <t>533 Elm St, Citya</t>
  </si>
  <si>
    <t>742 Oak St, Cityb</t>
  </si>
  <si>
    <t>211 Cedar St, Cityc</t>
  </si>
  <si>
    <t>188 Pine St, Cityc</t>
  </si>
  <si>
    <t>252 Pine St, Cityd</t>
  </si>
  <si>
    <t>735 Oak St, Citye</t>
  </si>
  <si>
    <t>471 Cedar St, Cityc</t>
  </si>
  <si>
    <t>150 Oak St, Citye</t>
  </si>
  <si>
    <t>74 Oak St, Citya</t>
  </si>
  <si>
    <t>990 Pine St, Citye</t>
  </si>
  <si>
    <t>403 Main St, Citya</t>
  </si>
  <si>
    <t>194 Oak St, Cityd</t>
  </si>
  <si>
    <t>466 Cedar St, Citye</t>
  </si>
  <si>
    <t>841 Oak St, Citye</t>
  </si>
  <si>
    <t>582 Pine St, Cityb</t>
  </si>
  <si>
    <t>273 Main St, Cityd</t>
  </si>
  <si>
    <t>644 Pine St, Citye</t>
  </si>
  <si>
    <t>111 Pine St, Cityd</t>
  </si>
  <si>
    <t>397 Oak St, Citya</t>
  </si>
  <si>
    <t>144 Elm St, Citya</t>
  </si>
  <si>
    <t>371 Main St, Citya</t>
  </si>
  <si>
    <t>868 Main St, Cityc</t>
  </si>
  <si>
    <t>111 Cedar St, Citye</t>
  </si>
  <si>
    <t>275 Elm St, Citya</t>
  </si>
  <si>
    <t>948 Pine St, Cityb</t>
  </si>
  <si>
    <t>11 Main St, Cityc</t>
  </si>
  <si>
    <t>640 Oak St, Cityc</t>
  </si>
  <si>
    <t>441 Elm St, Cityb</t>
  </si>
  <si>
    <t>226 Cedar St, Citye</t>
  </si>
  <si>
    <t>585 Oak St, Citye</t>
  </si>
  <si>
    <t>363 Elm St, Cityb</t>
  </si>
  <si>
    <t>24 Cedar St, Citye</t>
  </si>
  <si>
    <t>325 Elm St, Cityb</t>
  </si>
  <si>
    <t>826 Pine St, Cityb</t>
  </si>
  <si>
    <t>555 Cedar St, Citya</t>
  </si>
  <si>
    <t>978 Elm St, Citya</t>
  </si>
  <si>
    <t>585 Cedar St, Cityc</t>
  </si>
  <si>
    <t>829 Pine St, Citya</t>
  </si>
  <si>
    <t>98 Elm St, Cityd</t>
  </si>
  <si>
    <t>227 Elm St, Cityd</t>
  </si>
  <si>
    <t>940 Elm St, Cityc</t>
  </si>
  <si>
    <t>110 Main St, Cityb</t>
  </si>
  <si>
    <t>688 Oak St, Cityd</t>
  </si>
  <si>
    <t>594 Cedar St, Cityd</t>
  </si>
  <si>
    <t>457 Elm St, Cityb</t>
  </si>
  <si>
    <t>103 Main St, Cityd</t>
  </si>
  <si>
    <t>730 Pine St, Cityd</t>
  </si>
  <si>
    <t>154 Pine St, Citye</t>
  </si>
  <si>
    <t>769 Pine St, Citya</t>
  </si>
  <si>
    <t>555 Oak St, Cityb</t>
  </si>
  <si>
    <t>903 Pine St, Cityd</t>
  </si>
  <si>
    <t>809 Cedar St, Cityc</t>
  </si>
  <si>
    <t>330 Main St, Cityd</t>
  </si>
  <si>
    <t>520 Cedar St, Cityd</t>
  </si>
  <si>
    <t>859 Pine St, Citye</t>
  </si>
  <si>
    <t>211 Oak St, Cityb</t>
  </si>
  <si>
    <t>721 Main St, Citye</t>
  </si>
  <si>
    <t>858 Pine St, Cityb</t>
  </si>
  <si>
    <t>807 Pine St, Cityb</t>
  </si>
  <si>
    <t>224 Oak St, Cityc</t>
  </si>
  <si>
    <t>415 Oak St, Cityb</t>
  </si>
  <si>
    <t>733 Oak St, Cityb</t>
  </si>
  <si>
    <t>389 Cedar St, Cityd</t>
  </si>
  <si>
    <t>984 Main St, Citye</t>
  </si>
  <si>
    <t>250 Main St, Cityd</t>
  </si>
  <si>
    <t>731 Main St, Cityd</t>
  </si>
  <si>
    <t>586 Oak St, Cityc</t>
  </si>
  <si>
    <t>391 Main St, Cityd</t>
  </si>
  <si>
    <t>447 Pine St, Cityd</t>
  </si>
  <si>
    <t>92 Pine St, Cityc</t>
  </si>
  <si>
    <t>357 Elm St, Cityc</t>
  </si>
  <si>
    <t>376 Oak St, Cityd</t>
  </si>
  <si>
    <t>162 Elm St, Cityb</t>
  </si>
  <si>
    <t>875 Cedar St, Citye</t>
  </si>
  <si>
    <t>614 Cedar St, Cityb</t>
  </si>
  <si>
    <t>867 Main St, Cityd</t>
  </si>
  <si>
    <t>374 Main St, Cityb</t>
  </si>
  <si>
    <t>93 Elm St, Citya</t>
  </si>
  <si>
    <t>631 Cedar St, Citya</t>
  </si>
  <si>
    <t>257 Main St, Citye</t>
  </si>
  <si>
    <t>955 Oak St, Cityd</t>
  </si>
  <si>
    <t>153 Oak St, Cityb</t>
  </si>
  <si>
    <t>880 Pine St, Cityc</t>
  </si>
  <si>
    <t>892 Elm St, Cityb</t>
  </si>
  <si>
    <t>420 Oak St, Cityb</t>
  </si>
  <si>
    <t>534 Main St, Cityb</t>
  </si>
  <si>
    <t>893 Main St, Citye</t>
  </si>
  <si>
    <t>54 Cedar St, Cityb</t>
  </si>
  <si>
    <t>296 Cedar St, Cityd</t>
  </si>
  <si>
    <t>965 Pine St, Cityb</t>
  </si>
  <si>
    <t>242 Main St, Cityb</t>
  </si>
  <si>
    <t>618 Main St, Citya</t>
  </si>
  <si>
    <t>792 Main St, Cityc</t>
  </si>
  <si>
    <t>837 Elm St, Citye</t>
  </si>
  <si>
    <t>128 Pine St, Citye</t>
  </si>
  <si>
    <t>780 Oak St, Cityb</t>
  </si>
  <si>
    <t>157 Cedar St, Cityb</t>
  </si>
  <si>
    <t>252 Main St, Cityc</t>
  </si>
  <si>
    <t>876 Elm St, Cityc</t>
  </si>
  <si>
    <t>517 Main St, Cityd</t>
  </si>
  <si>
    <t>139 Elm St, Citya</t>
  </si>
  <si>
    <t>481 Elm St, Cityb</t>
  </si>
  <si>
    <t>248 Cedar St, Cityc</t>
  </si>
  <si>
    <t>588 Oak St, Cityd</t>
  </si>
  <si>
    <t>252 Pine St, Cityb</t>
  </si>
  <si>
    <t>728 Main St, Cityb</t>
  </si>
  <si>
    <t>166 Cedar St, Citya</t>
  </si>
  <si>
    <t>69 Pine St, Cityb</t>
  </si>
  <si>
    <t>1 Oak St, Cityd</t>
  </si>
  <si>
    <t>542 Pine St, Cityd</t>
  </si>
  <si>
    <t>564 Cedar St, Cityd</t>
  </si>
  <si>
    <t>911 Cedar St, Cityd</t>
  </si>
  <si>
    <t>986 Cedar St, Cityc</t>
  </si>
  <si>
    <t>806 Cedar St, Citye</t>
  </si>
  <si>
    <t>736 Pine St, Cityc</t>
  </si>
  <si>
    <t>537 Pine St, Cityb</t>
  </si>
  <si>
    <t>516 Pine St, Cityb</t>
  </si>
  <si>
    <t>825 Main St, Cityb</t>
  </si>
  <si>
    <t>76 Cedar St, Cityc</t>
  </si>
  <si>
    <t>863 Oak St, Citya</t>
  </si>
  <si>
    <t>619 Pine St, Cityd</t>
  </si>
  <si>
    <t>385 Oak St, Cityc</t>
  </si>
  <si>
    <t>25 Oak St, Cityd</t>
  </si>
  <si>
    <t>204 Main St, Cityb</t>
  </si>
  <si>
    <t>886 Cedar St, Cityb</t>
  </si>
  <si>
    <t>665 Oak St, Cityd</t>
  </si>
  <si>
    <t>251 Elm St, Citya</t>
  </si>
  <si>
    <t>923 Elm St, Cityd</t>
  </si>
  <si>
    <t>259 Pine St, Cityd</t>
  </si>
  <si>
    <t>478 Pine St, Cityc</t>
  </si>
  <si>
    <t>904 Elm St, Cityd</t>
  </si>
  <si>
    <t>134 Pine St, Citya</t>
  </si>
  <si>
    <t>252 Elm St, Citya</t>
  </si>
  <si>
    <t>303 Oak St, Citya</t>
  </si>
  <si>
    <t>359 Pine St, Cityd</t>
  </si>
  <si>
    <t>909 Pine St, Citya</t>
  </si>
  <si>
    <t>613 Oak St, Cityc</t>
  </si>
  <si>
    <t>841 Cedar St, Citye</t>
  </si>
  <si>
    <t>489 Main St, Cityd</t>
  </si>
  <si>
    <t>70 Oak St, Cityc</t>
  </si>
  <si>
    <t>199 Oak St, Citye</t>
  </si>
  <si>
    <t>170 Main St, Citya</t>
  </si>
  <si>
    <t>150 Cedar St, Cityc</t>
  </si>
  <si>
    <t>62 Main St, Citye</t>
  </si>
  <si>
    <t>224 Cedar St, Cityc</t>
  </si>
  <si>
    <t>343 Cedar St, Cityd</t>
  </si>
  <si>
    <t>356 Cedar St, Cityc</t>
  </si>
  <si>
    <t>292 Oak St, Citya</t>
  </si>
  <si>
    <t>821 Cedar St, Citye</t>
  </si>
  <si>
    <t>127 Pine St, Cityd</t>
  </si>
  <si>
    <t>683 Cedar St, Citye</t>
  </si>
  <si>
    <t>519 Main St, Cityb</t>
  </si>
  <si>
    <t>956 Pine St, Cityc</t>
  </si>
  <si>
    <t>677 Pine St, Cityc</t>
  </si>
  <si>
    <t>148 Elm St, Cityb</t>
  </si>
  <si>
    <t>96 Cedar St, Cityd</t>
  </si>
  <si>
    <t>283 Pine St, Cityb</t>
  </si>
  <si>
    <t>43 Main St, Cityc</t>
  </si>
  <si>
    <t>429 Cedar St, Cityb</t>
  </si>
  <si>
    <t>428 Elm St, Cityd</t>
  </si>
  <si>
    <t>561 Cedar St, Cityc</t>
  </si>
  <si>
    <t>939 Elm St, Citya</t>
  </si>
  <si>
    <t>68 Elm St, Citya</t>
  </si>
  <si>
    <t>272 Pine St, Citya</t>
  </si>
  <si>
    <t>225 Pine St, Cityb</t>
  </si>
  <si>
    <t>948 Pine St, Citya</t>
  </si>
  <si>
    <t>82 Pine St, Cityc</t>
  </si>
  <si>
    <t>632 Oak St, Cityd</t>
  </si>
  <si>
    <t>979 Oak St, Citye</t>
  </si>
  <si>
    <t>572 Cedar St, Cityc</t>
  </si>
  <si>
    <t>647 Oak St, Citye</t>
  </si>
  <si>
    <t>160 Cedar St, Citye</t>
  </si>
  <si>
    <t>699 Oak St, Citye</t>
  </si>
  <si>
    <t>797 Elm St, Cityb</t>
  </si>
  <si>
    <t>835 Main St, Cityd</t>
  </si>
  <si>
    <t>495 Oak St, Cityc</t>
  </si>
  <si>
    <t>963 Cedar St, Cityc</t>
  </si>
  <si>
    <t>511 Pine St, Citya</t>
  </si>
  <si>
    <t>975 Cedar St, Cityc</t>
  </si>
  <si>
    <t>821 Oak St, Citya</t>
  </si>
  <si>
    <t>229 Elm St, Cityb</t>
  </si>
  <si>
    <t>476 Elm St, Citya</t>
  </si>
  <si>
    <t>715 Cedar St, Citye</t>
  </si>
  <si>
    <t>372 Pine St, Cityd</t>
  </si>
  <si>
    <t>430 Cedar St, Cityc</t>
  </si>
  <si>
    <t>307 Main St, Cityb</t>
  </si>
  <si>
    <t>167 Cedar St, Cityd</t>
  </si>
  <si>
    <t>972 Main St, Cityc</t>
  </si>
  <si>
    <t>949 Main St, Cityd</t>
  </si>
  <si>
    <t>416 Pine St, Cityb</t>
  </si>
  <si>
    <t>425 Pine St, Citya</t>
  </si>
  <si>
    <t>342 Oak St, Citya</t>
  </si>
  <si>
    <t>316 Elm St, Cityd</t>
  </si>
  <si>
    <t>901 Pine St, Cityd</t>
  </si>
  <si>
    <t>603 Elm St, Cityd</t>
  </si>
  <si>
    <t>441 Elm St, Cityc</t>
  </si>
  <si>
    <t>250 Cedar St, Cityb</t>
  </si>
  <si>
    <t>345 Elm St, Citye</t>
  </si>
  <si>
    <t>335 Cedar St, Cityd</t>
  </si>
  <si>
    <t>874 Main St, Citya</t>
  </si>
  <si>
    <t>85 Main St, Citya</t>
  </si>
  <si>
    <t>154 Cedar St, Cityd</t>
  </si>
  <si>
    <t>505 Main St, Cityb</t>
  </si>
  <si>
    <t>53 Main St, Cityd</t>
  </si>
  <si>
    <t>182 Main St, Cityb</t>
  </si>
  <si>
    <t>299 Oak St, Cityc</t>
  </si>
  <si>
    <t>683 Cedar St, Citya</t>
  </si>
  <si>
    <t>42 Elm St, Cityc</t>
  </si>
  <si>
    <t>339 Main St, Citya</t>
  </si>
  <si>
    <t>597 Main St, Citya</t>
  </si>
  <si>
    <t>630 Main St, Cityb</t>
  </si>
  <si>
    <t>809 Elm St, Cityd</t>
  </si>
  <si>
    <t>844 Pine St, Citya</t>
  </si>
  <si>
    <t>274 Cedar St, Cityc</t>
  </si>
  <si>
    <t>852 Cedar St, Cityc</t>
  </si>
  <si>
    <t>142 Main St, Cityd</t>
  </si>
  <si>
    <t>621 Oak St, Cityb</t>
  </si>
  <si>
    <t>659 Cedar St, Citya</t>
  </si>
  <si>
    <t>509 Cedar St, Cityb</t>
  </si>
  <si>
    <t>706 Oak St, Citya</t>
  </si>
  <si>
    <t>403 Oak St, Cityb</t>
  </si>
  <si>
    <t>712 Pine St, Cityd</t>
  </si>
  <si>
    <t>368 Cedar St, Cityc</t>
  </si>
  <si>
    <t>301 Pine St, Cityd</t>
  </si>
  <si>
    <t>683 Oak St, Cityb</t>
  </si>
  <si>
    <t>247 Pine St, Cityb</t>
  </si>
  <si>
    <t>721 Elm St, Citya</t>
  </si>
  <si>
    <t>82 Main St, Citye</t>
  </si>
  <si>
    <t>897 Main St, Cityb</t>
  </si>
  <si>
    <t>111 Pine St, Cityb</t>
  </si>
  <si>
    <t>153 Main St, Cityc</t>
  </si>
  <si>
    <t>789 Oak St, Cityc</t>
  </si>
  <si>
    <t>594 Elm St, Cityd</t>
  </si>
  <si>
    <t>953 Cedar St, Citye</t>
  </si>
  <si>
    <t>310 Elm St, Cityd</t>
  </si>
  <si>
    <t>672 Main St, Cityc</t>
  </si>
  <si>
    <t>161 Pine St, Cityb</t>
  </si>
  <si>
    <t>354 Main St, Citya</t>
  </si>
  <si>
    <t>33 Oak St, Cityd</t>
  </si>
  <si>
    <t>192 Pine St, Cityd</t>
  </si>
  <si>
    <t>675 Pine St, Cityc</t>
  </si>
  <si>
    <t>461 Elm St, Cityc</t>
  </si>
  <si>
    <t>764 Pine St, Cityc</t>
  </si>
  <si>
    <t>982 Cedar St, Cityb</t>
  </si>
  <si>
    <t>8 Elm St, Cityc</t>
  </si>
  <si>
    <t>426 Main St, Cityd</t>
  </si>
  <si>
    <t>897 Oak St, Cityb</t>
  </si>
  <si>
    <t>44 Elm St, Cityb</t>
  </si>
  <si>
    <t>526 Cedar St, Cityd</t>
  </si>
  <si>
    <t>981 Oak St, Cityb</t>
  </si>
  <si>
    <t>739 Elm St, Cityd</t>
  </si>
  <si>
    <t>40 Main St, Cityc</t>
  </si>
  <si>
    <t>729 Oak St, Citye</t>
  </si>
  <si>
    <t>382 Oak St, Citya</t>
  </si>
  <si>
    <t>108 Pine St, Citye</t>
  </si>
  <si>
    <t>207 Elm St, Cityb</t>
  </si>
  <si>
    <t>341 Cedar St, Cityc</t>
  </si>
  <si>
    <t>544 Pine St, Citye</t>
  </si>
  <si>
    <t>605 Cedar St, Citye</t>
  </si>
  <si>
    <t>202 Pine St, Citya</t>
  </si>
  <si>
    <t>298 Cedar St, Cityd</t>
  </si>
  <si>
    <t>46 Oak St, Cityc</t>
  </si>
  <si>
    <t>19 Pine St, Citye</t>
  </si>
  <si>
    <t>643 Main St, Cityd</t>
  </si>
  <si>
    <t>850 Pine St, Cityd</t>
  </si>
  <si>
    <t>937 Cedar St, Citye</t>
  </si>
  <si>
    <t>237 Oak St, Citye</t>
  </si>
  <si>
    <t>229 Pine St, Cityc</t>
  </si>
  <si>
    <t>308 Main St, Cityb</t>
  </si>
  <si>
    <t>685 Cedar St, Cityc</t>
  </si>
  <si>
    <t>405 Oak St, Citya</t>
  </si>
  <si>
    <t>544 Elm St, Citya</t>
  </si>
  <si>
    <t>228 Pine St, Cityb</t>
  </si>
  <si>
    <t>407 Main St, Cityd</t>
  </si>
  <si>
    <t>49 Main St, Cityc</t>
  </si>
  <si>
    <t>549 Cedar St, Cityd</t>
  </si>
  <si>
    <t>17 Cedar St, Cityc</t>
  </si>
  <si>
    <t>547 Cedar St, Cityc</t>
  </si>
  <si>
    <t>799 Main St, Cityb</t>
  </si>
  <si>
    <t>948 Pine St, Citye</t>
  </si>
  <si>
    <t>744 Oak St, Cityb</t>
  </si>
  <si>
    <t>559 Elm St, Citya</t>
  </si>
  <si>
    <t>702 Pine St, Citya</t>
  </si>
  <si>
    <t>337 Elm St, Cityd</t>
  </si>
  <si>
    <t>22 Main St, Cityb</t>
  </si>
  <si>
    <t>674 Oak St, Cityc</t>
  </si>
  <si>
    <t>426 Elm St, Cityd</t>
  </si>
  <si>
    <t>209 Elm St, Cityc</t>
  </si>
  <si>
    <t>100 Oak St, Cityc</t>
  </si>
  <si>
    <t>556 Cedar St, Citya</t>
  </si>
  <si>
    <t>79 Elm St, Citya</t>
  </si>
  <si>
    <t>874 Main St, Cityb</t>
  </si>
  <si>
    <t>68 Oak St, Cityb</t>
  </si>
  <si>
    <t>117 Pine St, Cityc</t>
  </si>
  <si>
    <t>125 Cedar St, Citye</t>
  </si>
  <si>
    <t>477 Cedar St, Citya</t>
  </si>
  <si>
    <t>493 Cedar St, Cityc</t>
  </si>
  <si>
    <t>805 Main St, Cityc</t>
  </si>
  <si>
    <t>808 Main St, Cityc</t>
  </si>
  <si>
    <t>181 Pine St, Cityb</t>
  </si>
  <si>
    <t>559 Oak St, Citya</t>
  </si>
  <si>
    <t>933 Cedar St, Citya</t>
  </si>
  <si>
    <t>351 Elm St, Citye</t>
  </si>
  <si>
    <t>835 Cedar St, Cityb</t>
  </si>
  <si>
    <t>491 Oak St, Citya</t>
  </si>
  <si>
    <t>349 Pine St, Cityd</t>
  </si>
  <si>
    <t>107 Cedar St, Cityd</t>
  </si>
  <si>
    <t>218 Elm St, Cityb</t>
  </si>
  <si>
    <t>636 Pine St, Citye</t>
  </si>
  <si>
    <t>766 Main St, Cityb</t>
  </si>
  <si>
    <t>855 Pine St, Citye</t>
  </si>
  <si>
    <t>790 Pine St, Cityd</t>
  </si>
  <si>
    <t>330 Oak St, Cityb</t>
  </si>
  <si>
    <t>922 Main St, Citya</t>
  </si>
  <si>
    <t>464 Elm St, Citya</t>
  </si>
  <si>
    <t>585 Oak St, Citya</t>
  </si>
  <si>
    <t>681 Oak St, Cityc</t>
  </si>
  <si>
    <t>426 Main St, Cityc</t>
  </si>
  <si>
    <t>883 Pine St, Citya</t>
  </si>
  <si>
    <t>138 Main St, Citye</t>
  </si>
  <si>
    <t>534 Cedar St, Citya</t>
  </si>
  <si>
    <t>608 Elm St, Cityd</t>
  </si>
  <si>
    <t>507 Cedar St, Citye</t>
  </si>
  <si>
    <t>744 Oak St, Citya</t>
  </si>
  <si>
    <t>640 Main St, Cityc</t>
  </si>
  <si>
    <t>252 Oak St, Citye</t>
  </si>
  <si>
    <t>842 Pine St, Cityc</t>
  </si>
  <si>
    <t>40 Main St, Citya</t>
  </si>
  <si>
    <t>962 Oak St, Cityb</t>
  </si>
  <si>
    <t>713 Oak St, Cityd</t>
  </si>
  <si>
    <t>157 Oak St, Cityc</t>
  </si>
  <si>
    <t>871 Pine St, Citya</t>
  </si>
  <si>
    <t>999 Cedar St, Cityc</t>
  </si>
  <si>
    <t>77 Pine St, Cityc</t>
  </si>
  <si>
    <t>757 Oak St, Cityd</t>
  </si>
  <si>
    <t>24 Main St, Cityc</t>
  </si>
  <si>
    <t>336 Elm St, Citya</t>
  </si>
  <si>
    <t>891 Elm St, Citye</t>
  </si>
  <si>
    <t>618 Cedar St, Citya</t>
  </si>
  <si>
    <t>372 Main St, Citya</t>
  </si>
  <si>
    <t>999 Oak St, Cityc</t>
  </si>
  <si>
    <t>326 Main St, Cityb</t>
  </si>
  <si>
    <t>591 Elm St, Citye</t>
  </si>
  <si>
    <t>820 Main St, Cityb</t>
  </si>
  <si>
    <t>51 Oak St, Cityc</t>
  </si>
  <si>
    <t>862 Cedar St, Citye</t>
  </si>
  <si>
    <t>935 Main St, Citye</t>
  </si>
  <si>
    <t>958 Cedar St, Citye</t>
  </si>
  <si>
    <t>305 Cedar St, Cityc</t>
  </si>
  <si>
    <t>103 Pine St, Citya</t>
  </si>
  <si>
    <t>320 Pine St, Citya</t>
  </si>
  <si>
    <t>759 Main St, Cityb</t>
  </si>
  <si>
    <t>71 Main St, Citye</t>
  </si>
  <si>
    <t>5 Main St, Cityd</t>
  </si>
  <si>
    <t>44 Pine St, Cityc</t>
  </si>
  <si>
    <t>416 Cedar St, Citya</t>
  </si>
  <si>
    <t>271 Elm St, Citye</t>
  </si>
  <si>
    <t>963 Cedar St, Cityb</t>
  </si>
  <si>
    <t>84 Oak St, Cityb</t>
  </si>
  <si>
    <t>190 Cedar St, Citya</t>
  </si>
  <si>
    <t>646 Main St, Cityd</t>
  </si>
  <si>
    <t>224 Elm St, Cityb</t>
  </si>
  <si>
    <t>756 Cedar St, Cityb</t>
  </si>
  <si>
    <t>418 Main St, Citye</t>
  </si>
  <si>
    <t>897 Oak St, Citye</t>
  </si>
  <si>
    <t>814 Elm St, Cityd</t>
  </si>
  <si>
    <t>561 Elm St, Citya</t>
  </si>
  <si>
    <t>441 Elm St, Citye</t>
  </si>
  <si>
    <t>683 Pine St, Cityb</t>
  </si>
  <si>
    <t>845 Cedar St, Cityc</t>
  </si>
  <si>
    <t>353 Elm St, Cityd</t>
  </si>
  <si>
    <t>998 Cedar St, Cityd</t>
  </si>
  <si>
    <t>933 Cedar St, Cityc</t>
  </si>
  <si>
    <t>276 Elm St, Citye</t>
  </si>
  <si>
    <t>877 Main St, Cityd</t>
  </si>
  <si>
    <t>262 Cedar St, Cityd</t>
  </si>
  <si>
    <t>2 Main St, Cityd</t>
  </si>
  <si>
    <t>605 Elm St, Cityc</t>
  </si>
  <si>
    <t>708 Elm St, Citye</t>
  </si>
  <si>
    <t>189 Cedar St, Citya</t>
  </si>
  <si>
    <t>991 Elm St, Cityb</t>
  </si>
  <si>
    <t>729 Main St, Cityb</t>
  </si>
  <si>
    <t>256 Main St, Citya</t>
  </si>
  <si>
    <t>701 Pine St, Cityb</t>
  </si>
  <si>
    <t>989 Elm St, Cityc</t>
  </si>
  <si>
    <t>983 Main St, Citye</t>
  </si>
  <si>
    <t>3 Elm St, Citya</t>
  </si>
  <si>
    <t>850 Main St, Cityd</t>
  </si>
  <si>
    <t>110 Oak St, Cityb</t>
  </si>
  <si>
    <t>458 Elm St, Cityb</t>
  </si>
  <si>
    <t>742 Main St, Cityc</t>
  </si>
  <si>
    <t>333 Pine St, Cityd</t>
  </si>
  <si>
    <t>676 Cedar St, Cityc</t>
  </si>
  <si>
    <t>455 Elm St, Cityb</t>
  </si>
  <si>
    <t>212 Pine St, Cityc</t>
  </si>
  <si>
    <t>193 Elm St, Cityd</t>
  </si>
  <si>
    <t>501 Oak St, Cityd</t>
  </si>
  <si>
    <t>51 Oak St, Citya</t>
  </si>
  <si>
    <t>444 Pine St, Cityb</t>
  </si>
  <si>
    <t>63 Main St, Cityd</t>
  </si>
  <si>
    <t>537 Oak St, Cityb</t>
  </si>
  <si>
    <t>424 Main St, Cityc</t>
  </si>
  <si>
    <t>145 Oak St, Cityc</t>
  </si>
  <si>
    <t>182 Pine St, Citya</t>
  </si>
  <si>
    <t>485 Cedar St, Citya</t>
  </si>
  <si>
    <t>601 Pine St, Cityc</t>
  </si>
  <si>
    <t>311 Elm St, Cityd</t>
  </si>
  <si>
    <t>206 Oak St, Cityd</t>
  </si>
  <si>
    <t>165 Pine St, Cityb</t>
  </si>
  <si>
    <t>449 Elm St, Citya</t>
  </si>
  <si>
    <t>800 Elm St, Cityd</t>
  </si>
  <si>
    <t>394 Elm St, Citye</t>
  </si>
  <si>
    <t>522 Elm St, Citya</t>
  </si>
  <si>
    <t>275 Oak St, Citye</t>
  </si>
  <si>
    <t>261 Main St, Cityc</t>
  </si>
  <si>
    <t>883 Cedar St, Cityc</t>
  </si>
  <si>
    <t>65 Cedar St, Citya</t>
  </si>
  <si>
    <t>248 Oak St, Cityc</t>
  </si>
  <si>
    <t>830 Elm St, Citye</t>
  </si>
  <si>
    <t>877 Cedar St, Citye</t>
  </si>
  <si>
    <t>819 Cedar St, Cityb</t>
  </si>
  <si>
    <t>643 Pine St, Citye</t>
  </si>
  <si>
    <t>4 Elm St, Citya</t>
  </si>
  <si>
    <t>336 Cedar St, Cityd</t>
  </si>
  <si>
    <t>582 Oak St, Citya</t>
  </si>
  <si>
    <t>493 Elm St, Cityb</t>
  </si>
  <si>
    <t>112 Oak St, Cityd</t>
  </si>
  <si>
    <t>258 Oak St, Citye</t>
  </si>
  <si>
    <t>205 Pine St, Citye</t>
  </si>
  <si>
    <t>579 Cedar St, Cityc</t>
  </si>
  <si>
    <t>99 Pine St, Cityd</t>
  </si>
  <si>
    <t>640 Elm St, Cityb</t>
  </si>
  <si>
    <t>333 Main St, Cityc</t>
  </si>
  <si>
    <t>366 Pine St, Cityb</t>
  </si>
  <si>
    <t>546 Oak St, Cityd</t>
  </si>
  <si>
    <t>234 Pine St, Citye</t>
  </si>
  <si>
    <t>17 Main St, Citya</t>
  </si>
  <si>
    <t>579 Elm St, Cityb</t>
  </si>
  <si>
    <t>421 Main St, Cityb</t>
  </si>
  <si>
    <t>479 Pine St, Citye</t>
  </si>
  <si>
    <t>757 Main St, Citya</t>
  </si>
  <si>
    <t>698 Cedar St, Cityd</t>
  </si>
  <si>
    <t>736 Elm St, Cityb</t>
  </si>
  <si>
    <t>756 Elm St, Cityb</t>
  </si>
  <si>
    <t>380 Main St, Citya</t>
  </si>
  <si>
    <t>263 Main St, Citye</t>
  </si>
  <si>
    <t>419 Main St, Cityc</t>
  </si>
  <si>
    <t>659 Cedar St, Cityd</t>
  </si>
  <si>
    <t>915 Elm St, Citya</t>
  </si>
  <si>
    <t>349 Elm St, Citye</t>
  </si>
  <si>
    <t>122 Main St, Cityc</t>
  </si>
  <si>
    <t>811 Cedar St, Citye</t>
  </si>
  <si>
    <t>765 Elm St, Citya</t>
  </si>
  <si>
    <t>488 Oak St, Citye</t>
  </si>
  <si>
    <t>172 Main St, Cityd</t>
  </si>
  <si>
    <t>837 Elm St, Cityd</t>
  </si>
  <si>
    <t>909 Oak St, Citya</t>
  </si>
  <si>
    <t>91 Cedar St, Citye</t>
  </si>
  <si>
    <t>235 Cedar St, Cityc</t>
  </si>
  <si>
    <t>1 Pine St, Cityc</t>
  </si>
  <si>
    <t>958 Oak St, Cityd</t>
  </si>
  <si>
    <t>570 Elm St, Citya</t>
  </si>
  <si>
    <t>22 Oak St, Cityb</t>
  </si>
  <si>
    <t>177 Elm St, Cityb</t>
  </si>
  <si>
    <t>756 Main St, Cityb</t>
  </si>
  <si>
    <t>201 Elm St, Cityb</t>
  </si>
  <si>
    <t>136 Oak St, Cityd</t>
  </si>
  <si>
    <t>63 Pine St, Cityb</t>
  </si>
  <si>
    <t>634 Elm St, Citya</t>
  </si>
  <si>
    <t>121 Elm St, Cityc</t>
  </si>
  <si>
    <t>643 Oak St, Cityd</t>
  </si>
  <si>
    <t>158 Main St, Cityb</t>
  </si>
  <si>
    <t>486 Pine St, Citya</t>
  </si>
  <si>
    <t>176 Oak St, Citya</t>
  </si>
  <si>
    <t>546 Elm St, Cityd</t>
  </si>
  <si>
    <t>112 Main St, Cityb</t>
  </si>
  <si>
    <t>217 Main St, Cityb</t>
  </si>
  <si>
    <t>235 Elm St, Cityc</t>
  </si>
  <si>
    <t>731 Cedar St, Citye</t>
  </si>
  <si>
    <t>906 Cedar St, Citye</t>
  </si>
  <si>
    <t>921 Cedar St, Cityc</t>
  </si>
  <si>
    <t>908 Pine St, Cityb</t>
  </si>
  <si>
    <t>849 Cedar St, Citye</t>
  </si>
  <si>
    <t>977 Pine St, Cityd</t>
  </si>
  <si>
    <t>177 Cedar St, Cityd</t>
  </si>
  <si>
    <t>286 Oak St, Cityc</t>
  </si>
  <si>
    <t>621 Elm St, Citya</t>
  </si>
  <si>
    <t>201 Pine St, Cityc</t>
  </si>
  <si>
    <t>385 Cedar St, Cityd</t>
  </si>
  <si>
    <t>950 Main St, Citye</t>
  </si>
  <si>
    <t>119 Elm St, Citya</t>
  </si>
  <si>
    <t>236 Cedar St, Citya</t>
  </si>
  <si>
    <t>574 Pine St, Cityd</t>
  </si>
  <si>
    <t>932 Cedar St, Cityb</t>
  </si>
  <si>
    <t>55 Cedar St, Cityb</t>
  </si>
  <si>
    <t>552 Elm St, Cityb</t>
  </si>
  <si>
    <t>247 Main St, Citye</t>
  </si>
  <si>
    <t>879 Cedar St, Citye</t>
  </si>
  <si>
    <t>906 Main St, Cityb</t>
  </si>
  <si>
    <t>552 Cedar St, Citya</t>
  </si>
  <si>
    <t>348 Cedar St, Citye</t>
  </si>
  <si>
    <t>96 Oak St, Cityc</t>
  </si>
  <si>
    <t>341 Cedar St, Cityb</t>
  </si>
  <si>
    <t>848 Elm St, Citya</t>
  </si>
  <si>
    <t>438 Pine St, Cityb</t>
  </si>
  <si>
    <t>531 Elm St, Citye</t>
  </si>
  <si>
    <t>453 Main St, Cityd</t>
  </si>
  <si>
    <t>739 Cedar St, Citya</t>
  </si>
  <si>
    <t>756 Oak St, Cityd</t>
  </si>
  <si>
    <t>169 Oak St, Cityc</t>
  </si>
  <si>
    <t>31 Main St, Citya</t>
  </si>
  <si>
    <t>799 Main St, Citya</t>
  </si>
  <si>
    <t>884 Main St, Citya</t>
  </si>
  <si>
    <t>331 Elm St, Citye</t>
  </si>
  <si>
    <t>84 Main St, Cityb</t>
  </si>
  <si>
    <t>493 Main St, Cityd</t>
  </si>
  <si>
    <t>803 Cedar St, Cityc</t>
  </si>
  <si>
    <t>59 Cedar St, Citya</t>
  </si>
  <si>
    <t>737 Elm St, Cityc</t>
  </si>
  <si>
    <t>321 Pine St, Citya</t>
  </si>
  <si>
    <t>814 Cedar St, Cityc</t>
  </si>
  <si>
    <t>771 Oak St, Cityc</t>
  </si>
  <si>
    <t>164 Main St, Citye</t>
  </si>
  <si>
    <t>833 Elm St, Citye</t>
  </si>
  <si>
    <t>685 Cedar St, Citye</t>
  </si>
  <si>
    <t>489 Oak St, Cityd</t>
  </si>
  <si>
    <t>535 Main St, Cityb</t>
  </si>
  <si>
    <t>180 Oak St, Citye</t>
  </si>
  <si>
    <t>637 Main St, Cityc</t>
  </si>
  <si>
    <t>389 Pine St, Citya</t>
  </si>
  <si>
    <t>520 Pine St, Cityd</t>
  </si>
  <si>
    <t>27 Main St, Citye</t>
  </si>
  <si>
    <t>51 Main St, Cityc</t>
  </si>
  <si>
    <t>908 Elm St, Cityd</t>
  </si>
  <si>
    <t>354 Oak St, Citya</t>
  </si>
  <si>
    <t>371 Cedar St, Cityc</t>
  </si>
  <si>
    <t>543 Elm St, Cityd</t>
  </si>
  <si>
    <t>387 Cedar St, Citya</t>
  </si>
  <si>
    <t>242 Pine St, Cityb</t>
  </si>
  <si>
    <t>817 Oak St, Citye</t>
  </si>
  <si>
    <t>234 Oak St, Cityc</t>
  </si>
  <si>
    <t>678 Main St, Cityc</t>
  </si>
  <si>
    <t>318 Elm St, Citye</t>
  </si>
  <si>
    <t>385 Main St, Citye</t>
  </si>
  <si>
    <t>732 Main St, Cityd</t>
  </si>
  <si>
    <t>55 Pine St, Cityb</t>
  </si>
  <si>
    <t>247 Pine St, Citye</t>
  </si>
  <si>
    <t>472 Cedar St, Cityc</t>
  </si>
  <si>
    <t>806 Main St, Citye</t>
  </si>
  <si>
    <t>798 Cedar St, Cityb</t>
  </si>
  <si>
    <t>129 Main St, Citya</t>
  </si>
  <si>
    <t>275 Main St, Citya</t>
  </si>
  <si>
    <t>887 Pine St, Cityc</t>
  </si>
  <si>
    <t>855 Cedar St, Citya</t>
  </si>
  <si>
    <t>912 Cedar St, Citye</t>
  </si>
  <si>
    <t>757 Main St, Cityc</t>
  </si>
  <si>
    <t>641 Oak St, Cityb</t>
  </si>
  <si>
    <t>561 Pine St, Cityd</t>
  </si>
  <si>
    <t>902 Elm St, Citye</t>
  </si>
  <si>
    <t>199 Pine St, Cityb</t>
  </si>
  <si>
    <t>542 Main St, Cityd</t>
  </si>
  <si>
    <t>275 Elm St, Cityb</t>
  </si>
  <si>
    <t>690 Main St, Cityb</t>
  </si>
  <si>
    <t>714 Pine St, Citye</t>
  </si>
  <si>
    <t>695 Oak St, Cityb</t>
  </si>
  <si>
    <t>535 Cedar St, Cityc</t>
  </si>
  <si>
    <t>418 Oak St, Cityb</t>
  </si>
  <si>
    <t>22 Elm St, Cityd</t>
  </si>
  <si>
    <t>775 Elm St, Cityc</t>
  </si>
  <si>
    <t>740 Cedar St, Cityd</t>
  </si>
  <si>
    <t>220 Main St, Cityc</t>
  </si>
  <si>
    <t>984 Oak St, Citya</t>
  </si>
  <si>
    <t>474 Main St, Cityd</t>
  </si>
  <si>
    <t>299 Pine St, Cityb</t>
  </si>
  <si>
    <t>364 Oak St, Cityc</t>
  </si>
  <si>
    <t>888 Main St, Cityb</t>
  </si>
  <si>
    <t>413 Elm St, Cityc</t>
  </si>
  <si>
    <t>349 Cedar St, Cityb</t>
  </si>
  <si>
    <t>301 Elm St, Citya</t>
  </si>
  <si>
    <t>685 Main St, Cityd</t>
  </si>
  <si>
    <t>387 Oak St, Cityd</t>
  </si>
  <si>
    <t>812 Oak St, Cityc</t>
  </si>
  <si>
    <t>526 Cedar St, Citye</t>
  </si>
  <si>
    <t>749 Main St, Cityc</t>
  </si>
  <si>
    <t>532 Elm St, Cityc</t>
  </si>
  <si>
    <t>340 Elm St, Cityd</t>
  </si>
  <si>
    <t>625 Main St, Cityc</t>
  </si>
  <si>
    <t>39 Oak St, Citya</t>
  </si>
  <si>
    <t>874 Oak St, Cityb</t>
  </si>
  <si>
    <t>210 Elm St, Cityb</t>
  </si>
  <si>
    <t>994 Oak St, Cityb</t>
  </si>
  <si>
    <t>849 Cedar St, Cityc</t>
  </si>
  <si>
    <t>602 Oak St, Citya</t>
  </si>
  <si>
    <t>405 Elm St, Cityb</t>
  </si>
  <si>
    <t>826 Main St, Citya</t>
  </si>
  <si>
    <t>97 Cedar St, Cityd</t>
  </si>
  <si>
    <t>539 Pine St, Citya</t>
  </si>
  <si>
    <t>558 Main St, Citye</t>
  </si>
  <si>
    <t>1000 Elm St, Cityb</t>
  </si>
  <si>
    <t>608 Main St, Cityb</t>
  </si>
  <si>
    <t>505 Elm St, Cityb</t>
  </si>
  <si>
    <t>41 Pine St, Citya</t>
  </si>
  <si>
    <t>741 Main St, Citya</t>
  </si>
  <si>
    <t>941 Cedar St, Citye</t>
  </si>
  <si>
    <t>509 Oak St, Cityd</t>
  </si>
  <si>
    <t>98 Pine St, Citye</t>
  </si>
  <si>
    <t>879 Pine St, Citye</t>
  </si>
  <si>
    <t>738 Cedar St, Citya</t>
  </si>
  <si>
    <t>11 Elm St, Cityb</t>
  </si>
  <si>
    <t>841 Main St, Citya</t>
  </si>
  <si>
    <t>601 Main St, Cityc</t>
  </si>
  <si>
    <t>798 Pine St, Citya</t>
  </si>
  <si>
    <t>563 Elm St, Citye</t>
  </si>
  <si>
    <t>537 Main St, Cityb</t>
  </si>
  <si>
    <t>705 Pine St, Cityc</t>
  </si>
  <si>
    <t>484 Pine St, Cityc</t>
  </si>
  <si>
    <t>747 Oak St, Citye</t>
  </si>
  <si>
    <t>123 Pine St, Citya</t>
  </si>
  <si>
    <t>904 Cedar St, Cityb</t>
  </si>
  <si>
    <t>402 Oak St, Citye</t>
  </si>
  <si>
    <t>812 Oak St, Cityb</t>
  </si>
  <si>
    <t>908 Main St, Citya</t>
  </si>
  <si>
    <t>319 Cedar St, Citya</t>
  </si>
  <si>
    <t>828 Main St, Citye</t>
  </si>
  <si>
    <t>655 Cedar St, Cityc</t>
  </si>
  <si>
    <t>112 Cedar St, Cityc</t>
  </si>
  <si>
    <t>232 Elm St, Cityd</t>
  </si>
  <si>
    <t>543 Pine St, Cityc</t>
  </si>
  <si>
    <t>859 Main St, Citye</t>
  </si>
  <si>
    <t>143 Pine St, Cityb</t>
  </si>
  <si>
    <t>175 Elm St, Cityb</t>
  </si>
  <si>
    <t>622 Cedar St, Citye</t>
  </si>
  <si>
    <t>152 Main St, Cityb</t>
  </si>
  <si>
    <t>463 Oak St, Cityc</t>
  </si>
  <si>
    <t>346 Pine St, Citya</t>
  </si>
  <si>
    <t>95 Oak St, Citya</t>
  </si>
  <si>
    <t>713 Oak St, Cityb</t>
  </si>
  <si>
    <t>533 Cedar St, Cityd</t>
  </si>
  <si>
    <t>964 Main St, Cityc</t>
  </si>
  <si>
    <t>646 Main St, Cityc</t>
  </si>
  <si>
    <t>244 Pine St, Cityd</t>
  </si>
  <si>
    <t>439 Pine St, Citya</t>
  </si>
  <si>
    <t>532 Main St, Citya</t>
  </si>
  <si>
    <t>765 Elm St, Cityd</t>
  </si>
  <si>
    <t>800 Main St, Citya</t>
  </si>
  <si>
    <t>967 Elm St, Citya</t>
  </si>
  <si>
    <t>533 Elm St, Cityc</t>
  </si>
  <si>
    <t>400 Pine St, Citye</t>
  </si>
  <si>
    <t>91 Main St, Cityd</t>
  </si>
  <si>
    <t>158 Pine St, Citya</t>
  </si>
  <si>
    <t>329 Elm St, Citya</t>
  </si>
  <si>
    <t>976 Elm St, Cityb</t>
  </si>
  <si>
    <t>261 Oak St, Cityc</t>
  </si>
  <si>
    <t>54 Pine St, Citye</t>
  </si>
  <si>
    <t>564 Elm St, Cityd</t>
  </si>
  <si>
    <t>586 Main St, Cityd</t>
  </si>
  <si>
    <t>642 Pine St, Cityd</t>
  </si>
  <si>
    <t>782 Cedar St, Cityb</t>
  </si>
  <si>
    <t>637 Elm St, Citye</t>
  </si>
  <si>
    <t>852 Oak St, Cityc</t>
  </si>
  <si>
    <t>768 Main St, Citya</t>
  </si>
  <si>
    <t>248 Oak St, Citye</t>
  </si>
  <si>
    <t>6 Cedar St, Cityd</t>
  </si>
  <si>
    <t>799 Elm St, Cityc</t>
  </si>
  <si>
    <t>306 Elm St, Cityd</t>
  </si>
  <si>
    <t>884 Cedar St, Citye</t>
  </si>
  <si>
    <t>140 Pine St, Citya</t>
  </si>
  <si>
    <t>218 Elm St, Cityc</t>
  </si>
  <si>
    <t>630 Main St, Citya</t>
  </si>
  <si>
    <t>105 Oak St, Cityd</t>
  </si>
  <si>
    <t>708 Main St, Citye</t>
  </si>
  <si>
    <t>842 Main St, Citye</t>
  </si>
  <si>
    <t>378 Cedar St, Citye</t>
  </si>
  <si>
    <t>725 Main St, Cityc</t>
  </si>
  <si>
    <t>293 Cedar St, Cityb</t>
  </si>
  <si>
    <t>958 Main St, Cityd</t>
  </si>
  <si>
    <t>262 Cedar St, Cityb</t>
  </si>
  <si>
    <t>413 Cedar St, Citye</t>
  </si>
  <si>
    <t>639 Pine St, Citye</t>
  </si>
  <si>
    <t>587 Pine St, Cityc</t>
  </si>
  <si>
    <t>851 Cedar St, Citye</t>
  </si>
  <si>
    <t>778 Cedar St, Cityd</t>
  </si>
  <si>
    <t>92 Cedar St, Cityc</t>
  </si>
  <si>
    <t>149 Cedar St, Cityc</t>
  </si>
  <si>
    <t>594 Pine St, Citye</t>
  </si>
  <si>
    <t>255 Elm St, Cityc</t>
  </si>
  <si>
    <t>579 Main St, Cityc</t>
  </si>
  <si>
    <t>22 Cedar St, Cityc</t>
  </si>
  <si>
    <t>584 Cedar St, Cityb</t>
  </si>
  <si>
    <t>977 Elm St, Cityb</t>
  </si>
  <si>
    <t>111 Elm St, Cityb</t>
  </si>
  <si>
    <t>302 Elm St, Cityd</t>
  </si>
  <si>
    <t>414 Cedar St, Citye</t>
  </si>
  <si>
    <t>984 Main St, Cityd</t>
  </si>
  <si>
    <t>638 Main St, Citye</t>
  </si>
  <si>
    <t>485 Elm St, Cityd</t>
  </si>
  <si>
    <t>656 Main St, Cityd</t>
  </si>
  <si>
    <t>783 Pine St, Citya</t>
  </si>
  <si>
    <t>658 Pine St, Cityb</t>
  </si>
  <si>
    <t>768 Elm St, Cityc</t>
  </si>
  <si>
    <t>576 Elm St, Citye</t>
  </si>
  <si>
    <t>622 Elm St, Cityc</t>
  </si>
  <si>
    <t>687 Cedar St, Cityc</t>
  </si>
  <si>
    <t>666 Elm St, Citye</t>
  </si>
  <si>
    <t>142 Cedar St, Citya</t>
  </si>
  <si>
    <t>857 Oak St, Citya</t>
  </si>
  <si>
    <t>919 Oak St, Cityd</t>
  </si>
  <si>
    <t>909 Main St, Cityb</t>
  </si>
  <si>
    <t>924 Cedar St, Citye</t>
  </si>
  <si>
    <t>445 Oak St, Citya</t>
  </si>
  <si>
    <t>563 Elm St, Cityd</t>
  </si>
  <si>
    <t>605 Oak St, Citye</t>
  </si>
  <si>
    <t>693 Elm St, Cityd</t>
  </si>
  <si>
    <t>677 Oak St, Citya</t>
  </si>
  <si>
    <t>803 Cedar St, Cityd</t>
  </si>
  <si>
    <t>417 Main St, Cityb</t>
  </si>
  <si>
    <t>16 Cedar St, Cityd</t>
  </si>
  <si>
    <t>689 Elm St, Cityb</t>
  </si>
  <si>
    <t>827 Cedar St, Cityc</t>
  </si>
  <si>
    <t>586 Oak St, Citya</t>
  </si>
  <si>
    <t>258 Elm St, Cityc</t>
  </si>
  <si>
    <t>409 Cedar St, Cityb</t>
  </si>
  <si>
    <t>247 Cedar St, Cityc</t>
  </si>
  <si>
    <t>871 Cedar St, Cityc</t>
  </si>
  <si>
    <t>642 Main St, Citya</t>
  </si>
  <si>
    <t>853 Elm St, Cityd</t>
  </si>
  <si>
    <t>771 Elm St, Citya</t>
  </si>
  <si>
    <t>7 Cedar St, Cityd</t>
  </si>
  <si>
    <t>615 Pine St, Cityd</t>
  </si>
  <si>
    <t>65 Main St, Citya</t>
  </si>
  <si>
    <t>854 Pine St, Citye</t>
  </si>
  <si>
    <t>207 Main St, Citya</t>
  </si>
  <si>
    <t>685 Elm St, Citye</t>
  </si>
  <si>
    <t>343 Main St, Citya</t>
  </si>
  <si>
    <t>969 Main St, Cityd</t>
  </si>
  <si>
    <t>541 Main St, Citye</t>
  </si>
  <si>
    <t>664 Oak St, Citya</t>
  </si>
  <si>
    <t>301 Cedar St, Citya</t>
  </si>
  <si>
    <t>879 Oak St, Citya</t>
  </si>
  <si>
    <t>465 Pine St, Cityb</t>
  </si>
  <si>
    <t>884 Cedar St, Cityb</t>
  </si>
  <si>
    <t>893 Cedar St, Cityd</t>
  </si>
  <si>
    <t>52 Oak St, Cityb</t>
  </si>
  <si>
    <t>653 Oak St, Cityc</t>
  </si>
  <si>
    <t>18 Pine St, Cityd</t>
  </si>
  <si>
    <t>454 Cedar St, Cityc</t>
  </si>
  <si>
    <t>401 Elm St, Citya</t>
  </si>
  <si>
    <t>732 Pine St, Cityb</t>
  </si>
  <si>
    <t>744 Pine St, Cityd</t>
  </si>
  <si>
    <t>688 Elm St, Citye</t>
  </si>
  <si>
    <t>141 Oak St, Citya</t>
  </si>
  <si>
    <t>569 Main St, Cityd</t>
  </si>
  <si>
    <t>743 Pine St, Cityd</t>
  </si>
  <si>
    <t>946 Main St, Cityb</t>
  </si>
  <si>
    <t>579 Cedar St, Citya</t>
  </si>
  <si>
    <t>788 Oak St, Citya</t>
  </si>
  <si>
    <t>407 Cedar St, Citye</t>
  </si>
  <si>
    <t>270 Main St, Cityb</t>
  </si>
  <si>
    <t>204 Elm St, Cityd</t>
  </si>
  <si>
    <t>238 Main St, Cityb</t>
  </si>
  <si>
    <t>978 Oak St, Cityc</t>
  </si>
  <si>
    <t>733 Elm St, Cityb</t>
  </si>
  <si>
    <t>354 Pine St, Citya</t>
  </si>
  <si>
    <t>479 Cedar St, Citya</t>
  </si>
  <si>
    <t>476 Main St, Cityb</t>
  </si>
  <si>
    <t>870 Elm St, Citya</t>
  </si>
  <si>
    <t>81 Cedar St, Cityb</t>
  </si>
  <si>
    <t>1 Pine St, Citya</t>
  </si>
  <si>
    <t>136 Pine St, Cityd</t>
  </si>
  <si>
    <t>560 Cedar St, Cityc</t>
  </si>
  <si>
    <t>386 Main St, Cityb</t>
  </si>
  <si>
    <t>224 Pine St, Citya</t>
  </si>
  <si>
    <t>913 Cedar St, Cityc</t>
  </si>
  <si>
    <t>315 Oak St, Citye</t>
  </si>
  <si>
    <t>51 Elm St, Citye</t>
  </si>
  <si>
    <t>331 Main St, Cityb</t>
  </si>
  <si>
    <t>885 Pine St, Cityc</t>
  </si>
  <si>
    <t>523 Main St, Citya</t>
  </si>
  <si>
    <t>442 Oak St, Cityc</t>
  </si>
  <si>
    <t>55 Elm St, Cityd</t>
  </si>
  <si>
    <t>210 Oak St, Citya</t>
  </si>
  <si>
    <t>408 Pine St, Citye</t>
  </si>
  <si>
    <t>111 Elm St, Cityd</t>
  </si>
  <si>
    <t>759 Pine St, Citye</t>
  </si>
  <si>
    <t>175 Elm St, Citya</t>
  </si>
  <si>
    <t>15 Elm St, Citya</t>
  </si>
  <si>
    <t>900 Pine St, Citye</t>
  </si>
  <si>
    <t>550 Elm St, Citya</t>
  </si>
  <si>
    <t>644 Elm St, Cityc</t>
  </si>
  <si>
    <t>532 Pine St, Cityb</t>
  </si>
  <si>
    <t>587 Cedar St, Cityc</t>
  </si>
  <si>
    <t>753 Pine St, Citye</t>
  </si>
  <si>
    <t>888 Elm St, Citye</t>
  </si>
  <si>
    <t>249 Main St, Citye</t>
  </si>
  <si>
    <t>182 Cedar St, Cityc</t>
  </si>
  <si>
    <t>235 Cedar St, Cityd</t>
  </si>
  <si>
    <t>983 Main St, Cityd</t>
  </si>
  <si>
    <t>805 Cedar St, Citye</t>
  </si>
  <si>
    <t>737 Pine St, Cityd</t>
  </si>
  <si>
    <t>698 Main St, Cityd</t>
  </si>
  <si>
    <t>490 Main St, Cityd</t>
  </si>
  <si>
    <t>882 Pine St, Cityb</t>
  </si>
  <si>
    <t>922 Pine St, Citye</t>
  </si>
  <si>
    <t>799 Elm St, Citya</t>
  </si>
  <si>
    <t>374 Main St, Cityd</t>
  </si>
  <si>
    <t>554 Elm St, Citya</t>
  </si>
  <si>
    <t>675 Elm St, Cityb</t>
  </si>
  <si>
    <t>230 Oak St, Cityc</t>
  </si>
  <si>
    <t>691 Elm St, Citya</t>
  </si>
  <si>
    <t>403 Oak St, Citya</t>
  </si>
  <si>
    <t>796 Oak St, Citye</t>
  </si>
  <si>
    <t>459 Main St, Cityc</t>
  </si>
  <si>
    <t>415 Cedar St, Cityb</t>
  </si>
  <si>
    <t>751 Main St, Citye</t>
  </si>
  <si>
    <t>667 Elm St, Citya</t>
  </si>
  <si>
    <t>585 Elm St, Cityc</t>
  </si>
  <si>
    <t>582 Pine St, Cityd</t>
  </si>
  <si>
    <t>774 Cedar St, Citya</t>
  </si>
  <si>
    <t>571 Cedar St, Citye</t>
  </si>
  <si>
    <t>792 Oak St, Cityb</t>
  </si>
  <si>
    <t>441 Cedar St, Citye</t>
  </si>
  <si>
    <t>555 Oak St, Citye</t>
  </si>
  <si>
    <t>889 Main St, Cityb</t>
  </si>
  <si>
    <t>130 Main St, Cityc</t>
  </si>
  <si>
    <t>818 Main St, Citye</t>
  </si>
  <si>
    <t>709 Elm St, Citye</t>
  </si>
  <si>
    <t>444 Cedar St, Cityc</t>
  </si>
  <si>
    <t>520 Oak St, Cityb</t>
  </si>
  <si>
    <t>306 Cedar St, Cityc</t>
  </si>
  <si>
    <t>867 Cedar St, Citye</t>
  </si>
  <si>
    <t>567 Main St, Citya</t>
  </si>
  <si>
    <t>291 Oak St, Cityd</t>
  </si>
  <si>
    <t>642 Cedar St, Citye</t>
  </si>
  <si>
    <t>469 Main St, Cityd</t>
  </si>
  <si>
    <t>94 Oak St, Cityb</t>
  </si>
  <si>
    <t>459 Pine St, Cityd</t>
  </si>
  <si>
    <t>201 Cedar St, Cityb</t>
  </si>
  <si>
    <t>27 Cedar St, Cityd</t>
  </si>
  <si>
    <t>282 Pine St, Citya</t>
  </si>
  <si>
    <t>626 Cedar St, Cityd</t>
  </si>
  <si>
    <t>394 Cedar St, Cityb</t>
  </si>
  <si>
    <t>878 Cedar St, Citye</t>
  </si>
  <si>
    <t>938 Pine St, Citye</t>
  </si>
  <si>
    <t>510 Elm St, Cityb</t>
  </si>
  <si>
    <t xml:space="preserve">Total Orders </t>
  </si>
  <si>
    <t xml:space="preserve">Backlogged orders </t>
  </si>
  <si>
    <t>ZONE 1</t>
  </si>
  <si>
    <t>ZONE 2</t>
  </si>
  <si>
    <t>ZONE 3</t>
  </si>
  <si>
    <t>MAX DELAY</t>
  </si>
  <si>
    <t>POSITIVE</t>
  </si>
  <si>
    <t>NEGATIVE</t>
  </si>
  <si>
    <t>NEUTRAL</t>
  </si>
  <si>
    <t>FEEDBACK DISTRIBUTION</t>
  </si>
  <si>
    <t xml:space="preserve">Average Delays(Mins) </t>
  </si>
  <si>
    <t>%</t>
  </si>
  <si>
    <t>TOTAL</t>
  </si>
  <si>
    <t>Completed Orders</t>
  </si>
  <si>
    <t>AVERAGE DELAY</t>
  </si>
  <si>
    <t>RULES</t>
  </si>
  <si>
    <t>TOTAL ORDERS</t>
  </si>
  <si>
    <t>Day</t>
  </si>
  <si>
    <t>Month</t>
  </si>
  <si>
    <t>Driver Count</t>
  </si>
  <si>
    <t>Count of Order ID</t>
  </si>
  <si>
    <t>Monday</t>
  </si>
  <si>
    <t>Friday</t>
  </si>
  <si>
    <t>Tuesday</t>
  </si>
  <si>
    <t>Thursday</t>
  </si>
  <si>
    <t>Saturday</t>
  </si>
  <si>
    <t>Wednesday</t>
  </si>
  <si>
    <t>Sunday</t>
  </si>
  <si>
    <t>Vehicle</t>
  </si>
  <si>
    <t>Feedback count</t>
  </si>
  <si>
    <t>Sentiment</t>
  </si>
  <si>
    <t>Orders %</t>
  </si>
  <si>
    <t>Allocation</t>
  </si>
  <si>
    <t>Timestamp for Tracking</t>
  </si>
  <si>
    <t>1001</t>
  </si>
  <si>
    <t>Van</t>
  </si>
  <si>
    <t>1002</t>
  </si>
  <si>
    <t>Truck</t>
  </si>
  <si>
    <t>1003</t>
  </si>
  <si>
    <t>1004</t>
  </si>
  <si>
    <t>1005</t>
  </si>
  <si>
    <t>Bike</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</si>
  <si>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</si>
  <si>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</si>
  <si>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</si>
  <si>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</si>
  <si>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</si>
  <si>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</si>
  <si>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</si>
  <si>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</si>
  <si>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</si>
  <si>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</si>
  <si>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</si>
  <si>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</si>
  <si>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</si>
  <si>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</si>
  <si>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</si>
  <si>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</si>
  <si>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</si>
  <si>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</si>
  <si>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</si>
  <si>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</si>
  <si>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</si>
  <si>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</si>
  <si>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</si>
  <si>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</si>
  <si>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</si>
  <si>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</si>
  <si>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</si>
  <si>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</si>
  <si>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</si>
  <si>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</si>
  <si>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</si>
  <si>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</si>
  <si>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</si>
  <si>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</si>
  <si>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</si>
  <si>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</si>
  <si>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</si>
  <si>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</si>
  <si>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</si>
  <si>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</si>
  <si>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</si>
  <si>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</si>
  <si>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</si>
  <si>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</si>
  <si>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</si>
  <si>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</si>
  <si>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</si>
  <si>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</si>
  <si>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</si>
  <si>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</si>
  <si>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</si>
  <si>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</si>
  <si>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</si>
  <si>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</si>
  <si>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</si>
  <si>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</si>
  <si>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</si>
  <si>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</si>
  <si>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</si>
  <si>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</si>
  <si>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</si>
  <si>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</si>
  <si>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</si>
  <si>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</si>
  <si>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</si>
  <si>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</si>
  <si>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</si>
  <si>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</si>
  <si>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</si>
  <si>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</si>
  <si>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</si>
  <si>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</si>
  <si>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</si>
  <si>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</si>
  <si>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</si>
  <si>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</si>
  <si>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</si>
  <si>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</si>
  <si>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</si>
  <si>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</si>
  <si>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</si>
  <si>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</si>
  <si>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</si>
  <si>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</si>
  <si>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</si>
  <si>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</si>
  <si>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</si>
  <si>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</si>
  <si>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</si>
  <si>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</si>
  <si>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</si>
  <si>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</si>
  <si>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</si>
  <si>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</si>
  <si>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</si>
  <si>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</si>
  <si>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</si>
  <si>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</si>
  <si>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</si>
  <si>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</si>
  <si>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</si>
  <si>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</si>
  <si>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</si>
  <si>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</si>
  <si>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</si>
  <si>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</si>
  <si>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</si>
  <si>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</si>
  <si>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</si>
  <si>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</si>
  <si>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</si>
  <si>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</si>
  <si>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</si>
  <si>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</si>
  <si>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</si>
  <si>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</si>
  <si>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</si>
  <si>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</si>
  <si>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</si>
  <si>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</si>
  <si>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</si>
  <si>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</si>
  <si>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</si>
  <si>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</si>
  <si>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</si>
  <si>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</si>
  <si>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</si>
  <si>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</si>
  <si>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</si>
  <si>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</si>
  <si>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</si>
  <si>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</si>
  <si>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</si>
  <si>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</si>
  <si>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</si>
  <si>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</si>
  <si>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</si>
  <si>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</si>
  <si>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</si>
  <si>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</si>
  <si>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</si>
  <si>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</si>
  <si>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</si>
  <si>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</si>
  <si>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</si>
  <si>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</si>
  <si>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</si>
  <si>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</si>
  <si>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</si>
  <si>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</si>
  <si>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</si>
  <si>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</si>
  <si>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</si>
  <si>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</si>
  <si>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</si>
  <si>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</si>
  <si>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</si>
  <si>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</si>
  <si>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</si>
  <si>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</si>
  <si>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</si>
  <si>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</si>
  <si>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</si>
  <si>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</si>
  <si>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</si>
  <si>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</si>
  <si>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</si>
  <si>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</si>
  <si>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</si>
  <si>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</si>
  <si>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</si>
  <si>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</si>
  <si>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</si>
  <si>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</si>
  <si>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</si>
  <si>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</si>
  <si>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</si>
  <si>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</si>
  <si>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</si>
  <si>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</si>
  <si>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</si>
  <si>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</si>
  <si>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</si>
  <si>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</si>
  <si>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</si>
  <si>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</si>
  <si>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</si>
  <si>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</si>
  <si>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</si>
  <si>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</si>
  <si>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</si>
  <si>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</si>
  <si>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</si>
  <si>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</si>
  <si>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</si>
  <si>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</si>
  <si>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</si>
  <si>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</si>
  <si>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</si>
  <si>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</si>
  <si>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</si>
  <si>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</si>
  <si>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</si>
  <si>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</si>
  <si>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</si>
  <si>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</si>
  <si>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</si>
  <si>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</si>
  <si>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</si>
  <si>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</si>
  <si>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</si>
  <si>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</si>
  <si>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</si>
  <si>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</si>
  <si>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</si>
  <si>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</si>
  <si>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</si>
  <si>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</si>
  <si>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</si>
  <si>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</si>
  <si>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</si>
  <si>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</si>
  <si>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</si>
  <si>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</si>
  <si>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</si>
  <si>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</si>
  <si>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</si>
  <si>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</si>
  <si>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</si>
  <si>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</si>
  <si>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</si>
  <si>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</si>
  <si>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</si>
  <si>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</si>
  <si>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</si>
  <si>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</si>
  <si>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</si>
  <si>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</si>
  <si>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</si>
  <si>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</si>
  <si>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</si>
  <si>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</si>
  <si>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</si>
  <si>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</si>
  <si>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</si>
  <si>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</si>
  <si>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</si>
  <si>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</si>
  <si>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</si>
  <si>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</si>
  <si>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</si>
  <si>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</si>
  <si>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</si>
  <si>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</si>
  <si>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</si>
  <si>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</si>
  <si>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</si>
  <si>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</si>
  <si>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</si>
  <si>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</si>
  <si>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</si>
  <si>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</si>
  <si>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</si>
  <si>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</si>
  <si>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</si>
  <si>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</si>
  <si>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</si>
  <si>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</si>
  <si>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</si>
  <si>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</si>
  <si>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</si>
  <si>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</si>
  <si>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</si>
  <si>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</si>
  <si>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</si>
  <si>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</si>
  <si>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</si>
  <si>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</si>
  <si>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</si>
  <si>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</si>
  <si>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</si>
  <si>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</si>
  <si>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</si>
  <si>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</si>
  <si>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</si>
  <si>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</si>
  <si>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</si>
  <si>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</si>
  <si>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</si>
  <si>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</si>
  <si>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</si>
  <si>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</si>
  <si>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</si>
  <si>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</si>
  <si>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</si>
  <si>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</si>
  <si>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</si>
  <si>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</si>
  <si>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</si>
  <si>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</si>
  <si>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</si>
  <si>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</si>
  <si>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</si>
  <si>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</si>
  <si>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</si>
  <si>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</si>
  <si>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</si>
  <si>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</si>
  <si>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</si>
  <si>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</si>
  <si>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</si>
  <si>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</si>
  <si>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</si>
  <si>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</si>
  <si>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</si>
  <si>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</si>
  <si>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</si>
  <si>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</si>
  <si>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</si>
  <si>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</si>
  <si>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</si>
  <si>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</si>
  <si>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</si>
  <si>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</si>
  <si>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</si>
  <si>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</si>
  <si>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</si>
  <si>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</si>
  <si>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</si>
  <si>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</si>
  <si>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</si>
  <si>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</si>
  <si>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</si>
  <si>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</si>
  <si>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</si>
  <si>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</si>
  <si>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</si>
  <si>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</si>
  <si>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</si>
  <si>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</si>
  <si>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</si>
  <si>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</si>
  <si>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</si>
  <si>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</si>
  <si>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</si>
  <si>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</si>
  <si>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</si>
  <si>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</si>
  <si>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</si>
  <si>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</si>
  <si>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</si>
  <si>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</si>
  <si>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</si>
  <si>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</si>
  <si>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</si>
  <si>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</si>
  <si>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</si>
  <si>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</si>
  <si>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</si>
  <si>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</si>
  <si>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</si>
  <si>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</si>
  <si>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</si>
  <si>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</si>
  <si>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</si>
  <si>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</si>
  <si>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</si>
  <si>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</si>
  <si>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</si>
  <si>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</si>
  <si>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</si>
  <si>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</si>
  <si>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</si>
  <si>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</si>
  <si>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</si>
  <si>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</si>
  <si>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</si>
  <si>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</si>
  <si>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</si>
  <si>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</si>
  <si>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</si>
  <si>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</si>
  <si>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</si>
  <si>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</si>
  <si>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</si>
  <si>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</si>
  <si>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</si>
  <si>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</si>
  <si>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</si>
  <si>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</si>
  <si>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</si>
  <si>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</si>
  <si>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</si>
  <si>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</si>
  <si>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</si>
  <si>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</si>
  <si>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</si>
  <si>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</si>
  <si>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</si>
  <si>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</si>
  <si>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</si>
  <si>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</si>
  <si>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</si>
  <si>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</si>
  <si>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</si>
  <si>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</si>
  <si>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</si>
  <si>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</si>
  <si>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</si>
  <si>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</si>
  <si>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</si>
  <si>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</si>
  <si>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</si>
  <si>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</si>
  <si>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</si>
  <si>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</si>
  <si>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</si>
  <si>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</si>
  <si>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</si>
  <si>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</si>
  <si>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</si>
  <si>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</si>
  <si>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</si>
  <si>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</si>
  <si>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</si>
  <si>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</si>
  <si>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</si>
  <si>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</si>
  <si>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</si>
  <si>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</si>
  <si>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</si>
  <si>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</si>
  <si>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</si>
  <si>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</si>
  <si>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</si>
  <si>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</si>
  <si>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</si>
  <si>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</si>
  <si>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</si>
  <si>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</si>
  <si>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</si>
  <si>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</si>
  <si>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</si>
  <si>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</si>
  <si>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</si>
  <si>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</si>
  <si>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</si>
  <si>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</si>
  <si>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</si>
  <si>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</si>
  <si>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</si>
  <si>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</si>
  <si>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</si>
  <si>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</si>
  <si>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</si>
  <si>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</si>
  <si>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</si>
  <si>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</si>
  <si>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</si>
  <si>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</si>
  <si>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</si>
  <si>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</si>
  <si>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</si>
  <si>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</si>
  <si>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</si>
  <si>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</si>
  <si>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</si>
  <si>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</si>
  <si>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</si>
  <si>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</si>
  <si>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</si>
  <si>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</si>
  <si>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</si>
  <si>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</si>
  <si>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</si>
  <si>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</si>
  <si>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</si>
  <si>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</si>
  <si>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</si>
  <si>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</si>
  <si>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</si>
  <si>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</si>
  <si>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</si>
  <si>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</si>
  <si>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</si>
  <si>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</si>
  <si>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</si>
  <si>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</si>
  <si>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</si>
  <si>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</si>
  <si>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</si>
  <si>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</si>
  <si>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</si>
  <si>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</si>
  <si>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</si>
  <si>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</si>
  <si>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</si>
  <si>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</si>
  <si>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</si>
  <si>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</si>
  <si>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</si>
  <si>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</si>
  <si>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</si>
  <si>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</si>
  <si>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</si>
  <si>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</si>
  <si>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</si>
  <si>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</si>
  <si>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</si>
  <si>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</si>
  <si>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</si>
  <si>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</si>
  <si>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</si>
  <si>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</si>
  <si>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</si>
  <si>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</si>
  <si>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</si>
  <si>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</si>
  <si>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</si>
  <si>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</si>
  <si>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</si>
  <si>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</si>
  <si>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</si>
  <si>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</si>
  <si>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</si>
  <si>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</si>
  <si>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</si>
  <si>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</si>
  <si>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</si>
  <si>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</si>
  <si>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</si>
  <si>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</si>
  <si>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</si>
  <si>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</si>
  <si>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</si>
  <si>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</si>
  <si>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</si>
  <si>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</si>
  <si>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</si>
  <si>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</si>
  <si>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</si>
  <si>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</si>
  <si>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</si>
  <si>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</si>
  <si>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</si>
  <si>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</si>
  <si>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</si>
  <si>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</si>
  <si>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</si>
  <si>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</si>
  <si>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</si>
  <si>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</si>
  <si>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</si>
  <si>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</si>
  <si>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</si>
  <si>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</si>
  <si>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</si>
  <si>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</si>
  <si>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</si>
  <si>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</si>
  <si>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</si>
  <si>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</si>
  <si>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</si>
  <si>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</si>
  <si>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</si>
  <si>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</si>
  <si>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</si>
  <si>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</si>
  <si>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</si>
  <si>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</si>
  <si>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</si>
  <si>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</si>
  <si>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</si>
  <si>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</si>
  <si>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</si>
  <si>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</si>
  <si>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</si>
  <si>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</si>
  <si>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</si>
  <si>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</si>
  <si>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</si>
  <si>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</si>
  <si>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</si>
  <si>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</si>
  <si>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</si>
  <si>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</si>
  <si>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</si>
  <si>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</si>
  <si>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</si>
  <si>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</si>
  <si>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</si>
  <si>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</si>
  <si>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</si>
  <si>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</si>
  <si>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</si>
  <si>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</si>
  <si>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</si>
  <si>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</si>
  <si>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</si>
  <si>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</si>
  <si>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</si>
  <si>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</si>
  <si>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</si>
  <si>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</si>
  <si>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</si>
  <si>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</si>
  <si>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</si>
  <si>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</si>
  <si>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</si>
  <si>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</si>
  <si>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</si>
  <si>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</si>
  <si>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</si>
  <si>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</si>
  <si>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</si>
  <si>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</si>
  <si>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</si>
  <si>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</si>
  <si>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</si>
  <si>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</si>
  <si>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</si>
  <si>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</si>
  <si>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</si>
  <si>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</si>
  <si>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</si>
  <si>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</si>
  <si>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</si>
  <si>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</si>
  <si>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</si>
  <si>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</si>
  <si>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</si>
  <si>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</si>
  <si>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</si>
  <si>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</si>
  <si>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</si>
  <si>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</si>
  <si>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</si>
  <si>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</si>
  <si>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</si>
  <si>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</si>
  <si>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</si>
  <si>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</si>
  <si>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</si>
  <si>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</si>
  <si>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</si>
  <si>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</si>
  <si>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</si>
  <si>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</si>
  <si>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</si>
  <si>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</si>
  <si>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</si>
  <si>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</si>
  <si>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</si>
  <si>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</si>
  <si>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</si>
  <si>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</si>
  <si>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</si>
  <si>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</si>
  <si>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</si>
  <si>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</si>
  <si>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</si>
  <si>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</si>
  <si>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</si>
  <si>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</si>
  <si>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</si>
  <si>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</si>
  <si>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</si>
  <si>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</si>
  <si>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</si>
  <si>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</si>
  <si>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</si>
  <si>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</si>
  <si>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</si>
  <si>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</si>
  <si>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</si>
  <si>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</si>
  <si>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</si>
  <si>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</si>
  <si>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</si>
  <si>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</si>
  <si>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</si>
  <si>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</si>
  <si>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</si>
  <si>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</si>
  <si>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</si>
  <si>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</si>
  <si>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</si>
  <si>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</si>
  <si>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</si>
  <si>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</si>
  <si>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</si>
  <si>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</si>
  <si>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</si>
  <si>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</si>
  <si>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</si>
  <si>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</si>
  <si>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</si>
  <si>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</si>
  <si>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</si>
  <si>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</si>
  <si>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</si>
  <si>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</si>
  <si>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</si>
  <si>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</si>
  <si>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</si>
  <si>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</si>
  <si>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</si>
  <si>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</si>
  <si>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</si>
  <si>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</si>
  <si>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</si>
  <si>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</si>
  <si>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</si>
  <si>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</si>
  <si>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</si>
  <si>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</si>
  <si>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</si>
  <si>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</si>
  <si>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</si>
  <si>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</si>
  <si>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</si>
  <si>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</si>
  <si>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</si>
  <si>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</si>
  <si>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</si>
  <si>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</si>
  <si>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</si>
  <si>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</si>
  <si>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</si>
  <si>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</si>
  <si>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</si>
  <si>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</si>
  <si>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</si>
  <si>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</si>
  <si>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</si>
  <si>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</si>
  <si>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</si>
  <si>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</si>
  <si>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</si>
  <si>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</si>
  <si>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</si>
  <si>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</si>
  <si>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</si>
  <si>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</si>
  <si>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</si>
  <si>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</si>
  <si>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</si>
  <si>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</si>
  <si>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</si>
  <si>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</si>
  <si>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</si>
  <si>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</si>
  <si>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</si>
  <si>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</si>
  <si>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</si>
  <si>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</si>
  <si>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</si>
  <si>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</si>
  <si>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</si>
  <si>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</si>
  <si>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</si>
  <si>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</si>
  <si>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</si>
  <si>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</si>
  <si>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</si>
  <si>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</si>
  <si>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</si>
  <si>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</si>
  <si>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</si>
  <si>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</si>
  <si>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</si>
  <si>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</si>
  <si>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</si>
  <si>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</si>
  <si>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</si>
  <si>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</si>
  <si>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</si>
  <si>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</si>
  <si>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</si>
  <si>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</si>
  <si>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</si>
  <si>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</si>
  <si>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</si>
  <si>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</si>
  <si>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</si>
  <si>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</si>
  <si>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</si>
  <si>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</si>
  <si>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</si>
  <si>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</si>
  <si>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</si>
  <si>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</si>
  <si>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</si>
  <si>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</si>
  <si>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</si>
  <si>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</si>
  <si>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</si>
  <si>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</si>
  <si>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</si>
  <si>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</si>
  <si>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</si>
  <si>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</si>
  <si>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</si>
  <si>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</si>
  <si>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</si>
  <si>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</si>
  <si>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</si>
  <si>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</si>
  <si>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</si>
  <si>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</si>
  <si>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</si>
  <si>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</si>
  <si>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</si>
  <si>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</si>
  <si>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</si>
  <si>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</si>
  <si>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</si>
  <si>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</si>
  <si>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</si>
  <si>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</si>
  <si>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</si>
  <si>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</si>
  <si>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</si>
  <si>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</si>
  <si>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</si>
  <si>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</si>
  <si>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</si>
  <si>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</si>
  <si>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</si>
  <si>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</si>
  <si>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</si>
  <si>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</si>
  <si>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</si>
  <si>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</si>
  <si>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</si>
  <si>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</si>
  <si>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</si>
  <si>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</si>
  <si>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</si>
  <si>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</si>
  <si>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</si>
  <si>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</si>
  <si>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</si>
  <si>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</si>
  <si>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</si>
  <si>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</si>
  <si>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</si>
  <si>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</si>
  <si>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</si>
  <si>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</si>
  <si>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</si>
  <si>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</si>
  <si>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</si>
  <si>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</si>
  <si>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</si>
  <si>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</si>
  <si>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</si>
  <si>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</si>
  <si>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</si>
  <si>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</si>
  <si>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</si>
  <si>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</si>
  <si>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</si>
  <si>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</si>
  <si>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</si>
  <si>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</si>
  <si>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</si>
  <si>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</si>
  <si>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</si>
  <si>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</si>
  <si>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</si>
  <si>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</si>
  <si>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</si>
  <si>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</si>
  <si>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</si>
  <si>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</si>
  <si>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</si>
  <si>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</si>
  <si>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</si>
  <si>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</si>
  <si>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</si>
  <si>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</si>
  <si>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</si>
  <si>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</si>
  <si>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</si>
  <si>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</si>
  <si>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</si>
  <si>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</si>
  <si>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</si>
  <si>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</si>
  <si>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</si>
  <si>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</si>
  <si>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</si>
  <si>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</si>
  <si>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</si>
  <si>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</si>
  <si>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</si>
  <si>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</si>
  <si>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</si>
  <si>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</si>
  <si>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</si>
  <si>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</si>
  <si>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</si>
  <si>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</si>
  <si>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</si>
  <si>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</si>
  <si>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</si>
  <si>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</si>
  <si>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</si>
  <si>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</si>
  <si>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</si>
  <si>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</si>
  <si>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</si>
  <si>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</si>
  <si>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</si>
  <si>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</si>
  <si>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</si>
  <si>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</si>
  <si>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</si>
  <si>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</si>
  <si>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</si>
  <si>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</si>
  <si>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</si>
  <si>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</si>
  <si>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</si>
  <si>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</si>
  <si>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</si>
  <si>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</si>
  <si>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</si>
  <si>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</si>
  <si>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</si>
  <si>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</si>
  <si>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</si>
  <si>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</si>
  <si>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</si>
  <si>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</si>
  <si>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</si>
  <si>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</si>
  <si>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</si>
  <si>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</si>
  <si>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</si>
  <si>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</si>
  <si>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</si>
  <si>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</si>
  <si>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</si>
  <si>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</si>
  <si>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</si>
  <si>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</si>
  <si>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</si>
  <si>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</si>
  <si>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</si>
  <si>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</si>
  <si>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</si>
  <si>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</si>
  <si>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</si>
  <si>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</si>
  <si>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</si>
  <si>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</si>
  <si>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</si>
  <si>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</si>
  <si>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</si>
  <si>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</si>
  <si>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</si>
  <si>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</si>
  <si>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</si>
  <si>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</si>
  <si>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</si>
  <si>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</si>
  <si>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</si>
  <si>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</si>
  <si>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</si>
  <si>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</si>
  <si>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</si>
  <si>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</si>
  <si>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</si>
  <si>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</si>
  <si>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</si>
  <si>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</si>
  <si>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</si>
  <si>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</si>
  <si>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</si>
  <si>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</si>
  <si>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</si>
  <si>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</si>
  <si>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</si>
  <si>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</si>
  <si>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</si>
  <si>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</si>
  <si>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</si>
  <si>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</si>
  <si>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</si>
  <si>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</si>
  <si>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</si>
  <si>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</si>
  <si>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</si>
  <si>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</si>
  <si>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</si>
  <si>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</si>
  <si>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</si>
  <si>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</si>
  <si>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</si>
  <si>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</si>
  <si>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</si>
  <si>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</si>
  <si>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</si>
  <si>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</si>
  <si>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</si>
  <si>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</si>
  <si>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</si>
  <si>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</si>
  <si>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</si>
  <si>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</si>
  <si>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</si>
  <si>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</si>
  <si>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</si>
  <si>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</si>
  <si>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</si>
  <si>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</si>
  <si>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</si>
  <si>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</si>
  <si>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</si>
  <si>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</si>
  <si>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</si>
  <si>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</si>
  <si>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</si>
  <si>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</si>
  <si>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</si>
  <si>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</si>
  <si>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</si>
  <si>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</si>
  <si>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</si>
  <si>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</si>
  <si>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</si>
  <si>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</si>
  <si>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</si>
  <si>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</si>
  <si>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</si>
  <si>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</si>
  <si>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</si>
  <si>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</si>
  <si>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</si>
  <si>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</si>
  <si>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</si>
  <si>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</si>
  <si>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</si>
  <si>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</si>
  <si>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</si>
  <si>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</si>
  <si>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</si>
  <si>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</si>
  <si>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</si>
  <si>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</si>
  <si>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</si>
  <si>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</si>
  <si>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</si>
  <si>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</si>
  <si>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</si>
  <si>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</si>
  <si>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</si>
  <si>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</si>
  <si>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</si>
  <si>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</si>
  <si>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</si>
  <si>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</si>
  <si>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</si>
  <si>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</si>
  <si>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</si>
  <si>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</si>
  <si>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</si>
  <si>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</si>
  <si>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</si>
  <si>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</si>
  <si>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</si>
  <si>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</si>
  <si>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</si>
  <si>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</si>
  <si>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</si>
  <si>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</si>
  <si>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</si>
  <si>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</si>
  <si>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</si>
  <si>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</si>
  <si>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</si>
  <si>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</si>
  <si>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</si>
  <si>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</si>
  <si>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</si>
  <si>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</si>
  <si>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</si>
  <si>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</si>
  <si>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</si>
  <si>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</si>
  <si>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</si>
  <si>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</si>
  <si>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</si>
  <si>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</si>
  <si>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</si>
  <si>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</si>
  <si>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</si>
  <si>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</si>
  <si>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</si>
  <si>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</si>
  <si>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</si>
  <si>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</si>
  <si>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</si>
  <si>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</si>
  <si>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</si>
  <si>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</si>
  <si>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</si>
  <si>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</si>
  <si>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</si>
  <si>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</si>
  <si>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</si>
  <si>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</si>
  <si>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</si>
  <si>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</si>
  <si>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</si>
  <si>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</si>
  <si>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</si>
  <si>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</si>
  <si>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</si>
  <si>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</si>
  <si>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</si>
  <si>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</si>
  <si>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</si>
  <si>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</si>
  <si>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</si>
  <si>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</si>
  <si>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</si>
  <si>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</si>
  <si>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</si>
  <si>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</si>
  <si>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</si>
  <si>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</si>
  <si>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</si>
  <si>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</si>
  <si>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</si>
  <si>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</si>
  <si>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</si>
  <si>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</si>
  <si>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</si>
  <si>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</si>
  <si>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</si>
  <si>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</si>
  <si>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</si>
  <si>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</si>
  <si>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</si>
  <si>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</si>
  <si>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</si>
  <si>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</si>
  <si>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</si>
  <si>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</si>
  <si>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</si>
  <si>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</si>
  <si>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</si>
  <si>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</si>
  <si>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</si>
  <si>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</si>
  <si>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</si>
  <si>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</si>
  <si>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</si>
  <si>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</si>
  <si>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</si>
  <si>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</si>
  <si>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</si>
  <si>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</si>
  <si>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</si>
  <si>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</si>
  <si>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</si>
  <si>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</si>
  <si>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</si>
  <si>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</si>
  <si>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</si>
  <si>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</si>
  <si>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</si>
  <si>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</si>
  <si>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</si>
  <si>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</si>
  <si>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</si>
  <si>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</si>
  <si>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</si>
  <si>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</si>
  <si>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</si>
  <si>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</si>
  <si>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</si>
  <si>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</si>
  <si>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</si>
  <si>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</si>
  <si>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</si>
  <si>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</si>
  <si>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</si>
  <si>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</si>
  <si>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</si>
  <si>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</si>
  <si>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</si>
  <si>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</si>
  <si>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</si>
  <si>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</si>
  <si>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</si>
  <si>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</si>
  <si>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</si>
  <si>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</si>
  <si>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</si>
  <si>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</si>
  <si>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</si>
  <si>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</si>
  <si>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</si>
  <si>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</si>
  <si>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</si>
  <si>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</si>
  <si>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</si>
  <si>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</si>
  <si>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</si>
  <si>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</si>
  <si>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</si>
  <si>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</si>
  <si>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</si>
  <si>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</si>
  <si>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</si>
  <si>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</si>
  <si>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</si>
  <si>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</si>
  <si>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</si>
  <si>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</si>
  <si>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</si>
  <si>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</si>
  <si>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</si>
  <si>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</si>
  <si>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</si>
  <si>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</si>
  <si>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</si>
  <si>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</si>
  <si>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</si>
  <si>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</si>
  <si>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</si>
  <si>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</si>
  <si>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</si>
  <si>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</si>
  <si>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</si>
  <si>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</si>
  <si>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</si>
  <si>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</si>
  <si>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</si>
  <si>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</si>
  <si>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</si>
  <si>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</si>
  <si>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</si>
  <si>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</si>
  <si>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</si>
  <si>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</si>
  <si>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</si>
  <si>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</si>
  <si>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</si>
  <si>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</si>
  <si>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</si>
  <si>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</si>
  <si>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</si>
  <si>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</si>
  <si>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</si>
  <si>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</si>
  <si>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</si>
  <si>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</si>
  <si>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</si>
  <si>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</si>
  <si>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</si>
  <si>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</si>
  <si>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</si>
  <si>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</si>
  <si>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</si>
  <si>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</si>
  <si>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</si>
  <si>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</si>
  <si>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</si>
  <si>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</si>
  <si>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</si>
  <si>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</si>
  <si>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</si>
  <si>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</si>
  <si>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</si>
  <si>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</si>
  <si>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</si>
  <si>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</si>
  <si>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</si>
  <si>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</si>
  <si>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</si>
  <si>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</si>
  <si>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</si>
  <si>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</si>
  <si>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</si>
  <si>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</si>
  <si>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</si>
  <si>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</si>
  <si>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</si>
  <si>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</si>
  <si>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</si>
  <si>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</si>
  <si>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</si>
  <si>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</si>
  <si>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</si>
  <si>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</si>
  <si>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</si>
  <si>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</si>
  <si>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</si>
  <si>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</si>
  <si>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</si>
  <si>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</si>
  <si>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</si>
  <si>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</si>
  <si>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</si>
  <si>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</si>
  <si>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</si>
  <si>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</si>
  <si>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</si>
  <si>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</si>
  <si>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</si>
  <si>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</si>
  <si>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</si>
  <si>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</si>
  <si>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</si>
  <si>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</si>
  <si>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</si>
  <si>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</si>
  <si>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</si>
  <si>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</si>
  <si>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</si>
  <si>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</si>
  <si>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</si>
  <si>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</si>
  <si>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</si>
  <si>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</si>
  <si>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</si>
  <si>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</si>
  <si>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</si>
  <si>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</si>
  <si>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</si>
  <si>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</si>
  <si>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</si>
  <si>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</si>
  <si>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</si>
  <si>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</si>
  <si>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</si>
  <si>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</si>
  <si>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</si>
  <si>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</si>
  <si>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</si>
  <si>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</si>
  <si>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</si>
  <si>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</si>
  <si>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</si>
  <si>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</si>
  <si>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</si>
  <si>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</si>
  <si>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</si>
  <si>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</si>
  <si>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</si>
  <si>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</si>
  <si>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</si>
  <si>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</si>
  <si>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</si>
  <si>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</si>
  <si>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</si>
  <si>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</si>
  <si>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</si>
  <si>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</si>
  <si>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</si>
  <si>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</si>
  <si>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</si>
  <si>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</si>
  <si>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</si>
  <si>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</si>
  <si>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</si>
  <si>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</si>
  <si>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</si>
  <si>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</si>
  <si>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</si>
  <si>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</si>
  <si>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</si>
  <si>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</si>
  <si>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</si>
  <si>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</si>
  <si>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</si>
  <si>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</si>
  <si>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</si>
  <si>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</si>
  <si>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</si>
  <si>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</si>
  <si>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</si>
  <si>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</si>
  <si>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</si>
  <si>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</si>
  <si>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</si>
  <si>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</si>
  <si>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</si>
  <si>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</si>
  <si>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</si>
  <si>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</si>
  <si>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</si>
  <si>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</si>
  <si>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</si>
  <si>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</si>
  <si>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</si>
  <si>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</si>
  <si>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</si>
  <si>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</si>
  <si>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</si>
  <si>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</si>
  <si>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</si>
  <si>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</si>
  <si>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</si>
  <si>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</si>
  <si>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</si>
  <si>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</si>
  <si>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</si>
  <si>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</si>
  <si>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</si>
  <si>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</si>
  <si>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</si>
  <si>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</si>
  <si>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</si>
  <si>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</si>
  <si>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</si>
  <si>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</si>
  <si>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</si>
  <si>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</si>
  <si>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</si>
  <si>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</si>
  <si>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</si>
  <si>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</si>
  <si>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</si>
  <si>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</si>
  <si>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</si>
  <si>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</si>
  <si>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</si>
  <si>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</si>
  <si>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</si>
  <si>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</si>
  <si>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</si>
  <si>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</si>
  <si>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</si>
  <si>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</si>
  <si>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</si>
  <si>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</si>
  <si>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</si>
  <si>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</si>
  <si>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</si>
  <si>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</si>
  <si>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</si>
  <si>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</si>
  <si>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</si>
  <si>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</si>
  <si>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</si>
  <si>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</si>
  <si>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</si>
  <si>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</si>
  <si>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</si>
  <si>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</si>
  <si>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</si>
  <si>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</si>
  <si>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</si>
  <si>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</si>
  <si>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</si>
  <si>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</si>
  <si>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</si>
  <si>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</si>
  <si>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</si>
  <si>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</si>
  <si>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</si>
  <si>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</si>
  <si>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</si>
  <si>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</si>
  <si>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</si>
  <si>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</si>
  <si>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</si>
  <si>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</si>
  <si>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</si>
  <si>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</si>
  <si>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</si>
  <si>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</si>
  <si>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</si>
  <si>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</si>
  <si>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</si>
  <si>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</si>
  <si>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</si>
  <si>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</si>
  <si>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</si>
  <si>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</si>
  <si>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</si>
  <si>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</si>
  <si>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</si>
  <si>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</si>
  <si>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</si>
  <si>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</si>
  <si>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</si>
  <si>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</si>
  <si>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</si>
  <si>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Order Volume</t>
  </si>
  <si>
    <t>Order Flag</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</si>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</sst>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20"/>
      <color theme="1"/>
      <name val="Aptos Narrow"/>
      <family val="2"/>
      <scheme val="minor"/>
    </font>
    <font>
      <b/>
      <sz val="11"/>
      <color rgb="FFC00000"/>
      <name val="Aptos Narrow"/>
      <family val="2"/>
      <scheme val="minor"/>
    </font>
    <font>
      <b/>
      <sz val="11"/>
      <color theme="1"/>
      <name val="ADLaM Display"/>
    </font>
    <font>
      <sz val="8"/>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14" fontId="0" fillId="0" borderId="0" xfId="0" applyNumberFormat="1"/>
    <xf numFmtId="164" fontId="0" fillId="0" borderId="0" xfId="0" applyNumberFormat="1"/>
    <xf numFmtId="0" fontId="0" fillId="0" borderId="0" xfId="0" applyAlignment="1">
      <alignment horizontal="center"/>
    </xf>
    <xf numFmtId="2" fontId="0" fillId="0" borderId="0" xfId="0" applyNumberFormat="1"/>
    <xf numFmtId="0" fontId="0" fillId="3" borderId="1" xfId="0" applyFill="1" applyBorder="1"/>
    <xf numFmtId="0" fontId="2" fillId="0" borderId="1" xfId="0" applyFont="1" applyBorder="1" applyAlignment="1">
      <alignment horizontal="center" vertical="center"/>
    </xf>
    <xf numFmtId="0" fontId="2" fillId="0" borderId="0" xfId="0" applyFont="1" applyAlignment="1">
      <alignment horizontal="center"/>
    </xf>
    <xf numFmtId="0" fontId="0" fillId="0" borderId="1" xfId="0" applyBorder="1" applyAlignment="1">
      <alignment vertical="center"/>
    </xf>
    <xf numFmtId="0" fontId="2" fillId="2" borderId="1" xfId="0" applyFont="1" applyFill="1" applyBorder="1" applyAlignment="1">
      <alignment vertical="center"/>
    </xf>
    <xf numFmtId="0" fontId="2" fillId="0" borderId="1" xfId="0" applyFont="1" applyBorder="1" applyAlignment="1">
      <alignment vertical="center"/>
    </xf>
    <xf numFmtId="0" fontId="4" fillId="0" borderId="1" xfId="0" applyFont="1" applyBorder="1" applyAlignment="1">
      <alignment horizontal="center" vertical="center"/>
    </xf>
    <xf numFmtId="0" fontId="0" fillId="0" borderId="1" xfId="0" applyBorder="1" applyAlignment="1">
      <alignment horizontal="center" vertical="center"/>
    </xf>
    <xf numFmtId="9" fontId="0" fillId="0" borderId="1" xfId="1" applyFont="1" applyBorder="1" applyAlignment="1">
      <alignment horizontal="center" vertical="center"/>
    </xf>
    <xf numFmtId="165" fontId="0" fillId="0" borderId="1" xfId="0" applyNumberFormat="1" applyBorder="1" applyAlignment="1">
      <alignment horizontal="center" vertical="center"/>
    </xf>
    <xf numFmtId="0" fontId="3" fillId="0" borderId="1" xfId="0" applyFont="1" applyBorder="1" applyAlignment="1">
      <alignment horizontal="center" vertical="center"/>
    </xf>
    <xf numFmtId="2" fontId="0" fillId="0" borderId="1" xfId="0" applyNumberFormat="1" applyBorder="1" applyAlignment="1">
      <alignment horizontal="center" vertical="center"/>
    </xf>
    <xf numFmtId="0" fontId="5" fillId="0" borderId="1" xfId="0" applyFont="1" applyBorder="1" applyAlignment="1">
      <alignment horizontal="center" vertical="center"/>
    </xf>
    <xf numFmtId="0" fontId="6" fillId="0" borderId="0" xfId="0" applyFont="1" applyAlignment="1">
      <alignment horizontal="center" vertical="center"/>
    </xf>
    <xf numFmtId="2" fontId="6" fillId="0" borderId="0" xfId="0" applyNumberFormat="1"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2" fillId="4" borderId="0" xfId="0" applyFont="1" applyFill="1" applyAlignment="1">
      <alignment horizontal="center" vertical="center"/>
    </xf>
    <xf numFmtId="0" fontId="0" fillId="0" borderId="0" xfId="0" applyAlignment="1">
      <alignment horizontal="left"/>
    </xf>
    <xf numFmtId="10" fontId="0" fillId="0" borderId="0" xfId="0" applyNumberFormat="1"/>
    <xf numFmtId="0" fontId="0" fillId="0" borderId="0" xfId="0" applyAlignment="1">
      <alignment horizontal="center" vertical="center"/>
    </xf>
    <xf numFmtId="0" fontId="0" fillId="0" borderId="0" xfId="0" pivotButton="1" applyAlignment="1">
      <alignment vertical="center"/>
    </xf>
    <xf numFmtId="0" fontId="0" fillId="0" borderId="0" xfId="0" pivotButton="1"/>
    <xf numFmtId="0" fontId="0" fillId="0" borderId="0" xfId="0" applyProtection="1">
      <protection locked="0"/>
    </xf>
    <xf numFmtId="0" fontId="0" fillId="0" borderId="1" xfId="0" applyBorder="1"/>
    <xf numFmtId="0" fontId="0" fillId="0" borderId="0" xfId="0" applyAlignment="1">
      <alignment vertical="center"/>
    </xf>
    <xf numFmtId="0" fontId="0" fillId="0" borderId="0" xfId="0" pivotButton="1" applyAlignment="1">
      <alignment horizontal="center" vertical="center"/>
    </xf>
  </cellXfs>
  <cellStyles count="2">
    <cellStyle name="Normal" xfId="0" builtinId="0"/>
    <cellStyle name="Percent" xfId="1" builtinId="5"/>
  </cellStyles>
  <dxfs count="37">
    <dxf>
      <numFmt numFmtId="0" formatCode="General"/>
    </dxf>
    <dxf>
      <numFmt numFmtId="0" formatCode="General"/>
    </dxf>
    <dxf>
      <alignment vertical="center"/>
    </dxf>
    <dxf>
      <alignment vertical="center"/>
    </dxf>
    <dxf>
      <alignment horizontal="center"/>
    </dxf>
    <dxf>
      <alignment vertic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numFmt numFmtId="14" formatCode="0.00%"/>
    </dxf>
    <dxf>
      <alignment vertical="center"/>
    </dxf>
    <dxf>
      <alignment vertical="center"/>
    </dxf>
    <dxf>
      <alignment horizontal="center"/>
    </dxf>
    <dxf>
      <alignment horizontal="center"/>
    </dxf>
    <dxf>
      <alignment vertical="center"/>
    </dxf>
    <dxf>
      <alignment vertical="center"/>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distribution By Route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5"/>
                <c:pt idx="0">
                  <c:v>Route5</c:v>
                </c:pt>
                <c:pt idx="1">
                  <c:v>Route2</c:v>
                </c:pt>
                <c:pt idx="2">
                  <c:v>Route3</c:v>
                </c:pt>
                <c:pt idx="3">
                  <c:v>Route1</c:v>
                </c:pt>
                <c:pt idx="4">
                  <c:v>Route4</c:v>
                </c:pt>
              </c:strCache>
            </c:strRef>
          </c:cat>
          <c:val>
            <c:numRef>
              <c:f>'Pivot Table'!$B$4:$B$8</c:f>
              <c:numCache>
                <c:formatCode>0.00%</c:formatCode>
                <c:ptCount val="5"/>
                <c:pt idx="0">
                  <c:v>0.21266666666666667</c:v>
                </c:pt>
                <c:pt idx="1">
                  <c:v>0.21133333333333335</c:v>
                </c:pt>
                <c:pt idx="2">
                  <c:v>0.19266666666666668</c:v>
                </c:pt>
                <c:pt idx="3">
                  <c:v>0.192</c:v>
                </c:pt>
                <c:pt idx="4">
                  <c:v>0.19133333333333333</c:v>
                </c:pt>
              </c:numCache>
            </c:numRef>
          </c:val>
          <c:extLst>
            <c:ext xmlns:c16="http://schemas.microsoft.com/office/drawing/2014/chart" uri="{C3380CC4-5D6E-409C-BE32-E72D297353CC}">
              <c16:uniqueId val="{00000000-C8D2-4A29-9C80-8F697E0A367D}"/>
            </c:ext>
          </c:extLst>
        </c:ser>
        <c:dLbls>
          <c:dLblPos val="outEnd"/>
          <c:showLegendKey val="0"/>
          <c:showVal val="1"/>
          <c:showCatName val="0"/>
          <c:showSerName val="0"/>
          <c:showPercent val="0"/>
          <c:showBubbleSize val="0"/>
        </c:dLbls>
        <c:gapWidth val="219"/>
        <c:overlap val="-27"/>
        <c:axId val="1380540736"/>
        <c:axId val="1380551776"/>
      </c:barChart>
      <c:catAx>
        <c:axId val="13805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51776"/>
        <c:crosses val="autoZero"/>
        <c:auto val="1"/>
        <c:lblAlgn val="ctr"/>
        <c:lblOffset val="100"/>
        <c:noMultiLvlLbl val="0"/>
      </c:catAx>
      <c:valAx>
        <c:axId val="1380551776"/>
        <c:scaling>
          <c:orientation val="minMax"/>
        </c:scaling>
        <c:delete val="1"/>
        <c:axPos val="l"/>
        <c:numFmt formatCode="0.00%" sourceLinked="1"/>
        <c:majorTickMark val="none"/>
        <c:minorTickMark val="none"/>
        <c:tickLblPos val="nextTo"/>
        <c:crossAx val="138054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By Vehicle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C4-4BFA-9F83-6805BFEAAA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C4-4BFA-9F83-6805BFEAAA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C4-4BFA-9F83-6805BFEAAAFA}"/>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Table'!$A$13:$A$15</c:f>
              <c:strCache>
                <c:ptCount val="3"/>
                <c:pt idx="0">
                  <c:v>Van</c:v>
                </c:pt>
                <c:pt idx="1">
                  <c:v>Bike</c:v>
                </c:pt>
                <c:pt idx="2">
                  <c:v>Truck</c:v>
                </c:pt>
              </c:strCache>
            </c:strRef>
          </c:cat>
          <c:val>
            <c:numRef>
              <c:f>'Pivot Table'!$B$13:$B$15</c:f>
              <c:numCache>
                <c:formatCode>0.00%</c:formatCode>
                <c:ptCount val="3"/>
                <c:pt idx="0">
                  <c:v>0.35333333333333333</c:v>
                </c:pt>
                <c:pt idx="1">
                  <c:v>0.33466666666666667</c:v>
                </c:pt>
                <c:pt idx="2">
                  <c:v>0.312</c:v>
                </c:pt>
              </c:numCache>
            </c:numRef>
          </c:val>
          <c:extLst>
            <c:ext xmlns:c16="http://schemas.microsoft.com/office/drawing/2014/chart" uri="{C3380CC4-5D6E-409C-BE32-E72D297353CC}">
              <c16:uniqueId val="{00000000-5DB4-44BC-82BE-A99E5ABDA1B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sentiment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00-42D6-8682-7B0F9B60F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00-42D6-8682-7B0F9B60F8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00-42D6-8682-7B0F9B60F8F1}"/>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Table'!$A$19:$A$21</c:f>
              <c:strCache>
                <c:ptCount val="3"/>
                <c:pt idx="0">
                  <c:v>Negative</c:v>
                </c:pt>
                <c:pt idx="1">
                  <c:v>Neutral</c:v>
                </c:pt>
                <c:pt idx="2">
                  <c:v>Positive</c:v>
                </c:pt>
              </c:strCache>
            </c:strRef>
          </c:cat>
          <c:val>
            <c:numRef>
              <c:f>'Pivot Table'!$B$19:$B$21</c:f>
              <c:numCache>
                <c:formatCode>0.00%</c:formatCode>
                <c:ptCount val="3"/>
                <c:pt idx="0">
                  <c:v>0.35266666666666668</c:v>
                </c:pt>
                <c:pt idx="1">
                  <c:v>0.32666666666666666</c:v>
                </c:pt>
                <c:pt idx="2">
                  <c:v>0.32066666666666666</c:v>
                </c:pt>
              </c:numCache>
            </c:numRef>
          </c:val>
          <c:extLst>
            <c:ext xmlns:c16="http://schemas.microsoft.com/office/drawing/2014/chart" uri="{C3380CC4-5D6E-409C-BE32-E72D297353CC}">
              <c16:uniqueId val="{00000000-9B9B-4F87-903C-1FD362B3A32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By Day Of The</a:t>
            </a:r>
            <a:r>
              <a:rPr lang="en-US" baseline="0"/>
              <a:t>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5555555555555558E-3"/>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676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370135052831988E-16"/>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3333333333333381E-2"/>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00000000000005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0555555555555582E-2"/>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3333333333333367E-3"/>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Table'!$B$26</c:f>
              <c:strCache>
                <c:ptCount val="1"/>
                <c:pt idx="0">
                  <c:v>Total</c:v>
                </c:pt>
              </c:strCache>
            </c:strRef>
          </c:tx>
          <c:spPr>
            <a:solidFill>
              <a:schemeClr val="accent1"/>
            </a:solidFill>
            <a:ln>
              <a:noFill/>
            </a:ln>
            <a:effectLst/>
          </c:spPr>
          <c:cat>
            <c:strRef>
              <c:f>'Pivot Table'!$A$27:$A$33</c:f>
              <c:strCache>
                <c:ptCount val="7"/>
                <c:pt idx="0">
                  <c:v>Monday</c:v>
                </c:pt>
                <c:pt idx="1">
                  <c:v>Tuesday</c:v>
                </c:pt>
                <c:pt idx="2">
                  <c:v>Wednesday</c:v>
                </c:pt>
                <c:pt idx="3">
                  <c:v>Thursday</c:v>
                </c:pt>
                <c:pt idx="4">
                  <c:v>Friday</c:v>
                </c:pt>
                <c:pt idx="5">
                  <c:v>Saturday</c:v>
                </c:pt>
                <c:pt idx="6">
                  <c:v>Sunday</c:v>
                </c:pt>
              </c:strCache>
            </c:strRef>
          </c:cat>
          <c:val>
            <c:numRef>
              <c:f>'Pivot Table'!$B$27:$B$33</c:f>
              <c:numCache>
                <c:formatCode>0.00%</c:formatCode>
                <c:ptCount val="7"/>
                <c:pt idx="0">
                  <c:v>0.11799999999999999</c:v>
                </c:pt>
                <c:pt idx="1">
                  <c:v>0.11866666666666667</c:v>
                </c:pt>
                <c:pt idx="2">
                  <c:v>0.12933333333333333</c:v>
                </c:pt>
                <c:pt idx="3">
                  <c:v>0.12266666666666666</c:v>
                </c:pt>
                <c:pt idx="4">
                  <c:v>0.24133333333333334</c:v>
                </c:pt>
                <c:pt idx="5">
                  <c:v>0.13</c:v>
                </c:pt>
                <c:pt idx="6">
                  <c:v>0.14000000000000001</c:v>
                </c:pt>
              </c:numCache>
            </c:numRef>
          </c:val>
          <c:extLst>
            <c:ext xmlns:c16="http://schemas.microsoft.com/office/drawing/2014/chart" uri="{C3380CC4-5D6E-409C-BE32-E72D297353CC}">
              <c16:uniqueId val="{00000000-82CE-4616-B39D-550838541817}"/>
            </c:ext>
          </c:extLst>
        </c:ser>
        <c:dLbls>
          <c:showLegendKey val="0"/>
          <c:showVal val="0"/>
          <c:showCatName val="0"/>
          <c:showSerName val="0"/>
          <c:showPercent val="0"/>
          <c:showBubbleSize val="0"/>
        </c:dLbls>
        <c:axId val="216617584"/>
        <c:axId val="216614704"/>
      </c:areaChart>
      <c:catAx>
        <c:axId val="216617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14704"/>
        <c:crosses val="autoZero"/>
        <c:auto val="1"/>
        <c:lblAlgn val="ctr"/>
        <c:lblOffset val="100"/>
        <c:noMultiLvlLbl val="0"/>
      </c:catAx>
      <c:valAx>
        <c:axId val="216614704"/>
        <c:scaling>
          <c:orientation val="minMax"/>
        </c:scaling>
        <c:delete val="1"/>
        <c:axPos val="l"/>
        <c:numFmt formatCode="0.00%" sourceLinked="1"/>
        <c:majorTickMark val="none"/>
        <c:minorTickMark val="none"/>
        <c:tickLblPos val="nextTo"/>
        <c:crossAx val="216617584"/>
        <c:crosses val="autoZero"/>
        <c:crossBetween val="midCat"/>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Allocation Rules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EE-45CA-A287-FBF1233243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EE-45CA-A287-FBF1233243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EE-45CA-A287-FBF12332432B}"/>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Table'!$A$40:$A$42</c:f>
              <c:strCache>
                <c:ptCount val="3"/>
                <c:pt idx="0">
                  <c:v>Standard Rules</c:v>
                </c:pt>
                <c:pt idx="1">
                  <c:v>Custom Rules</c:v>
                </c:pt>
                <c:pt idx="2">
                  <c:v>Expedited Rules</c:v>
                </c:pt>
              </c:strCache>
            </c:strRef>
          </c:cat>
          <c:val>
            <c:numRef>
              <c:f>'Pivot Table'!$B$40:$B$42</c:f>
              <c:numCache>
                <c:formatCode>0.00%</c:formatCode>
                <c:ptCount val="3"/>
                <c:pt idx="0">
                  <c:v>0.34200000000000003</c:v>
                </c:pt>
                <c:pt idx="1">
                  <c:v>0.33933333333333332</c:v>
                </c:pt>
                <c:pt idx="2">
                  <c:v>0.31866666666666665</c:v>
                </c:pt>
              </c:numCache>
            </c:numRef>
          </c:val>
          <c:extLst>
            <c:ext xmlns:c16="http://schemas.microsoft.com/office/drawing/2014/chart" uri="{C3380CC4-5D6E-409C-BE32-E72D297353CC}">
              <c16:uniqueId val="{00000000-1DA5-4716-A96E-B31644B7669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Volume By Vehicle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13648293963254"/>
          <c:y val="0.24476633129192185"/>
          <c:w val="0.77616426071741029"/>
          <c:h val="0.53811424613589964"/>
        </c:manualLayout>
      </c:layout>
      <c:barChart>
        <c:barDir val="col"/>
        <c:grouping val="clustered"/>
        <c:varyColors val="0"/>
        <c:ser>
          <c:idx val="0"/>
          <c:order val="0"/>
          <c:tx>
            <c:strRef>
              <c:f>'Pivot Table'!$B$52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Table'!$A$53:$A$55</c:f>
              <c:strCache>
                <c:ptCount val="3"/>
                <c:pt idx="0">
                  <c:v>Zone1</c:v>
                </c:pt>
                <c:pt idx="1">
                  <c:v>Zone2</c:v>
                </c:pt>
                <c:pt idx="2">
                  <c:v>Zone3</c:v>
                </c:pt>
              </c:strCache>
            </c:strRef>
          </c:cat>
          <c:val>
            <c:numRef>
              <c:f>'Pivot Table'!$B$53:$B$55</c:f>
              <c:numCache>
                <c:formatCode>0.00%</c:formatCode>
                <c:ptCount val="3"/>
                <c:pt idx="0">
                  <c:v>0.34599999999999997</c:v>
                </c:pt>
                <c:pt idx="1">
                  <c:v>0.34533333333333333</c:v>
                </c:pt>
                <c:pt idx="2">
                  <c:v>0.30866666666666664</c:v>
                </c:pt>
              </c:numCache>
            </c:numRef>
          </c:val>
          <c:extLst>
            <c:ext xmlns:c16="http://schemas.microsoft.com/office/drawing/2014/chart" uri="{C3380CC4-5D6E-409C-BE32-E72D297353CC}">
              <c16:uniqueId val="{00000002-925C-45E8-9CE5-2A029030B2A0}"/>
            </c:ext>
          </c:extLst>
        </c:ser>
        <c:dLbls>
          <c:dLblPos val="outEnd"/>
          <c:showLegendKey val="0"/>
          <c:showVal val="1"/>
          <c:showCatName val="0"/>
          <c:showSerName val="0"/>
          <c:showPercent val="0"/>
          <c:showBubbleSize val="0"/>
        </c:dLbls>
        <c:gapWidth val="219"/>
        <c:overlap val="-27"/>
        <c:axId val="1880999103"/>
        <c:axId val="1881001983"/>
      </c:barChart>
      <c:catAx>
        <c:axId val="188099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01983"/>
        <c:crosses val="autoZero"/>
        <c:auto val="1"/>
        <c:lblAlgn val="ctr"/>
        <c:lblOffset val="100"/>
        <c:noMultiLvlLbl val="0"/>
      </c:catAx>
      <c:valAx>
        <c:axId val="1881001983"/>
        <c:scaling>
          <c:orientation val="minMax"/>
        </c:scaling>
        <c:delete val="1"/>
        <c:axPos val="l"/>
        <c:numFmt formatCode="0.00%" sourceLinked="1"/>
        <c:majorTickMark val="none"/>
        <c:minorTickMark val="none"/>
        <c:tickLblPos val="nextTo"/>
        <c:crossAx val="18809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a:latin typeface="ADLaM Display" panose="02010000000000000000" pitchFamily="2" charset="0"/>
                <a:ea typeface="ADLaM Display" panose="02010000000000000000" pitchFamily="2" charset="0"/>
                <a:cs typeface="ADLaM Display" panose="02010000000000000000" pitchFamily="2" charset="0"/>
              </a:rPr>
              <a:t>Order</a:t>
            </a:r>
            <a:r>
              <a:rPr lang="en-US" baseline="0">
                <a:latin typeface="ADLaM Display" panose="02010000000000000000" pitchFamily="2" charset="0"/>
                <a:ea typeface="ADLaM Display" panose="02010000000000000000" pitchFamily="2" charset="0"/>
                <a:cs typeface="ADLaM Display" panose="02010000000000000000" pitchFamily="2" charset="0"/>
              </a:rPr>
              <a:t> distribution By Route</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2151326746064001"/>
          <c:y val="5.7781639997634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50000"/>
            </a:schemeClr>
          </a:solidFill>
          <a:ln>
            <a:noFill/>
          </a:ln>
          <a:effectLst/>
        </c:spPr>
      </c:pivotFmt>
    </c:pivotFmts>
    <c:plotArea>
      <c:layout>
        <c:manualLayout>
          <c:layoutTarget val="inner"/>
          <c:xMode val="edge"/>
          <c:yMode val="edge"/>
          <c:x val="2.5780202581674891E-2"/>
          <c:y val="0.23282792151908888"/>
          <c:w val="0.93718773717586712"/>
          <c:h val="0.60590798311744842"/>
        </c:manualLayout>
      </c:layout>
      <c:barChart>
        <c:barDir val="col"/>
        <c:grouping val="clustered"/>
        <c:varyColors val="0"/>
        <c:ser>
          <c:idx val="0"/>
          <c:order val="0"/>
          <c:tx>
            <c:strRef>
              <c:f>'Pivot Table'!$B$3</c:f>
              <c:strCache>
                <c:ptCount val="1"/>
                <c:pt idx="0">
                  <c:v>Total</c:v>
                </c:pt>
              </c:strCache>
            </c:strRef>
          </c:tx>
          <c:spPr>
            <a:solidFill>
              <a:schemeClr val="accent1">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5"/>
                <c:pt idx="0">
                  <c:v>Route5</c:v>
                </c:pt>
                <c:pt idx="1">
                  <c:v>Route2</c:v>
                </c:pt>
                <c:pt idx="2">
                  <c:v>Route3</c:v>
                </c:pt>
                <c:pt idx="3">
                  <c:v>Route1</c:v>
                </c:pt>
                <c:pt idx="4">
                  <c:v>Route4</c:v>
                </c:pt>
              </c:strCache>
            </c:strRef>
          </c:cat>
          <c:val>
            <c:numRef>
              <c:f>'Pivot Table'!$B$4:$B$8</c:f>
              <c:numCache>
                <c:formatCode>0.00%</c:formatCode>
                <c:ptCount val="5"/>
                <c:pt idx="0">
                  <c:v>0.21266666666666667</c:v>
                </c:pt>
                <c:pt idx="1">
                  <c:v>0.21133333333333335</c:v>
                </c:pt>
                <c:pt idx="2">
                  <c:v>0.19266666666666668</c:v>
                </c:pt>
                <c:pt idx="3">
                  <c:v>0.192</c:v>
                </c:pt>
                <c:pt idx="4">
                  <c:v>0.19133333333333333</c:v>
                </c:pt>
              </c:numCache>
            </c:numRef>
          </c:val>
          <c:extLst>
            <c:ext xmlns:c16="http://schemas.microsoft.com/office/drawing/2014/chart" uri="{C3380CC4-5D6E-409C-BE32-E72D297353CC}">
              <c16:uniqueId val="{00000000-64DA-443C-A52C-FE0BE6940546}"/>
            </c:ext>
          </c:extLst>
        </c:ser>
        <c:dLbls>
          <c:dLblPos val="outEnd"/>
          <c:showLegendKey val="0"/>
          <c:showVal val="1"/>
          <c:showCatName val="0"/>
          <c:showSerName val="0"/>
          <c:showPercent val="0"/>
          <c:showBubbleSize val="0"/>
        </c:dLbls>
        <c:gapWidth val="219"/>
        <c:overlap val="-27"/>
        <c:axId val="1380540736"/>
        <c:axId val="1380551776"/>
      </c:barChart>
      <c:catAx>
        <c:axId val="13805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51776"/>
        <c:crosses val="autoZero"/>
        <c:auto val="1"/>
        <c:lblAlgn val="ctr"/>
        <c:lblOffset val="100"/>
        <c:noMultiLvlLbl val="0"/>
      </c:catAx>
      <c:valAx>
        <c:axId val="1380551776"/>
        <c:scaling>
          <c:orientation val="minMax"/>
        </c:scaling>
        <c:delete val="1"/>
        <c:axPos val="l"/>
        <c:numFmt formatCode="0.00%" sourceLinked="1"/>
        <c:majorTickMark val="none"/>
        <c:minorTickMark val="none"/>
        <c:tickLblPos val="nextTo"/>
        <c:crossAx val="138054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a:latin typeface="ADLaM Display" panose="02010000000000000000" pitchFamily="2" charset="0"/>
                <a:ea typeface="ADLaM Display" panose="02010000000000000000" pitchFamily="2" charset="0"/>
                <a:cs typeface="ADLaM Display" panose="02010000000000000000" pitchFamily="2" charset="0"/>
              </a:rPr>
              <a:t>Distribution By Day Of The</a:t>
            </a:r>
            <a:r>
              <a:rPr lang="en-US" baseline="0">
                <a:latin typeface="ADLaM Display" panose="02010000000000000000" pitchFamily="2" charset="0"/>
                <a:ea typeface="ADLaM Display" panose="02010000000000000000" pitchFamily="2" charset="0"/>
                <a:cs typeface="ADLaM Display" panose="02010000000000000000" pitchFamily="2" charset="0"/>
              </a:rPr>
              <a:t> Week</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5555555555555558E-3"/>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676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370135052831988E-16"/>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3333333333333381E-2"/>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00000000000005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0555555555555582E-2"/>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8.3333333333333367E-3"/>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367E-3"/>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0555555555555582E-2"/>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500000000000005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3.3333333333333381E-2"/>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5555555555555558E-3"/>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2.7777777777777676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0370135052831988E-16"/>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40000"/>
            </a:schemeClr>
          </a:solidFill>
          <a:ln>
            <a:noFill/>
          </a:ln>
          <a:effectLst/>
        </c:spPr>
        <c:dLbl>
          <c:idx val="0"/>
          <c:layout>
            <c:manualLayout>
              <c:x val="-8.3333333333333367E-3"/>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40000"/>
            </a:schemeClr>
          </a:solidFill>
          <a:ln>
            <a:noFill/>
          </a:ln>
          <a:effectLst/>
        </c:spPr>
        <c:dLbl>
          <c:idx val="0"/>
          <c:layout>
            <c:manualLayout>
              <c:x val="-3.0555555555555582E-2"/>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40000"/>
            </a:schemeClr>
          </a:solidFill>
          <a:ln>
            <a:noFill/>
          </a:ln>
          <a:effectLst/>
        </c:spPr>
        <c:dLbl>
          <c:idx val="0"/>
          <c:layout>
            <c:manualLayout>
              <c:x val="-2.500000000000005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40000"/>
            </a:schemeClr>
          </a:solidFill>
          <a:ln>
            <a:noFill/>
          </a:ln>
          <a:effectLst/>
        </c:spPr>
        <c:dLbl>
          <c:idx val="0"/>
          <c:layout>
            <c:manualLayout>
              <c:x val="-3.3333333333333381E-2"/>
              <c:y val="-0.3981481481481481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40000"/>
            </a:schemeClr>
          </a:solidFill>
          <a:ln>
            <a:noFill/>
          </a:ln>
          <a:effectLst/>
        </c:spPr>
        <c:dLbl>
          <c:idx val="0"/>
          <c:layout>
            <c:manualLayout>
              <c:x val="-5.5555555555555558E-3"/>
              <c:y val="-0.3935185185185185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40000"/>
            </a:schemeClr>
          </a:solidFill>
          <a:ln>
            <a:noFill/>
          </a:ln>
          <a:effectLst/>
        </c:spPr>
        <c:dLbl>
          <c:idx val="0"/>
          <c:layout>
            <c:manualLayout>
              <c:x val="2.7777777777777676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40000"/>
            </a:schemeClr>
          </a:solidFill>
          <a:ln>
            <a:noFill/>
          </a:ln>
          <a:effectLst/>
        </c:spPr>
        <c:dLbl>
          <c:idx val="0"/>
          <c:layout>
            <c:manualLayout>
              <c:x val="-2.0370135052831988E-16"/>
              <c:y val="-0.3333333333333333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40000"/>
            </a:schemeClr>
          </a:solidFill>
          <a:ln>
            <a:noFill/>
          </a:ln>
          <a:effectLst/>
        </c:spPr>
        <c:dLbl>
          <c:idx val="0"/>
          <c:layout>
            <c:manualLayout>
              <c:x val="1.4294609131461704E-2"/>
              <c:y val="-0.396747967479674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40000"/>
            </a:schemeClr>
          </a:solidFill>
          <a:ln>
            <a:noFill/>
          </a:ln>
          <a:effectLst/>
        </c:spPr>
        <c:dLbl>
          <c:idx val="0"/>
          <c:layout>
            <c:manualLayout>
              <c:x val="-1.6893628973545766E-2"/>
              <c:y val="-0.344715447154471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40000"/>
            </a:schemeClr>
          </a:solidFill>
          <a:ln>
            <a:noFill/>
          </a:ln>
          <a:effectLst/>
        </c:spPr>
        <c:dLbl>
          <c:idx val="0"/>
          <c:layout>
            <c:manualLayout>
              <c:x val="-2.5990198420840112E-3"/>
              <c:y val="-0.286178861788617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40000"/>
            </a:schemeClr>
          </a:solidFill>
          <a:ln>
            <a:noFill/>
          </a:ln>
          <a:effectLst/>
        </c:spPr>
        <c:dLbl>
          <c:idx val="0"/>
          <c:layout>
            <c:manualLayout>
              <c:x val="0"/>
              <c:y val="-0.260162601626016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40000"/>
            </a:schemeClr>
          </a:solidFill>
          <a:ln>
            <a:noFill/>
          </a:ln>
          <a:effectLst/>
        </c:spPr>
        <c:dLbl>
          <c:idx val="0"/>
          <c:layout>
            <c:manualLayout>
              <c:x val="-2.3824073334708183E-17"/>
              <c:y val="-0.24065040650406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40000"/>
            </a:schemeClr>
          </a:solidFill>
          <a:ln>
            <a:noFill/>
          </a:ln>
          <a:effectLst/>
        </c:spPr>
        <c:dLbl>
          <c:idx val="0"/>
          <c:layout>
            <c:manualLayout>
              <c:x val="-6.4975496052100045E-3"/>
              <c:y val="-0.338211382113821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alpha val="40000"/>
            </a:schemeClr>
          </a:solidFill>
          <a:ln>
            <a:noFill/>
          </a:ln>
          <a:effectLst/>
        </c:spPr>
        <c:dLbl>
          <c:idx val="0"/>
          <c:layout>
            <c:manualLayout>
              <c:x val="-3.3787257947091719E-2"/>
              <c:y val="-0.357723577235772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17440037082082E-2"/>
          <c:y val="0.16914205236540558"/>
          <c:w val="0.88349271218376235"/>
          <c:h val="0.71100027855121617"/>
        </c:manualLayout>
      </c:layout>
      <c:areaChart>
        <c:grouping val="standard"/>
        <c:varyColors val="0"/>
        <c:ser>
          <c:idx val="0"/>
          <c:order val="0"/>
          <c:tx>
            <c:strRef>
              <c:f>'Pivot Table'!$B$26</c:f>
              <c:strCache>
                <c:ptCount val="1"/>
                <c:pt idx="0">
                  <c:v>Total</c:v>
                </c:pt>
              </c:strCache>
            </c:strRef>
          </c:tx>
          <c:spPr>
            <a:solidFill>
              <a:schemeClr val="accent1">
                <a:alpha val="40000"/>
              </a:schemeClr>
            </a:solidFill>
            <a:ln>
              <a:noFill/>
            </a:ln>
            <a:effectLst/>
          </c:spPr>
          <c:dPt>
            <c:idx val="0"/>
            <c:bubble3D val="0"/>
            <c:extLst>
              <c:ext xmlns:c16="http://schemas.microsoft.com/office/drawing/2014/chart" uri="{C3380CC4-5D6E-409C-BE32-E72D297353CC}">
                <c16:uniqueId val="{00000000-BB3F-47D7-97B1-8E442F11AC13}"/>
              </c:ext>
            </c:extLst>
          </c:dPt>
          <c:dPt>
            <c:idx val="1"/>
            <c:bubble3D val="0"/>
            <c:extLst>
              <c:ext xmlns:c16="http://schemas.microsoft.com/office/drawing/2014/chart" uri="{C3380CC4-5D6E-409C-BE32-E72D297353CC}">
                <c16:uniqueId val="{00000001-BB3F-47D7-97B1-8E442F11AC13}"/>
              </c:ext>
            </c:extLst>
          </c:dPt>
          <c:dPt>
            <c:idx val="2"/>
            <c:bubble3D val="0"/>
            <c:extLst>
              <c:ext xmlns:c16="http://schemas.microsoft.com/office/drawing/2014/chart" uri="{C3380CC4-5D6E-409C-BE32-E72D297353CC}">
                <c16:uniqueId val="{00000002-BB3F-47D7-97B1-8E442F11AC13}"/>
              </c:ext>
            </c:extLst>
          </c:dPt>
          <c:dPt>
            <c:idx val="3"/>
            <c:bubble3D val="0"/>
            <c:extLst>
              <c:ext xmlns:c16="http://schemas.microsoft.com/office/drawing/2014/chart" uri="{C3380CC4-5D6E-409C-BE32-E72D297353CC}">
                <c16:uniqueId val="{00000003-BB3F-47D7-97B1-8E442F11AC13}"/>
              </c:ext>
            </c:extLst>
          </c:dPt>
          <c:dPt>
            <c:idx val="4"/>
            <c:bubble3D val="0"/>
            <c:extLst>
              <c:ext xmlns:c16="http://schemas.microsoft.com/office/drawing/2014/chart" uri="{C3380CC4-5D6E-409C-BE32-E72D297353CC}">
                <c16:uniqueId val="{00000004-BB3F-47D7-97B1-8E442F11AC13}"/>
              </c:ext>
            </c:extLst>
          </c:dPt>
          <c:dPt>
            <c:idx val="5"/>
            <c:bubble3D val="0"/>
            <c:extLst>
              <c:ext xmlns:c16="http://schemas.microsoft.com/office/drawing/2014/chart" uri="{C3380CC4-5D6E-409C-BE32-E72D297353CC}">
                <c16:uniqueId val="{00000005-BB3F-47D7-97B1-8E442F11AC13}"/>
              </c:ext>
            </c:extLst>
          </c:dPt>
          <c:dPt>
            <c:idx val="6"/>
            <c:bubble3D val="0"/>
            <c:extLst>
              <c:ext xmlns:c16="http://schemas.microsoft.com/office/drawing/2014/chart" uri="{C3380CC4-5D6E-409C-BE32-E72D297353CC}">
                <c16:uniqueId val="{00000006-BB3F-47D7-97B1-8E442F11AC13}"/>
              </c:ext>
            </c:extLst>
          </c:dPt>
          <c:dLbls>
            <c:dLbl>
              <c:idx val="0"/>
              <c:layout>
                <c:manualLayout>
                  <c:x val="-2.3824073334708183E-17"/>
                  <c:y val="-0.240650406504065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3F-47D7-97B1-8E442F11AC13}"/>
                </c:ext>
              </c:extLst>
            </c:dLbl>
            <c:dLbl>
              <c:idx val="1"/>
              <c:layout>
                <c:manualLayout>
                  <c:x val="0"/>
                  <c:y val="-0.260162601626016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3F-47D7-97B1-8E442F11AC13}"/>
                </c:ext>
              </c:extLst>
            </c:dLbl>
            <c:dLbl>
              <c:idx val="2"/>
              <c:layout>
                <c:manualLayout>
                  <c:x val="-2.5990198420840112E-3"/>
                  <c:y val="-0.286178861788617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3F-47D7-97B1-8E442F11AC13}"/>
                </c:ext>
              </c:extLst>
            </c:dLbl>
            <c:dLbl>
              <c:idx val="3"/>
              <c:layout>
                <c:manualLayout>
                  <c:x val="-1.6893628973545766E-2"/>
                  <c:y val="-0.344715447154471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3F-47D7-97B1-8E442F11AC13}"/>
                </c:ext>
              </c:extLst>
            </c:dLbl>
            <c:dLbl>
              <c:idx val="4"/>
              <c:layout>
                <c:manualLayout>
                  <c:x val="1.4294609131461704E-2"/>
                  <c:y val="-0.396747967479674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3F-47D7-97B1-8E442F11AC13}"/>
                </c:ext>
              </c:extLst>
            </c:dLbl>
            <c:dLbl>
              <c:idx val="5"/>
              <c:layout>
                <c:manualLayout>
                  <c:x val="-6.4975496052100045E-3"/>
                  <c:y val="-0.338211382113821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3F-47D7-97B1-8E442F11AC13}"/>
                </c:ext>
              </c:extLst>
            </c:dLbl>
            <c:dLbl>
              <c:idx val="6"/>
              <c:layout>
                <c:manualLayout>
                  <c:x val="-3.3787257947091719E-2"/>
                  <c:y val="-0.35772357723577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3F-47D7-97B1-8E442F11AC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Table'!$A$27:$A$33</c:f>
              <c:strCache>
                <c:ptCount val="7"/>
                <c:pt idx="0">
                  <c:v>Monday</c:v>
                </c:pt>
                <c:pt idx="1">
                  <c:v>Tuesday</c:v>
                </c:pt>
                <c:pt idx="2">
                  <c:v>Wednesday</c:v>
                </c:pt>
                <c:pt idx="3">
                  <c:v>Thursday</c:v>
                </c:pt>
                <c:pt idx="4">
                  <c:v>Friday</c:v>
                </c:pt>
                <c:pt idx="5">
                  <c:v>Saturday</c:v>
                </c:pt>
                <c:pt idx="6">
                  <c:v>Sunday</c:v>
                </c:pt>
              </c:strCache>
            </c:strRef>
          </c:cat>
          <c:val>
            <c:numRef>
              <c:f>'Pivot Table'!$B$27:$B$33</c:f>
              <c:numCache>
                <c:formatCode>0.00%</c:formatCode>
                <c:ptCount val="7"/>
                <c:pt idx="0">
                  <c:v>0.11799999999999999</c:v>
                </c:pt>
                <c:pt idx="1">
                  <c:v>0.11866666666666667</c:v>
                </c:pt>
                <c:pt idx="2">
                  <c:v>0.12933333333333333</c:v>
                </c:pt>
                <c:pt idx="3">
                  <c:v>0.12266666666666666</c:v>
                </c:pt>
                <c:pt idx="4">
                  <c:v>0.24133333333333334</c:v>
                </c:pt>
                <c:pt idx="5">
                  <c:v>0.13</c:v>
                </c:pt>
                <c:pt idx="6">
                  <c:v>0.14000000000000001</c:v>
                </c:pt>
              </c:numCache>
            </c:numRef>
          </c:val>
          <c:extLst>
            <c:ext xmlns:c16="http://schemas.microsoft.com/office/drawing/2014/chart" uri="{C3380CC4-5D6E-409C-BE32-E72D297353CC}">
              <c16:uniqueId val="{00000007-BB3F-47D7-97B1-8E442F11AC13}"/>
            </c:ext>
          </c:extLst>
        </c:ser>
        <c:dLbls>
          <c:showLegendKey val="0"/>
          <c:showVal val="0"/>
          <c:showCatName val="0"/>
          <c:showSerName val="0"/>
          <c:showPercent val="0"/>
          <c:showBubbleSize val="0"/>
        </c:dLbls>
        <c:axId val="216617584"/>
        <c:axId val="216614704"/>
      </c:areaChart>
      <c:catAx>
        <c:axId val="216617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14704"/>
        <c:crosses val="autoZero"/>
        <c:auto val="1"/>
        <c:lblAlgn val="ctr"/>
        <c:lblOffset val="100"/>
        <c:noMultiLvlLbl val="0"/>
      </c:catAx>
      <c:valAx>
        <c:axId val="216614704"/>
        <c:scaling>
          <c:orientation val="minMax"/>
        </c:scaling>
        <c:delete val="1"/>
        <c:axPos val="l"/>
        <c:numFmt formatCode="0.00%" sourceLinked="1"/>
        <c:majorTickMark val="none"/>
        <c:minorTickMark val="none"/>
        <c:tickLblPos val="nextTo"/>
        <c:crossAx val="21661758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a:latin typeface="ADLaM Display" panose="02010000000000000000" pitchFamily="2" charset="0"/>
                <a:ea typeface="ADLaM Display" panose="02010000000000000000" pitchFamily="2" charset="0"/>
                <a:cs typeface="ADLaM Display" panose="02010000000000000000" pitchFamily="2" charset="0"/>
              </a:rPr>
              <a:t>Distribution By Vehicle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alpha val="30000"/>
            </a:schemeClr>
          </a:solidFill>
          <a:ln w="19050">
            <a:solidFill>
              <a:schemeClr val="lt1"/>
            </a:solidFill>
          </a:ln>
          <a:effectLst/>
        </c:spPr>
      </c:pivotFmt>
      <c:pivotFmt>
        <c:idx val="8"/>
        <c:spPr>
          <a:solidFill>
            <a:schemeClr val="accent1">
              <a:alpha val="65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58-4A37-A304-4DD15F47ED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58-4A37-A304-4DD15F47ED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58-4A37-A304-4DD15F47ED37}"/>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Table'!$A$13:$A$15</c:f>
              <c:strCache>
                <c:ptCount val="3"/>
                <c:pt idx="0">
                  <c:v>Van</c:v>
                </c:pt>
                <c:pt idx="1">
                  <c:v>Bike</c:v>
                </c:pt>
                <c:pt idx="2">
                  <c:v>Truck</c:v>
                </c:pt>
              </c:strCache>
            </c:strRef>
          </c:cat>
          <c:val>
            <c:numRef>
              <c:f>'Pivot Table'!$B$13:$B$15</c:f>
              <c:numCache>
                <c:formatCode>0.00%</c:formatCode>
                <c:ptCount val="3"/>
                <c:pt idx="0">
                  <c:v>0.35333333333333333</c:v>
                </c:pt>
                <c:pt idx="1">
                  <c:v>0.33466666666666667</c:v>
                </c:pt>
                <c:pt idx="2">
                  <c:v>0.312</c:v>
                </c:pt>
              </c:numCache>
            </c:numRef>
          </c:val>
          <c:extLst>
            <c:ext xmlns:c16="http://schemas.microsoft.com/office/drawing/2014/chart" uri="{C3380CC4-5D6E-409C-BE32-E72D297353CC}">
              <c16:uniqueId val="{00000006-B2B4-481B-BA51-4CC98663E71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a:latin typeface="ADLaM Display" panose="02010000000000000000" pitchFamily="2" charset="0"/>
                <a:ea typeface="ADLaM Display" panose="02010000000000000000" pitchFamily="2" charset="0"/>
                <a:cs typeface="ADLaM Display" panose="02010000000000000000" pitchFamily="2" charset="0"/>
              </a:rPr>
              <a:t>Customer sentiment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c:spPr>
      </c:pivotFmt>
      <c:pivotFmt>
        <c:idx val="7"/>
        <c:spPr>
          <a:solidFill>
            <a:schemeClr val="bg1">
              <a:lumMod val="50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Table'!$B$18</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76AD-4731-93F1-8989059059CC}"/>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76AD-4731-93F1-8989059059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AD-4731-93F1-8989059059CC}"/>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Table'!$A$19:$A$21</c:f>
              <c:strCache>
                <c:ptCount val="3"/>
                <c:pt idx="0">
                  <c:v>Negative</c:v>
                </c:pt>
                <c:pt idx="1">
                  <c:v>Neutral</c:v>
                </c:pt>
                <c:pt idx="2">
                  <c:v>Positive</c:v>
                </c:pt>
              </c:strCache>
            </c:strRef>
          </c:cat>
          <c:val>
            <c:numRef>
              <c:f>'Pivot Table'!$B$19:$B$21</c:f>
              <c:numCache>
                <c:formatCode>0.00%</c:formatCode>
                <c:ptCount val="3"/>
                <c:pt idx="0">
                  <c:v>0.35266666666666668</c:v>
                </c:pt>
                <c:pt idx="1">
                  <c:v>0.32666666666666666</c:v>
                </c:pt>
                <c:pt idx="2">
                  <c:v>0.32066666666666666</c:v>
                </c:pt>
              </c:numCache>
            </c:numRef>
          </c:val>
          <c:extLst>
            <c:ext xmlns:c16="http://schemas.microsoft.com/office/drawing/2014/chart" uri="{C3380CC4-5D6E-409C-BE32-E72D297353CC}">
              <c16:uniqueId val="{00000006-76AD-4731-93F1-8989059059C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a:latin typeface="ADLaM Display" panose="02010000000000000000" pitchFamily="2" charset="0"/>
                <a:ea typeface="ADLaM Display" panose="02010000000000000000" pitchFamily="2" charset="0"/>
                <a:cs typeface="ADLaM Display" panose="02010000000000000000" pitchFamily="2" charset="0"/>
              </a:rPr>
              <a:t>Allocation </a:t>
            </a:r>
            <a:r>
              <a:rPr lang="en-US" baseline="0">
                <a:latin typeface="ADLaM Display" panose="02010000000000000000" pitchFamily="2" charset="0"/>
                <a:ea typeface="ADLaM Display" panose="02010000000000000000" pitchFamily="2" charset="0"/>
                <a:cs typeface="ADLaM Display" panose="02010000000000000000" pitchFamily="2" charset="0"/>
              </a:rPr>
              <a:t> Rules</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alpha val="30000"/>
            </a:schemeClr>
          </a:solidFill>
          <a:ln w="19050">
            <a:solidFill>
              <a:schemeClr val="lt1"/>
            </a:solidFill>
          </a:ln>
          <a:effectLst/>
        </c:spPr>
      </c:pivotFmt>
      <c:pivotFmt>
        <c:idx val="8"/>
        <c:spPr>
          <a:solidFill>
            <a:schemeClr val="accent1">
              <a:alpha val="65000"/>
            </a:schemeClr>
          </a:solidFill>
          <a:ln w="19050">
            <a:solidFill>
              <a:schemeClr val="lt1"/>
            </a:solidFill>
          </a:ln>
          <a:effectLst/>
        </c:spPr>
      </c:pivotFmt>
    </c:pivotFmts>
    <c:plotArea>
      <c:layout/>
      <c:pieChart>
        <c:varyColors val="1"/>
        <c:ser>
          <c:idx val="0"/>
          <c:order val="0"/>
          <c:tx>
            <c:strRef>
              <c:f>'Pivot Table'!$B$39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E0-403A-B2D0-35F4F3C5EC9D}"/>
              </c:ext>
            </c:extLst>
          </c:dPt>
          <c:dPt>
            <c:idx val="1"/>
            <c:bubble3D val="0"/>
            <c:spPr>
              <a:solidFill>
                <a:schemeClr val="accent1">
                  <a:alpha val="30000"/>
                </a:schemeClr>
              </a:solidFill>
              <a:ln w="19050">
                <a:solidFill>
                  <a:schemeClr val="lt1"/>
                </a:solidFill>
              </a:ln>
              <a:effectLst/>
            </c:spPr>
            <c:extLst>
              <c:ext xmlns:c16="http://schemas.microsoft.com/office/drawing/2014/chart" uri="{C3380CC4-5D6E-409C-BE32-E72D297353CC}">
                <c16:uniqueId val="{00000003-A2E0-403A-B2D0-35F4F3C5EC9D}"/>
              </c:ext>
            </c:extLst>
          </c:dPt>
          <c:dPt>
            <c:idx val="2"/>
            <c:bubble3D val="0"/>
            <c:spPr>
              <a:solidFill>
                <a:schemeClr val="accent1">
                  <a:alpha val="65000"/>
                </a:schemeClr>
              </a:solidFill>
              <a:ln w="19050">
                <a:solidFill>
                  <a:schemeClr val="lt1"/>
                </a:solidFill>
              </a:ln>
              <a:effectLst/>
            </c:spPr>
            <c:extLst>
              <c:ext xmlns:c16="http://schemas.microsoft.com/office/drawing/2014/chart" uri="{C3380CC4-5D6E-409C-BE32-E72D297353CC}">
                <c16:uniqueId val="{00000005-A2E0-403A-B2D0-35F4F3C5EC9D}"/>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Table'!$A$40:$A$42</c:f>
              <c:strCache>
                <c:ptCount val="3"/>
                <c:pt idx="0">
                  <c:v>Standard Rules</c:v>
                </c:pt>
                <c:pt idx="1">
                  <c:v>Custom Rules</c:v>
                </c:pt>
                <c:pt idx="2">
                  <c:v>Expedited Rules</c:v>
                </c:pt>
              </c:strCache>
            </c:strRef>
          </c:cat>
          <c:val>
            <c:numRef>
              <c:f>'Pivot Table'!$B$40:$B$42</c:f>
              <c:numCache>
                <c:formatCode>0.00%</c:formatCode>
                <c:ptCount val="3"/>
                <c:pt idx="0">
                  <c:v>0.34200000000000003</c:v>
                </c:pt>
                <c:pt idx="1">
                  <c:v>0.33933333333333332</c:v>
                </c:pt>
                <c:pt idx="2">
                  <c:v>0.31866666666666665</c:v>
                </c:pt>
              </c:numCache>
            </c:numRef>
          </c:val>
          <c:extLst>
            <c:ext xmlns:c16="http://schemas.microsoft.com/office/drawing/2014/chart" uri="{C3380CC4-5D6E-409C-BE32-E72D297353CC}">
              <c16:uniqueId val="{00000006-A2E0-403A-B2D0-35F4F3C5EC9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Volume By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720335765225"/>
          <c:y val="0.32095688038995129"/>
          <c:w val="0.77616426071741029"/>
          <c:h val="0.53811424613589964"/>
        </c:manualLayout>
      </c:layout>
      <c:barChart>
        <c:barDir val="col"/>
        <c:grouping val="clustered"/>
        <c:varyColors val="0"/>
        <c:ser>
          <c:idx val="0"/>
          <c:order val="0"/>
          <c:tx>
            <c:strRef>
              <c:f>'Pivot Table'!$B$52</c:f>
              <c:strCache>
                <c:ptCount val="1"/>
                <c:pt idx="0">
                  <c:v>Total</c:v>
                </c:pt>
              </c:strCache>
            </c:strRef>
          </c:tx>
          <c:spPr>
            <a:solidFill>
              <a:schemeClr val="accent1">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Table'!$A$53:$A$55</c:f>
              <c:strCache>
                <c:ptCount val="3"/>
                <c:pt idx="0">
                  <c:v>Zone1</c:v>
                </c:pt>
                <c:pt idx="1">
                  <c:v>Zone2</c:v>
                </c:pt>
                <c:pt idx="2">
                  <c:v>Zone3</c:v>
                </c:pt>
              </c:strCache>
            </c:strRef>
          </c:cat>
          <c:val>
            <c:numRef>
              <c:f>'Pivot Table'!$B$53:$B$55</c:f>
              <c:numCache>
                <c:formatCode>0.00%</c:formatCode>
                <c:ptCount val="3"/>
                <c:pt idx="0">
                  <c:v>0.34599999999999997</c:v>
                </c:pt>
                <c:pt idx="1">
                  <c:v>0.34533333333333333</c:v>
                </c:pt>
                <c:pt idx="2">
                  <c:v>0.30866666666666664</c:v>
                </c:pt>
              </c:numCache>
            </c:numRef>
          </c:val>
          <c:extLst>
            <c:ext xmlns:c16="http://schemas.microsoft.com/office/drawing/2014/chart" uri="{C3380CC4-5D6E-409C-BE32-E72D297353CC}">
              <c16:uniqueId val="{00000001-D459-4E05-A1D6-723B9F361497}"/>
            </c:ext>
          </c:extLst>
        </c:ser>
        <c:dLbls>
          <c:dLblPos val="outEnd"/>
          <c:showLegendKey val="0"/>
          <c:showVal val="1"/>
          <c:showCatName val="0"/>
          <c:showSerName val="0"/>
          <c:showPercent val="0"/>
          <c:showBubbleSize val="0"/>
        </c:dLbls>
        <c:gapWidth val="380"/>
        <c:overlap val="-27"/>
        <c:axId val="1880999103"/>
        <c:axId val="1881001983"/>
      </c:barChart>
      <c:catAx>
        <c:axId val="188099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01983"/>
        <c:crosses val="autoZero"/>
        <c:auto val="1"/>
        <c:lblAlgn val="ctr"/>
        <c:lblOffset val="100"/>
        <c:noMultiLvlLbl val="0"/>
      </c:catAx>
      <c:valAx>
        <c:axId val="1881001983"/>
        <c:scaling>
          <c:orientation val="minMax"/>
        </c:scaling>
        <c:delete val="1"/>
        <c:axPos val="l"/>
        <c:numFmt formatCode="0.00%" sourceLinked="1"/>
        <c:majorTickMark val="none"/>
        <c:minorTickMark val="none"/>
        <c:tickLblPos val="nextTo"/>
        <c:crossAx val="18809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Volume By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720335765225"/>
          <c:y val="0.32095688038995129"/>
          <c:w val="0.77616426071741029"/>
          <c:h val="0.53811424613589964"/>
        </c:manualLayout>
      </c:layout>
      <c:barChart>
        <c:barDir val="col"/>
        <c:grouping val="clustered"/>
        <c:varyColors val="0"/>
        <c:ser>
          <c:idx val="0"/>
          <c:order val="0"/>
          <c:tx>
            <c:strRef>
              <c:f>'Pivot Table'!$B$52</c:f>
              <c:strCache>
                <c:ptCount val="1"/>
                <c:pt idx="0">
                  <c:v>Total</c:v>
                </c:pt>
              </c:strCache>
            </c:strRef>
          </c:tx>
          <c:spPr>
            <a:solidFill>
              <a:schemeClr val="accent1">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Table'!$A$53:$A$55</c:f>
              <c:strCache>
                <c:ptCount val="3"/>
                <c:pt idx="0">
                  <c:v>Zone1</c:v>
                </c:pt>
                <c:pt idx="1">
                  <c:v>Zone2</c:v>
                </c:pt>
                <c:pt idx="2">
                  <c:v>Zone3</c:v>
                </c:pt>
              </c:strCache>
            </c:strRef>
          </c:cat>
          <c:val>
            <c:numRef>
              <c:f>'Pivot Table'!$B$53:$B$55</c:f>
              <c:numCache>
                <c:formatCode>0.00%</c:formatCode>
                <c:ptCount val="3"/>
                <c:pt idx="0">
                  <c:v>0.34599999999999997</c:v>
                </c:pt>
                <c:pt idx="1">
                  <c:v>0.34533333333333333</c:v>
                </c:pt>
                <c:pt idx="2">
                  <c:v>0.30866666666666664</c:v>
                </c:pt>
              </c:numCache>
            </c:numRef>
          </c:val>
          <c:extLst>
            <c:ext xmlns:c16="http://schemas.microsoft.com/office/drawing/2014/chart" uri="{C3380CC4-5D6E-409C-BE32-E72D297353CC}">
              <c16:uniqueId val="{00000000-BB20-4999-BFED-05E9A2BDBA4B}"/>
            </c:ext>
          </c:extLst>
        </c:ser>
        <c:dLbls>
          <c:dLblPos val="outEnd"/>
          <c:showLegendKey val="0"/>
          <c:showVal val="1"/>
          <c:showCatName val="0"/>
          <c:showSerName val="0"/>
          <c:showPercent val="0"/>
          <c:showBubbleSize val="0"/>
        </c:dLbls>
        <c:gapWidth val="380"/>
        <c:overlap val="-27"/>
        <c:axId val="1880999103"/>
        <c:axId val="1881001983"/>
      </c:barChart>
      <c:catAx>
        <c:axId val="188099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001983"/>
        <c:crosses val="autoZero"/>
        <c:auto val="1"/>
        <c:lblAlgn val="ctr"/>
        <c:lblOffset val="100"/>
        <c:noMultiLvlLbl val="0"/>
      </c:catAx>
      <c:valAx>
        <c:axId val="1881001983"/>
        <c:scaling>
          <c:orientation val="minMax"/>
        </c:scaling>
        <c:delete val="1"/>
        <c:axPos val="l"/>
        <c:numFmt formatCode="0.00%" sourceLinked="1"/>
        <c:majorTickMark val="none"/>
        <c:minorTickMark val="none"/>
        <c:tickLblPos val="nextTo"/>
        <c:crossAx val="188099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a:latin typeface="ADLaM Display" panose="02010000000000000000" pitchFamily="2" charset="0"/>
                <a:ea typeface="ADLaM Display" panose="02010000000000000000" pitchFamily="2" charset="0"/>
                <a:cs typeface="ADLaM Display" panose="02010000000000000000" pitchFamily="2" charset="0"/>
              </a:rPr>
              <a:t>Order</a:t>
            </a:r>
            <a:r>
              <a:rPr lang="en-US" baseline="0">
                <a:latin typeface="ADLaM Display" panose="02010000000000000000" pitchFamily="2" charset="0"/>
                <a:ea typeface="ADLaM Display" panose="02010000000000000000" pitchFamily="2" charset="0"/>
                <a:cs typeface="ADLaM Display" panose="02010000000000000000" pitchFamily="2" charset="0"/>
              </a:rPr>
              <a:t> distribution By Route</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2151326746064001"/>
          <c:y val="5.7781639997634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50000"/>
            </a:schemeClr>
          </a:solidFill>
          <a:ln>
            <a:noFill/>
          </a:ln>
          <a:effectLst/>
        </c:spPr>
      </c:pivotFmt>
      <c:pivotFmt>
        <c:idx val="4"/>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06131412066426E-2"/>
          <c:y val="0.23282816104243542"/>
          <c:w val="0.93718773717586712"/>
          <c:h val="0.60590798311744842"/>
        </c:manualLayout>
      </c:layout>
      <c:barChart>
        <c:barDir val="col"/>
        <c:grouping val="clustered"/>
        <c:varyColors val="0"/>
        <c:ser>
          <c:idx val="0"/>
          <c:order val="0"/>
          <c:tx>
            <c:strRef>
              <c:f>'Pivot Table'!$B$3</c:f>
              <c:strCache>
                <c:ptCount val="1"/>
                <c:pt idx="0">
                  <c:v>Total</c:v>
                </c:pt>
              </c:strCache>
            </c:strRef>
          </c:tx>
          <c:spPr>
            <a:solidFill>
              <a:schemeClr val="accent1">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5"/>
                <c:pt idx="0">
                  <c:v>Route5</c:v>
                </c:pt>
                <c:pt idx="1">
                  <c:v>Route2</c:v>
                </c:pt>
                <c:pt idx="2">
                  <c:v>Route3</c:v>
                </c:pt>
                <c:pt idx="3">
                  <c:v>Route1</c:v>
                </c:pt>
                <c:pt idx="4">
                  <c:v>Route4</c:v>
                </c:pt>
              </c:strCache>
            </c:strRef>
          </c:cat>
          <c:val>
            <c:numRef>
              <c:f>'Pivot Table'!$B$4:$B$8</c:f>
              <c:numCache>
                <c:formatCode>0.00%</c:formatCode>
                <c:ptCount val="5"/>
                <c:pt idx="0">
                  <c:v>0.21266666666666667</c:v>
                </c:pt>
                <c:pt idx="1">
                  <c:v>0.21133333333333335</c:v>
                </c:pt>
                <c:pt idx="2">
                  <c:v>0.19266666666666668</c:v>
                </c:pt>
                <c:pt idx="3">
                  <c:v>0.192</c:v>
                </c:pt>
                <c:pt idx="4">
                  <c:v>0.19133333333333333</c:v>
                </c:pt>
              </c:numCache>
            </c:numRef>
          </c:val>
          <c:extLst>
            <c:ext xmlns:c16="http://schemas.microsoft.com/office/drawing/2014/chart" uri="{C3380CC4-5D6E-409C-BE32-E72D297353CC}">
              <c16:uniqueId val="{00000000-1D5F-4B6F-8BCE-BEE1E939C60C}"/>
            </c:ext>
          </c:extLst>
        </c:ser>
        <c:dLbls>
          <c:dLblPos val="outEnd"/>
          <c:showLegendKey val="0"/>
          <c:showVal val="1"/>
          <c:showCatName val="0"/>
          <c:showSerName val="0"/>
          <c:showPercent val="0"/>
          <c:showBubbleSize val="0"/>
        </c:dLbls>
        <c:gapWidth val="219"/>
        <c:overlap val="-27"/>
        <c:axId val="1380540736"/>
        <c:axId val="1380551776"/>
      </c:barChart>
      <c:catAx>
        <c:axId val="13805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551776"/>
        <c:crosses val="autoZero"/>
        <c:auto val="1"/>
        <c:lblAlgn val="ctr"/>
        <c:lblOffset val="100"/>
        <c:noMultiLvlLbl val="0"/>
      </c:catAx>
      <c:valAx>
        <c:axId val="1380551776"/>
        <c:scaling>
          <c:orientation val="minMax"/>
        </c:scaling>
        <c:delete val="1"/>
        <c:axPos val="l"/>
        <c:numFmt formatCode="0.00%" sourceLinked="1"/>
        <c:majorTickMark val="none"/>
        <c:minorTickMark val="none"/>
        <c:tickLblPos val="nextTo"/>
        <c:crossAx val="138054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[Order fulfilment and backlog analysis.xlsx]Pivot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a:latin typeface="ADLaM Display" panose="02010000000000000000" pitchFamily="2" charset="0"/>
                <a:ea typeface="ADLaM Display" panose="02010000000000000000" pitchFamily="2" charset="0"/>
                <a:cs typeface="ADLaM Display" panose="02010000000000000000" pitchFamily="2" charset="0"/>
              </a:rPr>
              <a:t>Distribution By Vehicle</a:t>
            </a:r>
          </a:p>
        </c:rich>
      </c:tx>
      <c:layout>
        <c:manualLayout>
          <c:xMode val="edge"/>
          <c:yMode val="edge"/>
          <c:x val="0.18535833813729297"/>
          <c:y val="4.41379118597179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alpha val="30000"/>
            </a:schemeClr>
          </a:solidFill>
          <a:ln w="19050">
            <a:solidFill>
              <a:schemeClr val="lt1"/>
            </a:solidFill>
          </a:ln>
          <a:effectLst/>
        </c:spPr>
      </c:pivotFmt>
      <c:pivotFmt>
        <c:idx val="8"/>
        <c:spPr>
          <a:solidFill>
            <a:schemeClr val="accent1">
              <a:alpha val="6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 Table'!$B$12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97-41D4-8BB5-821DCB0233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97-41D4-8BB5-821DCB0233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97-41D4-8BB5-821DCB02339C}"/>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Table'!$A$13:$A$15</c:f>
              <c:strCache>
                <c:ptCount val="3"/>
                <c:pt idx="0">
                  <c:v>Van</c:v>
                </c:pt>
                <c:pt idx="1">
                  <c:v>Bike</c:v>
                </c:pt>
                <c:pt idx="2">
                  <c:v>Truck</c:v>
                </c:pt>
              </c:strCache>
            </c:strRef>
          </c:cat>
          <c:val>
            <c:numRef>
              <c:f>'Pivot Table'!$B$13:$B$15</c:f>
              <c:numCache>
                <c:formatCode>0.00%</c:formatCode>
                <c:ptCount val="3"/>
                <c:pt idx="0">
                  <c:v>0.35333333333333333</c:v>
                </c:pt>
                <c:pt idx="1">
                  <c:v>0.33466666666666667</c:v>
                </c:pt>
                <c:pt idx="2">
                  <c:v>0.312</c:v>
                </c:pt>
              </c:numCache>
            </c:numRef>
          </c:val>
          <c:extLst>
            <c:ext xmlns:c16="http://schemas.microsoft.com/office/drawing/2014/chart" uri="{C3380CC4-5D6E-409C-BE32-E72D297353CC}">
              <c16:uniqueId val="{00000006-1E97-41D4-8BB5-821DCB02339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533400</xdr:rowOff>
    </xdr:from>
    <xdr:to>
      <xdr:col>3</xdr:col>
      <xdr:colOff>1</xdr:colOff>
      <xdr:row>2</xdr:row>
      <xdr:rowOff>390525</xdr:rowOff>
    </xdr:to>
    <xdr:sp macro="" textlink="">
      <xdr:nvSpPr>
        <xdr:cNvPr id="2" name="TextBox 1">
          <a:extLst>
            <a:ext uri="{FF2B5EF4-FFF2-40B4-BE49-F238E27FC236}">
              <a16:creationId xmlns:a16="http://schemas.microsoft.com/office/drawing/2014/main" id="{83D2F057-BCEF-7EC5-EDF4-58C7997D862D}"/>
            </a:ext>
          </a:extLst>
        </xdr:cNvPr>
        <xdr:cNvSpPr txBox="1"/>
      </xdr:nvSpPr>
      <xdr:spPr>
        <a:xfrm>
          <a:off x="0" y="723900"/>
          <a:ext cx="2876551" cy="64770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rgbClr val="C00000"/>
              </a:solidFill>
            </a:rPr>
            <a:t>ORDERS</a:t>
          </a:r>
        </a:p>
        <a:p>
          <a:pPr algn="ctr"/>
          <a:endParaRPr lang="en-GB" sz="3200" b="1"/>
        </a:p>
      </xdr:txBody>
    </xdr:sp>
    <xdr:clientData/>
  </xdr:twoCellAnchor>
  <xdr:twoCellAnchor>
    <xdr:from>
      <xdr:col>4</xdr:col>
      <xdr:colOff>600075</xdr:colOff>
      <xdr:row>1</xdr:row>
      <xdr:rowOff>581024</xdr:rowOff>
    </xdr:from>
    <xdr:to>
      <xdr:col>9</xdr:col>
      <xdr:colOff>9525</xdr:colOff>
      <xdr:row>3</xdr:row>
      <xdr:rowOff>28574</xdr:rowOff>
    </xdr:to>
    <xdr:sp macro="" textlink="">
      <xdr:nvSpPr>
        <xdr:cNvPr id="3" name="TextBox 2">
          <a:extLst>
            <a:ext uri="{FF2B5EF4-FFF2-40B4-BE49-F238E27FC236}">
              <a16:creationId xmlns:a16="http://schemas.microsoft.com/office/drawing/2014/main" id="{8F6083AC-26C5-67CD-1D6C-A106AD6E23FB}"/>
            </a:ext>
          </a:extLst>
        </xdr:cNvPr>
        <xdr:cNvSpPr txBox="1"/>
      </xdr:nvSpPr>
      <xdr:spPr>
        <a:xfrm>
          <a:off x="4086225" y="771524"/>
          <a:ext cx="294322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2800" b="1">
              <a:solidFill>
                <a:srgbClr val="C00000"/>
              </a:solidFill>
            </a:rPr>
            <a:t>DELAY BY ZONE</a:t>
          </a:r>
        </a:p>
      </xdr:txBody>
    </xdr:sp>
    <xdr:clientData/>
  </xdr:twoCellAnchor>
  <xdr:twoCellAnchor>
    <xdr:from>
      <xdr:col>10</xdr:col>
      <xdr:colOff>600074</xdr:colOff>
      <xdr:row>1</xdr:row>
      <xdr:rowOff>600075</xdr:rowOff>
    </xdr:from>
    <xdr:to>
      <xdr:col>15</xdr:col>
      <xdr:colOff>609599</xdr:colOff>
      <xdr:row>3</xdr:row>
      <xdr:rowOff>19050</xdr:rowOff>
    </xdr:to>
    <xdr:sp macro="" textlink="">
      <xdr:nvSpPr>
        <xdr:cNvPr id="4" name="TextBox 3">
          <a:extLst>
            <a:ext uri="{FF2B5EF4-FFF2-40B4-BE49-F238E27FC236}">
              <a16:creationId xmlns:a16="http://schemas.microsoft.com/office/drawing/2014/main" id="{B5A42423-CFD4-A002-0190-9CA6731AFDFE}"/>
            </a:ext>
          </a:extLst>
        </xdr:cNvPr>
        <xdr:cNvSpPr txBox="1"/>
      </xdr:nvSpPr>
      <xdr:spPr>
        <a:xfrm>
          <a:off x="8229599" y="790575"/>
          <a:ext cx="4505325"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a:solidFill>
                <a:srgbClr val="C00000"/>
              </a:solidFill>
            </a:rPr>
            <a:t>CUSTOMER</a:t>
          </a:r>
          <a:r>
            <a:rPr lang="en-GB" sz="2400" b="1" baseline="0">
              <a:solidFill>
                <a:srgbClr val="C00000"/>
              </a:solidFill>
            </a:rPr>
            <a:t> FEEDBACK</a:t>
          </a:r>
          <a:endParaRPr lang="en-GB" sz="2400" b="1">
            <a:solidFill>
              <a:srgbClr val="C00000"/>
            </a:solidFill>
          </a:endParaRPr>
        </a:p>
      </xdr:txBody>
    </xdr:sp>
    <xdr:clientData/>
  </xdr:twoCellAnchor>
  <xdr:twoCellAnchor>
    <xdr:from>
      <xdr:col>0</xdr:col>
      <xdr:colOff>85726</xdr:colOff>
      <xdr:row>15</xdr:row>
      <xdr:rowOff>123824</xdr:rowOff>
    </xdr:from>
    <xdr:to>
      <xdr:col>18</xdr:col>
      <xdr:colOff>428625</xdr:colOff>
      <xdr:row>53</xdr:row>
      <xdr:rowOff>142875</xdr:rowOff>
    </xdr:to>
    <xdr:sp macro="" textlink="">
      <xdr:nvSpPr>
        <xdr:cNvPr id="5" name="TextBox 4">
          <a:extLst>
            <a:ext uri="{FF2B5EF4-FFF2-40B4-BE49-F238E27FC236}">
              <a16:creationId xmlns:a16="http://schemas.microsoft.com/office/drawing/2014/main" id="{C8E73127-9ADB-319F-2888-F45ED1BFB141}"/>
            </a:ext>
          </a:extLst>
        </xdr:cNvPr>
        <xdr:cNvSpPr txBox="1"/>
      </xdr:nvSpPr>
      <xdr:spPr>
        <a:xfrm>
          <a:off x="85726" y="4762499"/>
          <a:ext cx="14830424" cy="7258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b="1" u="sng">
              <a:solidFill>
                <a:schemeClr val="accent2">
                  <a:lumMod val="50000"/>
                </a:schemeClr>
              </a:solidFill>
            </a:rPr>
            <a:t>Preliminary</a:t>
          </a:r>
          <a:r>
            <a:rPr lang="en-GB" sz="1400" b="1" u="sng">
              <a:solidFill>
                <a:schemeClr val="accent2">
                  <a:lumMod val="50000"/>
                </a:schemeClr>
              </a:solidFill>
            </a:rPr>
            <a:t> </a:t>
          </a:r>
          <a:r>
            <a:rPr lang="en-GB" sz="1800" b="1" u="sng">
              <a:solidFill>
                <a:schemeClr val="accent2">
                  <a:lumMod val="50000"/>
                </a:schemeClr>
              </a:solidFill>
            </a:rPr>
            <a:t>Insights</a:t>
          </a:r>
        </a:p>
        <a:p>
          <a:r>
            <a:rPr lang="en-GB" sz="1400"/>
            <a:t>The initial review of the</a:t>
          </a:r>
          <a:r>
            <a:rPr lang="en-GB" sz="1400" baseline="0"/>
            <a:t> data </a:t>
          </a:r>
          <a:r>
            <a:rPr lang="en-GB" sz="1400"/>
            <a:t>provides an early indication of operational performance, customer sentiment patterns, and emerging risk areas. </a:t>
          </a:r>
        </a:p>
        <a:p>
          <a:r>
            <a:rPr lang="en-GB" sz="1400"/>
            <a:t>Overall output shows that </a:t>
          </a:r>
          <a:r>
            <a:rPr lang="en-GB" sz="1400" b="1">
              <a:solidFill>
                <a:srgbClr val="FF0000"/>
              </a:solidFill>
            </a:rPr>
            <a:t>733 orders </a:t>
          </a:r>
          <a:r>
            <a:rPr lang="en-GB" sz="1400"/>
            <a:t>were completed while </a:t>
          </a:r>
          <a:r>
            <a:rPr lang="en-GB" sz="1400" b="1">
              <a:solidFill>
                <a:srgbClr val="FF0000"/>
              </a:solidFill>
            </a:rPr>
            <a:t>767 orders </a:t>
          </a:r>
          <a:r>
            <a:rPr lang="en-GB" sz="1400"/>
            <a:t>remained backlogged, resulting in a near-even distribution of </a:t>
          </a:r>
          <a:r>
            <a:rPr lang="en-GB" sz="1400" b="1">
              <a:solidFill>
                <a:srgbClr val="FF0000"/>
              </a:solidFill>
            </a:rPr>
            <a:t>49%</a:t>
          </a:r>
          <a:r>
            <a:rPr lang="en-GB" sz="1400"/>
            <a:t> completed versus </a:t>
          </a:r>
          <a:r>
            <a:rPr lang="en-GB" sz="1400" b="1">
              <a:solidFill>
                <a:srgbClr val="FF0000"/>
              </a:solidFill>
            </a:rPr>
            <a:t>51%</a:t>
          </a:r>
          <a:r>
            <a:rPr lang="en-GB" sz="1400"/>
            <a:t> pending. </a:t>
          </a:r>
        </a:p>
        <a:p>
          <a:endParaRPr lang="en-GB" sz="1400"/>
        </a:p>
        <a:p>
          <a:r>
            <a:rPr lang="en-GB" sz="1400"/>
            <a:t>Although this balance is close, the backlog proportion is significant enough to warrant further examination of capacity, scheduling, and workflow constraints.</a:t>
          </a:r>
        </a:p>
        <a:p>
          <a:r>
            <a:rPr lang="en-GB" sz="1400"/>
            <a:t>Across all orders, the average delay time was </a:t>
          </a:r>
          <a:r>
            <a:rPr lang="en-GB" sz="1400" b="1">
              <a:solidFill>
                <a:srgbClr val="FF0000"/>
              </a:solidFill>
            </a:rPr>
            <a:t>14.5 minutes</a:t>
          </a:r>
          <a:r>
            <a:rPr lang="en-GB" sz="1400"/>
            <a:t>, suggesting that timeliness is an operational pressure point. </a:t>
          </a:r>
        </a:p>
        <a:p>
          <a:r>
            <a:rPr lang="en-GB" sz="1400"/>
            <a:t>Moreover, the maximum delay observed</a:t>
          </a:r>
          <a:r>
            <a:rPr lang="en-GB" sz="1400" baseline="0"/>
            <a:t> </a:t>
          </a:r>
          <a:r>
            <a:rPr lang="en-GB" sz="1400" b="1">
              <a:solidFill>
                <a:srgbClr val="FF0000"/>
              </a:solidFill>
            </a:rPr>
            <a:t>29 minutes</a:t>
          </a:r>
          <a:r>
            <a:rPr lang="en-GB" sz="1400" b="1" baseline="0">
              <a:solidFill>
                <a:srgbClr val="FF0000"/>
              </a:solidFill>
            </a:rPr>
            <a:t> </a:t>
          </a:r>
          <a:r>
            <a:rPr lang="en-GB" sz="1400"/>
            <a:t>occurred uniformly across Zones 1, 2, and 3. </a:t>
          </a:r>
        </a:p>
        <a:p>
          <a:r>
            <a:rPr lang="en-GB" sz="1400"/>
            <a:t>The consistency of this peak delay across all zones may indicate a systemic issue rather than zone-specific bottlenecks. Potential contributing factors could include routing efficiency, resource allocation, or shared process dependencies that affect all areas equally.</a:t>
          </a:r>
        </a:p>
        <a:p>
          <a:endParaRPr lang="en-GB" sz="1400"/>
        </a:p>
        <a:p>
          <a:r>
            <a:rPr lang="en-GB" sz="1400"/>
            <a:t>Customer feedback during the same period presents a similarly mixed picture. Of the feedback received, </a:t>
          </a:r>
          <a:r>
            <a:rPr lang="en-GB" sz="1400" b="1">
              <a:solidFill>
                <a:srgbClr val="FF0000"/>
              </a:solidFill>
            </a:rPr>
            <a:t>32% of customers</a:t>
          </a:r>
          <a:r>
            <a:rPr lang="en-GB" sz="1400"/>
            <a:t> reported a positive experience, </a:t>
          </a:r>
          <a:r>
            <a:rPr lang="en-GB" sz="1400" b="1">
              <a:solidFill>
                <a:srgbClr val="FF0000"/>
              </a:solidFill>
            </a:rPr>
            <a:t>33%</a:t>
          </a:r>
          <a:r>
            <a:rPr lang="en-GB" sz="1400" b="1" baseline="0">
              <a:solidFill>
                <a:srgbClr val="FF0000"/>
              </a:solidFill>
            </a:rPr>
            <a:t> of customers</a:t>
          </a:r>
          <a:r>
            <a:rPr lang="en-GB" sz="1400" b="1">
              <a:solidFill>
                <a:srgbClr val="FF0000"/>
              </a:solidFill>
            </a:rPr>
            <a:t> </a:t>
          </a:r>
          <a:r>
            <a:rPr lang="en-GB" sz="1400"/>
            <a:t>were neutral, and </a:t>
          </a:r>
          <a:r>
            <a:rPr lang="en-GB" sz="1400" b="1">
              <a:solidFill>
                <a:srgbClr val="FF0000"/>
              </a:solidFill>
            </a:rPr>
            <a:t>35%</a:t>
          </a:r>
          <a:r>
            <a:rPr lang="en-GB" sz="1400" b="1" baseline="0">
              <a:solidFill>
                <a:srgbClr val="FF0000"/>
              </a:solidFill>
            </a:rPr>
            <a:t> of customers</a:t>
          </a:r>
          <a:r>
            <a:rPr lang="en-GB" sz="1400"/>
            <a:t> expressed dissatisfaction. The relatively high share of negative</a:t>
          </a:r>
          <a:r>
            <a:rPr lang="en-GB" sz="1400" baseline="0"/>
            <a:t> feedback</a:t>
          </a:r>
          <a:r>
            <a:rPr lang="en-GB" sz="1400"/>
            <a:t>, combined with the significant neutral segment, indicates an opportunity to improve </a:t>
          </a:r>
          <a:r>
            <a:rPr lang="en-GB" sz="1400" b="1">
              <a:solidFill>
                <a:srgbClr val="00B050"/>
              </a:solidFill>
            </a:rPr>
            <a:t>communication, timeliness, and overall experience</a:t>
          </a:r>
          <a:r>
            <a:rPr lang="en-GB" sz="1400"/>
            <a:t>. </a:t>
          </a:r>
        </a:p>
        <a:p>
          <a:r>
            <a:rPr lang="en-GB" sz="1400"/>
            <a:t>These early indicators suggest that </a:t>
          </a:r>
          <a:r>
            <a:rPr lang="en-GB" sz="1400" b="1">
              <a:solidFill>
                <a:srgbClr val="FF0000"/>
              </a:solidFill>
            </a:rPr>
            <a:t>delays</a:t>
          </a:r>
          <a:r>
            <a:rPr lang="en-GB" sz="1400"/>
            <a:t> and </a:t>
          </a:r>
          <a:r>
            <a:rPr lang="en-GB" sz="1400" b="1">
              <a:solidFill>
                <a:srgbClr val="FF0000"/>
              </a:solidFill>
            </a:rPr>
            <a:t>incomplete orders </a:t>
          </a:r>
          <a:r>
            <a:rPr lang="en-GB" sz="1400"/>
            <a:t>may be influencing sentiment more than any other factor.</a:t>
          </a:r>
          <a:br>
            <a:rPr lang="en-GB" sz="1400"/>
          </a:br>
          <a:endParaRPr lang="en-GB" sz="1400"/>
        </a:p>
        <a:p>
          <a:r>
            <a:rPr lang="en-GB" sz="1400"/>
            <a:t>Order-processing rules were followed in a balanced manner across the operation. Standard Rules governed </a:t>
          </a:r>
          <a:r>
            <a:rPr lang="en-GB" sz="1400" b="1">
              <a:solidFill>
                <a:srgbClr val="FF0000"/>
              </a:solidFill>
            </a:rPr>
            <a:t>513 orders</a:t>
          </a:r>
          <a:r>
            <a:rPr lang="en-GB" sz="1400"/>
            <a:t>, Expedited Rules accounted for </a:t>
          </a:r>
          <a:r>
            <a:rPr lang="en-GB" sz="1400" b="1">
              <a:solidFill>
                <a:srgbClr val="FF0000"/>
              </a:solidFill>
            </a:rPr>
            <a:t>478 orders</a:t>
          </a:r>
          <a:r>
            <a:rPr lang="en-GB" sz="1400"/>
            <a:t>, and Custom Rules applied to </a:t>
          </a:r>
          <a:r>
            <a:rPr lang="en-GB" sz="1400" b="1">
              <a:solidFill>
                <a:srgbClr val="FF0000"/>
              </a:solidFill>
            </a:rPr>
            <a:t>509 orders</a:t>
          </a:r>
          <a:r>
            <a:rPr lang="en-GB" sz="1400"/>
            <a:t>. This distribution reflects a diverse set of processing pathways and indicates that no single rule category is disproportionately burdened.</a:t>
          </a:r>
        </a:p>
        <a:p>
          <a:endParaRPr lang="en-GB" sz="1400"/>
        </a:p>
        <a:p>
          <a:r>
            <a:rPr lang="en-GB" sz="1400"/>
            <a:t>Overall, the findings suggest a system operating at high capacity but experiencing notable delays and customer dissatisfaction. Addressing the backlog drivers, reducing end-to-end delay variation, and enhancing customer communication will be essential to improving service performance and customer perception going forward.</a:t>
          </a:r>
        </a:p>
        <a:p>
          <a:endParaRPr lang="en-GB" sz="1400"/>
        </a:p>
        <a:p>
          <a:endParaRPr lang="en-GB" sz="1400"/>
        </a:p>
        <a:p>
          <a:r>
            <a:rPr lang="en-GB" sz="1400"/>
            <a:t>Although these findings are preliminary, they highlight three key areas for deeper analysis:</a:t>
          </a:r>
        </a:p>
        <a:p>
          <a:pPr lvl="1"/>
          <a:r>
            <a:rPr lang="en-GB" sz="1400"/>
            <a:t>The root causes of the backlog and its persistence across zones.</a:t>
          </a:r>
        </a:p>
        <a:p>
          <a:pPr lvl="1"/>
          <a:r>
            <a:rPr lang="en-GB" sz="1400"/>
            <a:t>Operational drivers behind the 14.5-minute average delay and the recurrent 29-minute maximum delay.</a:t>
          </a:r>
        </a:p>
        <a:p>
          <a:pPr lvl="1"/>
          <a:r>
            <a:rPr lang="en-GB" sz="1400"/>
            <a:t>Customer experience elements most strongly correlated with negative and neutral feedback.</a:t>
          </a:r>
        </a:p>
        <a:p>
          <a:r>
            <a:rPr lang="en-GB" sz="1400"/>
            <a:t>Further analysis will focus on these areas to determine specific bottlenecks, quantify their operational and customer impact, and develop targeted interventions that improve overall performance.</a:t>
          </a:r>
        </a:p>
        <a:p>
          <a:endParaRPr lang="en-GB"/>
        </a:p>
      </xdr:txBody>
    </xdr:sp>
    <xdr:clientData/>
  </xdr:twoCellAnchor>
  <xdr:twoCellAnchor>
    <xdr:from>
      <xdr:col>17</xdr:col>
      <xdr:colOff>1</xdr:colOff>
      <xdr:row>1</xdr:row>
      <xdr:rowOff>323850</xdr:rowOff>
    </xdr:from>
    <xdr:to>
      <xdr:col>19</xdr:col>
      <xdr:colOff>0</xdr:colOff>
      <xdr:row>1</xdr:row>
      <xdr:rowOff>771525</xdr:rowOff>
    </xdr:to>
    <xdr:sp macro="" textlink="">
      <xdr:nvSpPr>
        <xdr:cNvPr id="6" name="TextBox 5">
          <a:extLst>
            <a:ext uri="{FF2B5EF4-FFF2-40B4-BE49-F238E27FC236}">
              <a16:creationId xmlns:a16="http://schemas.microsoft.com/office/drawing/2014/main" id="{FF91F9D9-DEDB-F258-8481-00CFA5217867}"/>
            </a:ext>
          </a:extLst>
        </xdr:cNvPr>
        <xdr:cNvSpPr txBox="1"/>
      </xdr:nvSpPr>
      <xdr:spPr>
        <a:xfrm>
          <a:off x="13344526" y="514350"/>
          <a:ext cx="2476499"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rgbClr val="FF0000"/>
              </a:solidFill>
            </a:rPr>
            <a:t>ALLOCATION</a:t>
          </a:r>
        </a:p>
      </xdr:txBody>
    </xdr:sp>
    <xdr:clientData/>
  </xdr:twoCellAnchor>
  <xdr:twoCellAnchor>
    <xdr:from>
      <xdr:col>20</xdr:col>
      <xdr:colOff>9525</xdr:colOff>
      <xdr:row>1</xdr:row>
      <xdr:rowOff>304799</xdr:rowOff>
    </xdr:from>
    <xdr:to>
      <xdr:col>21</xdr:col>
      <xdr:colOff>1219200</xdr:colOff>
      <xdr:row>1</xdr:row>
      <xdr:rowOff>790574</xdr:rowOff>
    </xdr:to>
    <xdr:sp macro="" textlink="">
      <xdr:nvSpPr>
        <xdr:cNvPr id="7" name="TextBox 6">
          <a:extLst>
            <a:ext uri="{FF2B5EF4-FFF2-40B4-BE49-F238E27FC236}">
              <a16:creationId xmlns:a16="http://schemas.microsoft.com/office/drawing/2014/main" id="{6B5442AC-703D-19B3-6C9E-1C80FA1FD5D9}"/>
            </a:ext>
          </a:extLst>
        </xdr:cNvPr>
        <xdr:cNvSpPr txBox="1"/>
      </xdr:nvSpPr>
      <xdr:spPr>
        <a:xfrm>
          <a:off x="17164050" y="495299"/>
          <a:ext cx="2543175"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rgbClr val="C00000"/>
              </a:solidFill>
            </a:rPr>
            <a:t>EMPLOYEES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133350</xdr:colOff>
      <xdr:row>0</xdr:row>
      <xdr:rowOff>161925</xdr:rowOff>
    </xdr:from>
    <xdr:to>
      <xdr:col>10</xdr:col>
      <xdr:colOff>438150</xdr:colOff>
      <xdr:row>9</xdr:row>
      <xdr:rowOff>47625</xdr:rowOff>
    </xdr:to>
    <xdr:graphicFrame macro="">
      <xdr:nvGraphicFramePr>
        <xdr:cNvPr id="2" name="Chart 1">
          <a:extLst>
            <a:ext uri="{FF2B5EF4-FFF2-40B4-BE49-F238E27FC236}">
              <a16:creationId xmlns:a16="http://schemas.microsoft.com/office/drawing/2014/main" id="{9B572C3A-A4C1-F3B9-5A10-FBED6D6A4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438150</xdr:colOff>
      <xdr:row>10</xdr:row>
      <xdr:rowOff>142875</xdr:rowOff>
    </xdr:from>
    <xdr:to>
      <xdr:col>11</xdr:col>
      <xdr:colOff>133350</xdr:colOff>
      <xdr:row>16</xdr:row>
      <xdr:rowOff>66675</xdr:rowOff>
    </xdr:to>
    <xdr:graphicFrame macro="">
      <xdr:nvGraphicFramePr>
        <xdr:cNvPr id="3" name="Chart 2">
          <a:extLst>
            <a:ext uri="{FF2B5EF4-FFF2-40B4-BE49-F238E27FC236}">
              <a16:creationId xmlns:a16="http://schemas.microsoft.com/office/drawing/2014/main" id="{D3367C57-A0FE-F60D-7DD0-A7C03B4C8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xdr:colOff>
      <xdr:row>16</xdr:row>
      <xdr:rowOff>133350</xdr:rowOff>
    </xdr:from>
    <xdr:to>
      <xdr:col>11</xdr:col>
      <xdr:colOff>57150</xdr:colOff>
      <xdr:row>22</xdr:row>
      <xdr:rowOff>152400</xdr:rowOff>
    </xdr:to>
    <xdr:graphicFrame macro="">
      <xdr:nvGraphicFramePr>
        <xdr:cNvPr id="4" name="Chart 3">
          <a:extLst>
            <a:ext uri="{FF2B5EF4-FFF2-40B4-BE49-F238E27FC236}">
              <a16:creationId xmlns:a16="http://schemas.microsoft.com/office/drawing/2014/main" id="{021A946B-237F-D174-DE43-49498FE1D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95249</xdr:colOff>
      <xdr:row>22</xdr:row>
      <xdr:rowOff>171450</xdr:rowOff>
    </xdr:from>
    <xdr:to>
      <xdr:col>20</xdr:col>
      <xdr:colOff>9525</xdr:colOff>
      <xdr:row>34</xdr:row>
      <xdr:rowOff>133350</xdr:rowOff>
    </xdr:to>
    <xdr:graphicFrame macro="">
      <xdr:nvGraphicFramePr>
        <xdr:cNvPr id="5" name="Chart 4">
          <a:extLst>
            <a:ext uri="{FF2B5EF4-FFF2-40B4-BE49-F238E27FC236}">
              <a16:creationId xmlns:a16="http://schemas.microsoft.com/office/drawing/2014/main" id="{FAEA5205-6E5B-E06C-38C5-D8547B17E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371475</xdr:colOff>
      <xdr:row>36</xdr:row>
      <xdr:rowOff>47625</xdr:rowOff>
    </xdr:from>
    <xdr:to>
      <xdr:col>11</xdr:col>
      <xdr:colOff>66675</xdr:colOff>
      <xdr:row>44</xdr:row>
      <xdr:rowOff>114300</xdr:rowOff>
    </xdr:to>
    <xdr:graphicFrame macro="">
      <xdr:nvGraphicFramePr>
        <xdr:cNvPr id="6" name="Chart 5">
          <a:extLst>
            <a:ext uri="{FF2B5EF4-FFF2-40B4-BE49-F238E27FC236}">
              <a16:creationId xmlns:a16="http://schemas.microsoft.com/office/drawing/2014/main" id="{00C3E0DB-602D-71D0-7F0B-0249C5593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457200</xdr:colOff>
      <xdr:row>8</xdr:row>
      <xdr:rowOff>104776</xdr:rowOff>
    </xdr:from>
    <xdr:to>
      <xdr:col>17</xdr:col>
      <xdr:colOff>68400</xdr:colOff>
      <xdr:row>11</xdr:row>
      <xdr:rowOff>477210</xdr:rowOff>
    </xdr:to>
    <mc:AlternateContent xmlns:mc="http://schemas.openxmlformats.org/markup-compatibility/2006" xmlns:a14="http://schemas.microsoft.com/office/drawing/2010/main">
      <mc:Choice Requires="a14">
        <xdr:graphicFrame macro="">
          <xdr:nvGraphicFramePr>
            <xdr:cNvPr id="9" name="Order Status">
              <a:extLst>
                <a:ext uri="{FF2B5EF4-FFF2-40B4-BE49-F238E27FC236}">
                  <a16:creationId xmlns:a16="http://schemas.microsoft.com/office/drawing/2014/main" id="{5DCC9912-579D-29B4-E689-D0121DCADC9E}"/>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9372600" y="1990726"/>
              <a:ext cx="1440000" cy="9439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114300</xdr:colOff>
      <xdr:row>49</xdr:row>
      <xdr:rowOff>4762</xdr:rowOff>
    </xdr:from>
    <xdr:to>
      <xdr:col>12</xdr:col>
      <xdr:colOff>419100</xdr:colOff>
      <xdr:row>63</xdr:row>
      <xdr:rowOff>80962</xdr:rowOff>
    </xdr:to>
    <xdr:graphicFrame macro="">
      <xdr:nvGraphicFramePr>
        <xdr:cNvPr id="7" name="Chart 6">
          <a:extLst>
            <a:ext uri="{FF2B5EF4-FFF2-40B4-BE49-F238E27FC236}">
              <a16:creationId xmlns:a16="http://schemas.microsoft.com/office/drawing/2014/main" id="{D3CEBFCC-0965-D705-DBCE-7C88729B7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95250</xdr:colOff>
      <xdr:row>44</xdr:row>
      <xdr:rowOff>171450</xdr:rowOff>
    </xdr:from>
    <xdr:to>
      <xdr:col>15</xdr:col>
      <xdr:colOff>361950</xdr:colOff>
      <xdr:row>51</xdr:row>
      <xdr:rowOff>371475</xdr:rowOff>
    </xdr:to>
    <mc:AlternateContent xmlns:mc="http://schemas.openxmlformats.org/markup-compatibility/2006" xmlns:a14="http://schemas.microsoft.com/office/drawing/2010/main">
      <mc:Choice Requires="a14">
        <xdr:graphicFrame macro="">
          <xdr:nvGraphicFramePr>
            <xdr:cNvPr id="12" name="Order Flag">
              <a:extLst>
                <a:ext uri="{FF2B5EF4-FFF2-40B4-BE49-F238E27FC236}">
                  <a16:creationId xmlns:a16="http://schemas.microsoft.com/office/drawing/2014/main" id="{4094C54D-EA29-19D2-B4A1-7B0FC07ACD2C}"/>
                </a:ext>
              </a:extLst>
            </xdr:cNvPr>
            <xdr:cNvGraphicFramePr/>
          </xdr:nvGraphicFramePr>
          <xdr:xfrm>
            <a:off x="0" y="0"/>
            <a:ext cx="0" cy="0"/>
          </xdr:xfrm>
          <a:graphic>
            <a:graphicData uri="http://schemas.microsoft.com/office/drawing/2010/slicer">
              <sle:slicer xmlns:sle="http://schemas.microsoft.com/office/drawing/2010/slicer" name="Order Flag"/>
            </a:graphicData>
          </a:graphic>
        </xdr:graphicFrame>
      </mc:Choice>
      <mc:Fallback xmlns="">
        <xdr:sp macro="" textlink="">
          <xdr:nvSpPr>
            <xdr:cNvPr id="0" name=""/>
            <xdr:cNvSpPr>
              <a:spLocks noTextEdit="1"/>
            </xdr:cNvSpPr>
          </xdr:nvSpPr>
          <xdr:spPr>
            <a:xfrm>
              <a:off x="8867775" y="10896600"/>
              <a:ext cx="14859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485775</xdr:colOff>
      <xdr:row>39</xdr:row>
      <xdr:rowOff>180975</xdr:rowOff>
    </xdr:from>
    <xdr:to>
      <xdr:col>20</xdr:col>
      <xdr:colOff>485775</xdr:colOff>
      <xdr:row>46</xdr:row>
      <xdr:rowOff>152400</xdr:rowOff>
    </xdr:to>
    <mc:AlternateContent xmlns:mc="http://schemas.openxmlformats.org/markup-compatibility/2006" xmlns:a14="http://schemas.microsoft.com/office/drawing/2010/main">
      <mc:Choice Requires="a14">
        <xdr:graphicFrame macro="">
          <xdr:nvGraphicFramePr>
            <xdr:cNvPr id="13" name="Delivery Zone">
              <a:extLst>
                <a:ext uri="{FF2B5EF4-FFF2-40B4-BE49-F238E27FC236}">
                  <a16:creationId xmlns:a16="http://schemas.microsoft.com/office/drawing/2014/main" id="{33173AAA-3067-0A89-9D80-343701A13BD6}"/>
                </a:ext>
              </a:extLst>
            </xdr:cNvPr>
            <xdr:cNvGraphicFramePr/>
          </xdr:nvGraphicFramePr>
          <xdr:xfrm>
            <a:off x="0" y="0"/>
            <a:ext cx="0" cy="0"/>
          </xdr:xfrm>
          <a:graphic>
            <a:graphicData uri="http://schemas.microsoft.com/office/drawing/2010/slicer">
              <sle:slicer xmlns:sle="http://schemas.microsoft.com/office/drawing/2010/slicer" name="Delivery Zone"/>
            </a:graphicData>
          </a:graphic>
        </xdr:graphicFrame>
      </mc:Choice>
      <mc:Fallback xmlns="">
        <xdr:sp macro="" textlink="">
          <xdr:nvSpPr>
            <xdr:cNvPr id="0" name=""/>
            <xdr:cNvSpPr>
              <a:spLocks noTextEdit="1"/>
            </xdr:cNvSpPr>
          </xdr:nvSpPr>
          <xdr:spPr>
            <a:xfrm>
              <a:off x="11696700" y="9953625"/>
              <a:ext cx="1828800" cy="13049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409576</xdr:colOff>
      <xdr:row>1</xdr:row>
      <xdr:rowOff>19049</xdr:rowOff>
    </xdr:from>
    <xdr:to>
      <xdr:col>22</xdr:col>
      <xdr:colOff>27216</xdr:colOff>
      <xdr:row>39</xdr:row>
      <xdr:rowOff>169332</xdr:rowOff>
    </xdr:to>
    <xdr:sp macro="" textlink="">
      <xdr:nvSpPr>
        <xdr:cNvPr id="2" name="Rectangle 1">
          <a:extLst>
            <a:ext uri="{FF2B5EF4-FFF2-40B4-BE49-F238E27FC236}">
              <a16:creationId xmlns:a16="http://schemas.microsoft.com/office/drawing/2014/main" id="{719EBA75-7944-1123-8163-FBCA5F2BAC53}"/>
            </a:ext>
          </a:extLst>
        </xdr:cNvPr>
        <xdr:cNvSpPr>
          <a:spLocks/>
        </xdr:cNvSpPr>
      </xdr:nvSpPr>
      <xdr:spPr>
        <a:xfrm>
          <a:off x="1021897" y="209549"/>
          <a:ext cx="12476390" cy="7389283"/>
        </a:xfrm>
        <a:prstGeom prst="rect">
          <a:avLst/>
        </a:prstGeom>
        <a:solidFill>
          <a:schemeClr val="tx2">
            <a:lumMod val="10000"/>
            <a:lumOff val="90000"/>
          </a:schemeClr>
        </a:solidFill>
        <a:ln>
          <a:solidFill>
            <a:schemeClr val="tx1"/>
          </a:solidFill>
        </a:ln>
        <a:effectLst>
          <a:softEdge rad="12700"/>
        </a:effectLst>
        <a:scene3d>
          <a:camera prst="orthographicFront"/>
          <a:lightRig rig="threePt" dir="t"/>
        </a:scene3d>
        <a:sp3d>
          <a:bevelB w="139700" h="139700" prst="divo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noFill/>
          </a:endParaRPr>
        </a:p>
      </xdr:txBody>
    </xdr:sp>
    <xdr:clientData/>
  </xdr:twoCellAnchor>
  <xdr:twoCellAnchor editAs="absolute">
    <xdr:from>
      <xdr:col>1</xdr:col>
      <xdr:colOff>469901</xdr:colOff>
      <xdr:row>8</xdr:row>
      <xdr:rowOff>57151</xdr:rowOff>
    </xdr:from>
    <xdr:to>
      <xdr:col>5</xdr:col>
      <xdr:colOff>321733</xdr:colOff>
      <xdr:row>14</xdr:row>
      <xdr:rowOff>46568</xdr:rowOff>
    </xdr:to>
    <xdr:sp macro="" textlink="">
      <xdr:nvSpPr>
        <xdr:cNvPr id="12" name="Rectangle 11">
          <a:extLst>
            <a:ext uri="{FF2B5EF4-FFF2-40B4-BE49-F238E27FC236}">
              <a16:creationId xmlns:a16="http://schemas.microsoft.com/office/drawing/2014/main" id="{B87DE3E8-D0D8-457D-D4A0-B3069FA3C217}"/>
            </a:ext>
          </a:extLst>
        </xdr:cNvPr>
        <xdr:cNvSpPr/>
      </xdr:nvSpPr>
      <xdr:spPr>
        <a:xfrm>
          <a:off x="1083734" y="1581151"/>
          <a:ext cx="2307166" cy="11324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bg1"/>
              </a:solidFill>
            </a:rPr>
            <a:t>COMPLETED ORDERS(%)</a:t>
          </a:r>
        </a:p>
      </xdr:txBody>
    </xdr:sp>
    <xdr:clientData/>
  </xdr:twoCellAnchor>
  <xdr:twoCellAnchor editAs="absolute">
    <xdr:from>
      <xdr:col>1</xdr:col>
      <xdr:colOff>535667</xdr:colOff>
      <xdr:row>11</xdr:row>
      <xdr:rowOff>36928</xdr:rowOff>
    </xdr:from>
    <xdr:to>
      <xdr:col>3</xdr:col>
      <xdr:colOff>47625</xdr:colOff>
      <xdr:row>13</xdr:row>
      <xdr:rowOff>79261</xdr:rowOff>
    </xdr:to>
    <xdr:sp macro="" textlink="'Initial analysis'!C7">
      <xdr:nvSpPr>
        <xdr:cNvPr id="13" name="TextBox 12">
          <a:extLst>
            <a:ext uri="{FF2B5EF4-FFF2-40B4-BE49-F238E27FC236}">
              <a16:creationId xmlns:a16="http://schemas.microsoft.com/office/drawing/2014/main" id="{58EAF942-C09B-CD35-4316-5E65FF60E33F}"/>
            </a:ext>
          </a:extLst>
        </xdr:cNvPr>
        <xdr:cNvSpPr txBox="1"/>
      </xdr:nvSpPr>
      <xdr:spPr>
        <a:xfrm>
          <a:off x="1142886" y="2132428"/>
          <a:ext cx="726395"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958C95-39ED-457C-A143-BFBEAC7E21F9}" type="TxLink">
            <a:rPr lang="en-US" sz="2400" b="1" i="0" u="none" strike="noStrike">
              <a:solidFill>
                <a:srgbClr val="000000"/>
              </a:solidFill>
              <a:latin typeface="Aptos Narrow"/>
            </a:rPr>
            <a:pPr algn="ctr"/>
            <a:t>49%</a:t>
          </a:fld>
          <a:endParaRPr lang="en-GB" sz="4800" b="1"/>
        </a:p>
      </xdr:txBody>
    </xdr:sp>
    <xdr:clientData/>
  </xdr:twoCellAnchor>
  <xdr:twoCellAnchor editAs="absolute">
    <xdr:from>
      <xdr:col>1</xdr:col>
      <xdr:colOff>474134</xdr:colOff>
      <xdr:row>14</xdr:row>
      <xdr:rowOff>114301</xdr:rowOff>
    </xdr:from>
    <xdr:to>
      <xdr:col>5</xdr:col>
      <xdr:colOff>325966</xdr:colOff>
      <xdr:row>20</xdr:row>
      <xdr:rowOff>103718</xdr:rowOff>
    </xdr:to>
    <xdr:sp macro="" textlink="">
      <xdr:nvSpPr>
        <xdr:cNvPr id="14" name="Rectangle 13">
          <a:extLst>
            <a:ext uri="{FF2B5EF4-FFF2-40B4-BE49-F238E27FC236}">
              <a16:creationId xmlns:a16="http://schemas.microsoft.com/office/drawing/2014/main" id="{CEDC73C6-05AA-4E3A-F5D5-104AEEAE0722}"/>
            </a:ext>
          </a:extLst>
        </xdr:cNvPr>
        <xdr:cNvSpPr/>
      </xdr:nvSpPr>
      <xdr:spPr>
        <a:xfrm>
          <a:off x="1087967" y="2781301"/>
          <a:ext cx="2307166" cy="11324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bg1"/>
              </a:solidFill>
            </a:rPr>
            <a:t>BACKLOGS</a:t>
          </a:r>
          <a:r>
            <a:rPr lang="en-GB" sz="1600" b="1" baseline="0">
              <a:solidFill>
                <a:schemeClr val="bg1"/>
              </a:solidFill>
            </a:rPr>
            <a:t> (%)</a:t>
          </a:r>
          <a:endParaRPr lang="en-GB" sz="1600" b="1">
            <a:solidFill>
              <a:schemeClr val="bg1"/>
            </a:solidFill>
          </a:endParaRPr>
        </a:p>
      </xdr:txBody>
    </xdr:sp>
    <xdr:clientData/>
  </xdr:twoCellAnchor>
  <xdr:twoCellAnchor editAs="absolute">
    <xdr:from>
      <xdr:col>1</xdr:col>
      <xdr:colOff>559367</xdr:colOff>
      <xdr:row>17</xdr:row>
      <xdr:rowOff>149073</xdr:rowOff>
    </xdr:from>
    <xdr:to>
      <xdr:col>3</xdr:col>
      <xdr:colOff>72130</xdr:colOff>
      <xdr:row>20</xdr:row>
      <xdr:rowOff>906</xdr:rowOff>
    </xdr:to>
    <xdr:sp macro="" textlink="'Initial analysis'!C5">
      <xdr:nvSpPr>
        <xdr:cNvPr id="15" name="TextBox 14">
          <a:extLst>
            <a:ext uri="{FF2B5EF4-FFF2-40B4-BE49-F238E27FC236}">
              <a16:creationId xmlns:a16="http://schemas.microsoft.com/office/drawing/2014/main" id="{8FD91A1E-37DE-673C-1976-B98037B36A3B}"/>
            </a:ext>
          </a:extLst>
        </xdr:cNvPr>
        <xdr:cNvSpPr txBox="1"/>
      </xdr:nvSpPr>
      <xdr:spPr>
        <a:xfrm>
          <a:off x="1166586" y="3387573"/>
          <a:ext cx="727200"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32AE66-14AE-4A45-B2E9-019CF2EAFC3A}" type="TxLink">
            <a:rPr lang="en-US" sz="2400" b="1" i="0" u="none" strike="noStrike">
              <a:solidFill>
                <a:srgbClr val="000000"/>
              </a:solidFill>
              <a:latin typeface="Aptos Narrow"/>
            </a:rPr>
            <a:pPr algn="ctr"/>
            <a:t>51%</a:t>
          </a:fld>
          <a:endParaRPr lang="en-GB" sz="4800" b="1"/>
        </a:p>
      </xdr:txBody>
    </xdr:sp>
    <xdr:clientData/>
  </xdr:twoCellAnchor>
  <xdr:twoCellAnchor editAs="absolute">
    <xdr:from>
      <xdr:col>1</xdr:col>
      <xdr:colOff>478367</xdr:colOff>
      <xdr:row>20</xdr:row>
      <xdr:rowOff>171451</xdr:rowOff>
    </xdr:from>
    <xdr:to>
      <xdr:col>5</xdr:col>
      <xdr:colOff>330199</xdr:colOff>
      <xdr:row>26</xdr:row>
      <xdr:rowOff>160868</xdr:rowOff>
    </xdr:to>
    <xdr:sp macro="" textlink="">
      <xdr:nvSpPr>
        <xdr:cNvPr id="16" name="Rectangle 15">
          <a:extLst>
            <a:ext uri="{FF2B5EF4-FFF2-40B4-BE49-F238E27FC236}">
              <a16:creationId xmlns:a16="http://schemas.microsoft.com/office/drawing/2014/main" id="{0E0ECB18-D953-B017-7365-758466021341}"/>
            </a:ext>
          </a:extLst>
        </xdr:cNvPr>
        <xdr:cNvSpPr/>
      </xdr:nvSpPr>
      <xdr:spPr>
        <a:xfrm>
          <a:off x="1092200" y="3981451"/>
          <a:ext cx="2307166" cy="11324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bg1"/>
              </a:solidFill>
            </a:rPr>
            <a:t>AVG DELAY(Mins)</a:t>
          </a:r>
        </a:p>
      </xdr:txBody>
    </xdr:sp>
    <xdr:clientData/>
  </xdr:twoCellAnchor>
  <xdr:twoCellAnchor editAs="absolute">
    <xdr:from>
      <xdr:col>1</xdr:col>
      <xdr:colOff>560197</xdr:colOff>
      <xdr:row>24</xdr:row>
      <xdr:rowOff>416</xdr:rowOff>
    </xdr:from>
    <xdr:to>
      <xdr:col>3</xdr:col>
      <xdr:colOff>166688</xdr:colOff>
      <xdr:row>26</xdr:row>
      <xdr:rowOff>42749</xdr:rowOff>
    </xdr:to>
    <xdr:sp macro="" textlink="'Initial analysis'!B6">
      <xdr:nvSpPr>
        <xdr:cNvPr id="17" name="TextBox 16">
          <a:extLst>
            <a:ext uri="{FF2B5EF4-FFF2-40B4-BE49-F238E27FC236}">
              <a16:creationId xmlns:a16="http://schemas.microsoft.com/office/drawing/2014/main" id="{B06C04A4-D46C-0387-BB57-F53F35BEA49C}"/>
            </a:ext>
          </a:extLst>
        </xdr:cNvPr>
        <xdr:cNvSpPr txBox="1"/>
      </xdr:nvSpPr>
      <xdr:spPr>
        <a:xfrm>
          <a:off x="1167416" y="4572416"/>
          <a:ext cx="820928"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7A78F16-1976-4872-9921-108C7D01824B}" type="TxLink">
            <a:rPr lang="en-US" sz="2400" b="1" i="0" u="none" strike="noStrike">
              <a:solidFill>
                <a:srgbClr val="000000"/>
              </a:solidFill>
              <a:latin typeface="Aptos Narrow"/>
            </a:rPr>
            <a:pPr algn="ctr"/>
            <a:t>14.5</a:t>
          </a:fld>
          <a:endParaRPr lang="en-GB" sz="4800" b="1"/>
        </a:p>
      </xdr:txBody>
    </xdr:sp>
    <xdr:clientData/>
  </xdr:twoCellAnchor>
  <xdr:twoCellAnchor editAs="absolute">
    <xdr:from>
      <xdr:col>1</xdr:col>
      <xdr:colOff>482600</xdr:colOff>
      <xdr:row>27</xdr:row>
      <xdr:rowOff>38101</xdr:rowOff>
    </xdr:from>
    <xdr:to>
      <xdr:col>5</xdr:col>
      <xdr:colOff>334432</xdr:colOff>
      <xdr:row>33</xdr:row>
      <xdr:rowOff>27518</xdr:rowOff>
    </xdr:to>
    <xdr:sp macro="" textlink="">
      <xdr:nvSpPr>
        <xdr:cNvPr id="18" name="Rectangle 17">
          <a:extLst>
            <a:ext uri="{FF2B5EF4-FFF2-40B4-BE49-F238E27FC236}">
              <a16:creationId xmlns:a16="http://schemas.microsoft.com/office/drawing/2014/main" id="{886BDA13-AF87-0F45-163D-C1F113502B94}"/>
            </a:ext>
          </a:extLst>
        </xdr:cNvPr>
        <xdr:cNvSpPr/>
      </xdr:nvSpPr>
      <xdr:spPr>
        <a:xfrm>
          <a:off x="1096433" y="5181601"/>
          <a:ext cx="2307166" cy="11324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bg1"/>
              </a:solidFill>
            </a:rPr>
            <a:t>NO OF DRIVERS</a:t>
          </a:r>
        </a:p>
      </xdr:txBody>
    </xdr:sp>
    <xdr:clientData/>
  </xdr:twoCellAnchor>
  <xdr:twoCellAnchor editAs="absolute">
    <xdr:from>
      <xdr:col>1</xdr:col>
      <xdr:colOff>555926</xdr:colOff>
      <xdr:row>30</xdr:row>
      <xdr:rowOff>81379</xdr:rowOff>
    </xdr:from>
    <xdr:to>
      <xdr:col>3</xdr:col>
      <xdr:colOff>68689</xdr:colOff>
      <xdr:row>32</xdr:row>
      <xdr:rowOff>123712</xdr:rowOff>
    </xdr:to>
    <xdr:sp macro="" textlink="'Initial analysis'!V3">
      <xdr:nvSpPr>
        <xdr:cNvPr id="19" name="TextBox 18">
          <a:extLst>
            <a:ext uri="{FF2B5EF4-FFF2-40B4-BE49-F238E27FC236}">
              <a16:creationId xmlns:a16="http://schemas.microsoft.com/office/drawing/2014/main" id="{C56B7901-D870-1386-DFAD-912463BF9B6C}"/>
            </a:ext>
          </a:extLst>
        </xdr:cNvPr>
        <xdr:cNvSpPr txBox="1"/>
      </xdr:nvSpPr>
      <xdr:spPr>
        <a:xfrm>
          <a:off x="1163145" y="5796379"/>
          <a:ext cx="727200"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81F645-027F-42B1-BBBE-C6A3FA0DB4F2}" type="TxLink">
            <a:rPr lang="en-US" sz="2400" b="1" i="0" u="none" strike="noStrike">
              <a:solidFill>
                <a:schemeClr val="tx1"/>
              </a:solidFill>
              <a:latin typeface="Aptos Narrow"/>
            </a:rPr>
            <a:pPr algn="ctr"/>
            <a:t>100</a:t>
          </a:fld>
          <a:endParaRPr lang="en-GB" sz="4800" b="1">
            <a:solidFill>
              <a:schemeClr val="tx1"/>
            </a:solidFill>
          </a:endParaRPr>
        </a:p>
      </xdr:txBody>
    </xdr:sp>
    <xdr:clientData/>
  </xdr:twoCellAnchor>
  <xdr:twoCellAnchor editAs="absolute">
    <xdr:from>
      <xdr:col>1</xdr:col>
      <xdr:colOff>486833</xdr:colOff>
      <xdr:row>33</xdr:row>
      <xdr:rowOff>95251</xdr:rowOff>
    </xdr:from>
    <xdr:to>
      <xdr:col>5</xdr:col>
      <xdr:colOff>338665</xdr:colOff>
      <xdr:row>39</xdr:row>
      <xdr:rowOff>84668</xdr:rowOff>
    </xdr:to>
    <xdr:sp macro="" textlink="">
      <xdr:nvSpPr>
        <xdr:cNvPr id="20" name="Rectangle 19">
          <a:extLst>
            <a:ext uri="{FF2B5EF4-FFF2-40B4-BE49-F238E27FC236}">
              <a16:creationId xmlns:a16="http://schemas.microsoft.com/office/drawing/2014/main" id="{47F58F24-4AF3-501F-6971-7FE9FEB5A0AE}"/>
            </a:ext>
          </a:extLst>
        </xdr:cNvPr>
        <xdr:cNvSpPr/>
      </xdr:nvSpPr>
      <xdr:spPr>
        <a:xfrm>
          <a:off x="1100666" y="6381751"/>
          <a:ext cx="2307166" cy="11324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bg1"/>
              </a:solidFill>
            </a:rPr>
            <a:t>CUSTOMER FEEDBACK</a:t>
          </a:r>
        </a:p>
        <a:p>
          <a:pPr algn="ctr"/>
          <a:endParaRPr lang="en-GB" sz="1600" b="1">
            <a:solidFill>
              <a:schemeClr val="bg1"/>
            </a:solidFill>
          </a:endParaRPr>
        </a:p>
        <a:p>
          <a:pPr algn="ctr"/>
          <a:endParaRPr lang="en-GB" sz="1600" b="1">
            <a:solidFill>
              <a:schemeClr val="bg1"/>
            </a:solidFill>
          </a:endParaRPr>
        </a:p>
        <a:p>
          <a:pPr algn="ctr"/>
          <a:r>
            <a:rPr lang="en-GB" sz="1200" b="1">
              <a:solidFill>
                <a:schemeClr val="bg1"/>
              </a:solidFill>
            </a:rPr>
            <a:t>POS                   </a:t>
          </a:r>
          <a:r>
            <a:rPr lang="en-GB" sz="1200" b="1" baseline="0">
              <a:solidFill>
                <a:schemeClr val="bg1"/>
              </a:solidFill>
            </a:rPr>
            <a:t>NEG                 NEU</a:t>
          </a:r>
          <a:endParaRPr lang="en-GB" sz="1200" b="1">
            <a:solidFill>
              <a:schemeClr val="bg1"/>
            </a:solidFill>
          </a:endParaRPr>
        </a:p>
      </xdr:txBody>
    </xdr:sp>
    <xdr:clientData/>
  </xdr:twoCellAnchor>
  <xdr:twoCellAnchor editAs="absolute">
    <xdr:from>
      <xdr:col>1</xdr:col>
      <xdr:colOff>582083</xdr:colOff>
      <xdr:row>35</xdr:row>
      <xdr:rowOff>95252</xdr:rowOff>
    </xdr:from>
    <xdr:to>
      <xdr:col>2</xdr:col>
      <xdr:colOff>529167</xdr:colOff>
      <xdr:row>37</xdr:row>
      <xdr:rowOff>84668</xdr:rowOff>
    </xdr:to>
    <xdr:sp macro="" textlink="'Initial analysis'!M6">
      <xdr:nvSpPr>
        <xdr:cNvPr id="21" name="TextBox 20">
          <a:extLst>
            <a:ext uri="{FF2B5EF4-FFF2-40B4-BE49-F238E27FC236}">
              <a16:creationId xmlns:a16="http://schemas.microsoft.com/office/drawing/2014/main" id="{D8CACB37-5C6D-7067-5ECE-42AA5DBC57DB}"/>
            </a:ext>
          </a:extLst>
        </xdr:cNvPr>
        <xdr:cNvSpPr txBox="1"/>
      </xdr:nvSpPr>
      <xdr:spPr>
        <a:xfrm>
          <a:off x="1195916" y="6762752"/>
          <a:ext cx="560918" cy="37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249F0F-A17B-46C7-985E-BE2B00B9D614}" type="TxLink">
            <a:rPr lang="en-US" sz="1600" b="1" i="0" u="none" strike="noStrike">
              <a:solidFill>
                <a:schemeClr val="accent3">
                  <a:lumMod val="75000"/>
                </a:schemeClr>
              </a:solidFill>
              <a:latin typeface="Aptos Narrow"/>
            </a:rPr>
            <a:pPr algn="ctr"/>
            <a:t>32%</a:t>
          </a:fld>
          <a:endParaRPr lang="en-GB" sz="3600" b="1">
            <a:solidFill>
              <a:schemeClr val="accent3">
                <a:lumMod val="75000"/>
              </a:schemeClr>
            </a:solidFill>
          </a:endParaRPr>
        </a:p>
      </xdr:txBody>
    </xdr:sp>
    <xdr:clientData/>
  </xdr:twoCellAnchor>
  <xdr:twoCellAnchor editAs="absolute">
    <xdr:from>
      <xdr:col>3</xdr:col>
      <xdr:colOff>99482</xdr:colOff>
      <xdr:row>35</xdr:row>
      <xdr:rowOff>110068</xdr:rowOff>
    </xdr:from>
    <xdr:to>
      <xdr:col>4</xdr:col>
      <xdr:colOff>46567</xdr:colOff>
      <xdr:row>37</xdr:row>
      <xdr:rowOff>84667</xdr:rowOff>
    </xdr:to>
    <xdr:sp macro="" textlink="'Initial analysis'!N6">
      <xdr:nvSpPr>
        <xdr:cNvPr id="22" name="TextBox 21">
          <a:extLst>
            <a:ext uri="{FF2B5EF4-FFF2-40B4-BE49-F238E27FC236}">
              <a16:creationId xmlns:a16="http://schemas.microsoft.com/office/drawing/2014/main" id="{57411E47-1A29-5498-A601-267E81BC6243}"/>
            </a:ext>
          </a:extLst>
        </xdr:cNvPr>
        <xdr:cNvSpPr txBox="1"/>
      </xdr:nvSpPr>
      <xdr:spPr>
        <a:xfrm>
          <a:off x="1940982" y="6777568"/>
          <a:ext cx="560918" cy="355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F79CB4-6581-486B-87BB-8AE6064EA76B}" type="TxLink">
            <a:rPr lang="en-US" sz="1600" b="1" i="0" u="none" strike="noStrike">
              <a:solidFill>
                <a:srgbClr val="C00000"/>
              </a:solidFill>
              <a:latin typeface="Aptos Narrow"/>
            </a:rPr>
            <a:pPr algn="ctr"/>
            <a:t>35%</a:t>
          </a:fld>
          <a:endParaRPr lang="en-GB" sz="3600" b="1">
            <a:solidFill>
              <a:srgbClr val="C00000"/>
            </a:solidFill>
          </a:endParaRPr>
        </a:p>
      </xdr:txBody>
    </xdr:sp>
    <xdr:clientData/>
  </xdr:twoCellAnchor>
  <xdr:twoCellAnchor editAs="absolute">
    <xdr:from>
      <xdr:col>4</xdr:col>
      <xdr:colOff>241300</xdr:colOff>
      <xdr:row>35</xdr:row>
      <xdr:rowOff>103718</xdr:rowOff>
    </xdr:from>
    <xdr:to>
      <xdr:col>5</xdr:col>
      <xdr:colOff>188384</xdr:colOff>
      <xdr:row>37</xdr:row>
      <xdr:rowOff>84667</xdr:rowOff>
    </xdr:to>
    <xdr:sp macro="" textlink="'Initial analysis'!O6">
      <xdr:nvSpPr>
        <xdr:cNvPr id="23" name="TextBox 22">
          <a:extLst>
            <a:ext uri="{FF2B5EF4-FFF2-40B4-BE49-F238E27FC236}">
              <a16:creationId xmlns:a16="http://schemas.microsoft.com/office/drawing/2014/main" id="{36300A92-0D0D-9AD5-6581-34C334566715}"/>
            </a:ext>
          </a:extLst>
        </xdr:cNvPr>
        <xdr:cNvSpPr txBox="1"/>
      </xdr:nvSpPr>
      <xdr:spPr>
        <a:xfrm>
          <a:off x="2696633" y="6771218"/>
          <a:ext cx="560918" cy="3619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C9A674-B24A-482A-866B-F6374CACD32E}" type="TxLink">
            <a:rPr lang="en-US" sz="1600" b="1" i="0" u="none" strike="noStrike">
              <a:solidFill>
                <a:schemeClr val="tx1"/>
              </a:solidFill>
              <a:latin typeface="Aptos Narrow"/>
            </a:rPr>
            <a:pPr algn="ctr"/>
            <a:t>33%</a:t>
          </a:fld>
          <a:endParaRPr lang="en-GB" sz="3600" b="1">
            <a:solidFill>
              <a:schemeClr val="tx1"/>
            </a:solidFill>
          </a:endParaRPr>
        </a:p>
      </xdr:txBody>
    </xdr:sp>
    <xdr:clientData/>
  </xdr:twoCellAnchor>
  <xdr:twoCellAnchor editAs="absolute">
    <xdr:from>
      <xdr:col>14</xdr:col>
      <xdr:colOff>270168</xdr:colOff>
      <xdr:row>8</xdr:row>
      <xdr:rowOff>127000</xdr:rowOff>
    </xdr:from>
    <xdr:to>
      <xdr:col>21</xdr:col>
      <xdr:colOff>488156</xdr:colOff>
      <xdr:row>19</xdr:row>
      <xdr:rowOff>1049</xdr:rowOff>
    </xdr:to>
    <xdr:graphicFrame macro="">
      <xdr:nvGraphicFramePr>
        <xdr:cNvPr id="25" name="Chart 24">
          <a:extLst>
            <a:ext uri="{FF2B5EF4-FFF2-40B4-BE49-F238E27FC236}">
              <a16:creationId xmlns:a16="http://schemas.microsoft.com/office/drawing/2014/main" id="{43FCF040-FB72-4BB7-8E79-BDC297D42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442646</xdr:colOff>
      <xdr:row>29</xdr:row>
      <xdr:rowOff>23812</xdr:rowOff>
    </xdr:from>
    <xdr:to>
      <xdr:col>21</xdr:col>
      <xdr:colOff>500061</xdr:colOff>
      <xdr:row>39</xdr:row>
      <xdr:rowOff>71437</xdr:rowOff>
    </xdr:to>
    <xdr:graphicFrame macro="">
      <xdr:nvGraphicFramePr>
        <xdr:cNvPr id="26" name="Chart 25">
          <a:extLst>
            <a:ext uri="{FF2B5EF4-FFF2-40B4-BE49-F238E27FC236}">
              <a16:creationId xmlns:a16="http://schemas.microsoft.com/office/drawing/2014/main" id="{DC78507E-3D92-4220-B649-15FCF2046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448469</xdr:colOff>
      <xdr:row>19</xdr:row>
      <xdr:rowOff>95249</xdr:rowOff>
    </xdr:from>
    <xdr:to>
      <xdr:col>10</xdr:col>
      <xdr:colOff>600604</xdr:colOff>
      <xdr:row>28</xdr:row>
      <xdr:rowOff>107156</xdr:rowOff>
    </xdr:to>
    <xdr:graphicFrame macro="">
      <xdr:nvGraphicFramePr>
        <xdr:cNvPr id="27" name="Chart 26">
          <a:extLst>
            <a:ext uri="{FF2B5EF4-FFF2-40B4-BE49-F238E27FC236}">
              <a16:creationId xmlns:a16="http://schemas.microsoft.com/office/drawing/2014/main" id="{108B5AFD-2A99-49C7-A365-86ABBC70F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88104</xdr:colOff>
      <xdr:row>19</xdr:row>
      <xdr:rowOff>95250</xdr:rowOff>
    </xdr:from>
    <xdr:to>
      <xdr:col>16</xdr:col>
      <xdr:colOff>241610</xdr:colOff>
      <xdr:row>28</xdr:row>
      <xdr:rowOff>108750</xdr:rowOff>
    </xdr:to>
    <xdr:graphicFrame macro="">
      <xdr:nvGraphicFramePr>
        <xdr:cNvPr id="28" name="Chart 27">
          <a:extLst>
            <a:ext uri="{FF2B5EF4-FFF2-40B4-BE49-F238E27FC236}">
              <a16:creationId xmlns:a16="http://schemas.microsoft.com/office/drawing/2014/main" id="{8F178E39-60E8-4F08-8A5D-171E1FB31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16</xdr:col>
      <xdr:colOff>334167</xdr:colOff>
      <xdr:row>19</xdr:row>
      <xdr:rowOff>107156</xdr:rowOff>
    </xdr:from>
    <xdr:to>
      <xdr:col>21</xdr:col>
      <xdr:colOff>487673</xdr:colOff>
      <xdr:row>28</xdr:row>
      <xdr:rowOff>120656</xdr:rowOff>
    </xdr:to>
    <xdr:graphicFrame macro="">
      <xdr:nvGraphicFramePr>
        <xdr:cNvPr id="29" name="Chart 28">
          <a:extLst>
            <a:ext uri="{FF2B5EF4-FFF2-40B4-BE49-F238E27FC236}">
              <a16:creationId xmlns:a16="http://schemas.microsoft.com/office/drawing/2014/main" id="{416497FF-521B-48AF-B438-437AED305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391585</xdr:colOff>
      <xdr:row>0</xdr:row>
      <xdr:rowOff>175947</xdr:rowOff>
    </xdr:from>
    <xdr:to>
      <xdr:col>22</xdr:col>
      <xdr:colOff>40823</xdr:colOff>
      <xdr:row>8</xdr:row>
      <xdr:rowOff>35718</xdr:rowOff>
    </xdr:to>
    <xdr:sp macro="" textlink="">
      <xdr:nvSpPr>
        <xdr:cNvPr id="30" name="Rectangle 29">
          <a:extLst>
            <a:ext uri="{FF2B5EF4-FFF2-40B4-BE49-F238E27FC236}">
              <a16:creationId xmlns:a16="http://schemas.microsoft.com/office/drawing/2014/main" id="{167D4E4A-C4F8-BE5C-1D37-B0FEC0C837D0}"/>
            </a:ext>
          </a:extLst>
        </xdr:cNvPr>
        <xdr:cNvSpPr/>
      </xdr:nvSpPr>
      <xdr:spPr>
        <a:xfrm>
          <a:off x="998804" y="175947"/>
          <a:ext cx="12400832" cy="13837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800" b="1">
              <a:latin typeface="ADLaM Display" panose="02010000000000000000" pitchFamily="2" charset="0"/>
              <a:ea typeface="ADLaM Display" panose="02010000000000000000" pitchFamily="2" charset="0"/>
              <a:cs typeface="ADLaM Display" panose="02010000000000000000" pitchFamily="2" charset="0"/>
            </a:rPr>
            <a:t>ORDER FULFILMENT ANALYSIS</a:t>
          </a:r>
        </a:p>
      </xdr:txBody>
    </xdr:sp>
    <xdr:clientData/>
  </xdr:twoCellAnchor>
  <xdr:twoCellAnchor editAs="absolute">
    <xdr:from>
      <xdr:col>3</xdr:col>
      <xdr:colOff>452437</xdr:colOff>
      <xdr:row>10</xdr:row>
      <xdr:rowOff>95251</xdr:rowOff>
    </xdr:from>
    <xdr:to>
      <xdr:col>4</xdr:col>
      <xdr:colOff>428624</xdr:colOff>
      <xdr:row>13</xdr:row>
      <xdr:rowOff>107157</xdr:rowOff>
    </xdr:to>
    <xdr:pic>
      <xdr:nvPicPr>
        <xdr:cNvPr id="38" name="Picture 37">
          <a:extLst>
            <a:ext uri="{FF2B5EF4-FFF2-40B4-BE49-F238E27FC236}">
              <a16:creationId xmlns:a16="http://schemas.microsoft.com/office/drawing/2014/main" id="{3B2B5F9F-1C28-53D0-7A2F-CD2DA2A7AE3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74093" y="2000251"/>
          <a:ext cx="583406" cy="583406"/>
        </a:xfrm>
        <a:prstGeom prst="rect">
          <a:avLst/>
        </a:prstGeom>
      </xdr:spPr>
    </xdr:pic>
    <xdr:clientData/>
  </xdr:twoCellAnchor>
  <xdr:twoCellAnchor editAs="absolute">
    <xdr:from>
      <xdr:col>3</xdr:col>
      <xdr:colOff>369095</xdr:colOff>
      <xdr:row>16</xdr:row>
      <xdr:rowOff>95250</xdr:rowOff>
    </xdr:from>
    <xdr:to>
      <xdr:col>4</xdr:col>
      <xdr:colOff>345076</xdr:colOff>
      <xdr:row>19</xdr:row>
      <xdr:rowOff>106950</xdr:rowOff>
    </xdr:to>
    <xdr:pic>
      <xdr:nvPicPr>
        <xdr:cNvPr id="40" name="Picture 39">
          <a:extLst>
            <a:ext uri="{FF2B5EF4-FFF2-40B4-BE49-F238E27FC236}">
              <a16:creationId xmlns:a16="http://schemas.microsoft.com/office/drawing/2014/main" id="{FCB4D7EE-FEFD-783A-4158-69CF6BCA955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90751" y="3143250"/>
          <a:ext cx="583200" cy="583200"/>
        </a:xfrm>
        <a:prstGeom prst="rect">
          <a:avLst/>
        </a:prstGeom>
      </xdr:spPr>
    </xdr:pic>
    <xdr:clientData/>
  </xdr:twoCellAnchor>
  <xdr:twoCellAnchor editAs="absolute">
    <xdr:from>
      <xdr:col>3</xdr:col>
      <xdr:colOff>404813</xdr:colOff>
      <xdr:row>23</xdr:row>
      <xdr:rowOff>23812</xdr:rowOff>
    </xdr:from>
    <xdr:to>
      <xdr:col>4</xdr:col>
      <xdr:colOff>380794</xdr:colOff>
      <xdr:row>26</xdr:row>
      <xdr:rowOff>35512</xdr:rowOff>
    </xdr:to>
    <xdr:pic>
      <xdr:nvPicPr>
        <xdr:cNvPr id="42" name="Picture 41">
          <a:extLst>
            <a:ext uri="{FF2B5EF4-FFF2-40B4-BE49-F238E27FC236}">
              <a16:creationId xmlns:a16="http://schemas.microsoft.com/office/drawing/2014/main" id="{EC733E40-755D-F542-2453-8E28D228F16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226469" y="4405312"/>
          <a:ext cx="583200" cy="583200"/>
        </a:xfrm>
        <a:prstGeom prst="rect">
          <a:avLst/>
        </a:prstGeom>
      </xdr:spPr>
    </xdr:pic>
    <xdr:clientData/>
  </xdr:twoCellAnchor>
  <xdr:twoCellAnchor editAs="absolute">
    <xdr:from>
      <xdr:col>3</xdr:col>
      <xdr:colOff>404813</xdr:colOff>
      <xdr:row>29</xdr:row>
      <xdr:rowOff>47625</xdr:rowOff>
    </xdr:from>
    <xdr:to>
      <xdr:col>4</xdr:col>
      <xdr:colOff>380794</xdr:colOff>
      <xdr:row>32</xdr:row>
      <xdr:rowOff>59325</xdr:rowOff>
    </xdr:to>
    <xdr:pic>
      <xdr:nvPicPr>
        <xdr:cNvPr id="44" name="Picture 43">
          <a:extLst>
            <a:ext uri="{FF2B5EF4-FFF2-40B4-BE49-F238E27FC236}">
              <a16:creationId xmlns:a16="http://schemas.microsoft.com/office/drawing/2014/main" id="{FF59C80D-8415-8EB3-EB58-8B8A530F26F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26469" y="5572125"/>
          <a:ext cx="583200" cy="583200"/>
        </a:xfrm>
        <a:prstGeom prst="rect">
          <a:avLst/>
        </a:prstGeom>
      </xdr:spPr>
    </xdr:pic>
    <xdr:clientData/>
  </xdr:twoCellAnchor>
  <xdr:twoCellAnchor editAs="absolute">
    <xdr:from>
      <xdr:col>10</xdr:col>
      <xdr:colOff>547687</xdr:colOff>
      <xdr:row>2</xdr:row>
      <xdr:rowOff>95250</xdr:rowOff>
    </xdr:from>
    <xdr:to>
      <xdr:col>12</xdr:col>
      <xdr:colOff>59530</xdr:colOff>
      <xdr:row>6</xdr:row>
      <xdr:rowOff>59530</xdr:rowOff>
    </xdr:to>
    <xdr:pic>
      <xdr:nvPicPr>
        <xdr:cNvPr id="46" name="Picture 45">
          <a:extLst>
            <a:ext uri="{FF2B5EF4-FFF2-40B4-BE49-F238E27FC236}">
              <a16:creationId xmlns:a16="http://schemas.microsoft.com/office/drawing/2014/main" id="{B764CD18-53DE-B7F8-51F9-E06F2A0ADE4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619875" y="476250"/>
          <a:ext cx="726280" cy="726280"/>
        </a:xfrm>
        <a:prstGeom prst="rect">
          <a:avLst/>
        </a:prstGeom>
      </xdr:spPr>
    </xdr:pic>
    <xdr:clientData/>
  </xdr:twoCellAnchor>
  <xdr:twoCellAnchor editAs="absolute">
    <xdr:from>
      <xdr:col>14</xdr:col>
      <xdr:colOff>35717</xdr:colOff>
      <xdr:row>2</xdr:row>
      <xdr:rowOff>83345</xdr:rowOff>
    </xdr:from>
    <xdr:to>
      <xdr:col>15</xdr:col>
      <xdr:colOff>76213</xdr:colOff>
      <xdr:row>5</xdr:row>
      <xdr:rowOff>159559</xdr:rowOff>
    </xdr:to>
    <xdr:pic>
      <xdr:nvPicPr>
        <xdr:cNvPr id="50" name="Picture 49">
          <a:extLst>
            <a:ext uri="{FF2B5EF4-FFF2-40B4-BE49-F238E27FC236}">
              <a16:creationId xmlns:a16="http://schemas.microsoft.com/office/drawing/2014/main" id="{3C1CAB94-0CD5-989A-2E7B-95E06012F09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536780" y="464345"/>
          <a:ext cx="647714" cy="647714"/>
        </a:xfrm>
        <a:prstGeom prst="rect">
          <a:avLst/>
        </a:prstGeom>
      </xdr:spPr>
    </xdr:pic>
    <xdr:clientData/>
  </xdr:twoCellAnchor>
  <xdr:twoCellAnchor editAs="absolute">
    <xdr:from>
      <xdr:col>12</xdr:col>
      <xdr:colOff>333374</xdr:colOff>
      <xdr:row>3</xdr:row>
      <xdr:rowOff>178594</xdr:rowOff>
    </xdr:from>
    <xdr:to>
      <xdr:col>13</xdr:col>
      <xdr:colOff>392905</xdr:colOff>
      <xdr:row>4</xdr:row>
      <xdr:rowOff>166688</xdr:rowOff>
    </xdr:to>
    <xdr:sp macro="" textlink="">
      <xdr:nvSpPr>
        <xdr:cNvPr id="51" name="Arrow: Right 50">
          <a:extLst>
            <a:ext uri="{FF2B5EF4-FFF2-40B4-BE49-F238E27FC236}">
              <a16:creationId xmlns:a16="http://schemas.microsoft.com/office/drawing/2014/main" id="{9D53038A-55B5-9DAF-D722-A17EF604F585}"/>
            </a:ext>
          </a:extLst>
        </xdr:cNvPr>
        <xdr:cNvSpPr/>
      </xdr:nvSpPr>
      <xdr:spPr>
        <a:xfrm>
          <a:off x="7619999" y="750094"/>
          <a:ext cx="666750" cy="178594"/>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editAs="absolute">
    <xdr:from>
      <xdr:col>5</xdr:col>
      <xdr:colOff>462302</xdr:colOff>
      <xdr:row>8</xdr:row>
      <xdr:rowOff>127000</xdr:rowOff>
    </xdr:from>
    <xdr:to>
      <xdr:col>14</xdr:col>
      <xdr:colOff>190498</xdr:colOff>
      <xdr:row>18</xdr:row>
      <xdr:rowOff>178594</xdr:rowOff>
    </xdr:to>
    <xdr:graphicFrame macro="">
      <xdr:nvGraphicFramePr>
        <xdr:cNvPr id="3" name="Chart 2">
          <a:extLst>
            <a:ext uri="{FF2B5EF4-FFF2-40B4-BE49-F238E27FC236}">
              <a16:creationId xmlns:a16="http://schemas.microsoft.com/office/drawing/2014/main" id="{323F905C-A643-414E-9267-1B4572585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19</xdr:col>
      <xdr:colOff>11906</xdr:colOff>
      <xdr:row>1</xdr:row>
      <xdr:rowOff>142875</xdr:rowOff>
    </xdr:from>
    <xdr:to>
      <xdr:col>21</xdr:col>
      <xdr:colOff>564357</xdr:colOff>
      <xdr:row>6</xdr:row>
      <xdr:rowOff>152400</xdr:rowOff>
    </xdr:to>
    <mc:AlternateContent xmlns:mc="http://schemas.openxmlformats.org/markup-compatibility/2006">
      <mc:Choice xmlns:a14="http://schemas.microsoft.com/office/drawing/2010/main" Requires="a14">
        <xdr:graphicFrame macro="">
          <xdr:nvGraphicFramePr>
            <xdr:cNvPr id="4" name="Order Flag 1">
              <a:extLst>
                <a:ext uri="{FF2B5EF4-FFF2-40B4-BE49-F238E27FC236}">
                  <a16:creationId xmlns:a16="http://schemas.microsoft.com/office/drawing/2014/main" id="{5A5C548B-7485-447B-8830-DAFD18166F0E}"/>
                </a:ext>
              </a:extLst>
            </xdr:cNvPr>
            <xdr:cNvGraphicFramePr/>
          </xdr:nvGraphicFramePr>
          <xdr:xfrm>
            <a:off x="0" y="0"/>
            <a:ext cx="0" cy="0"/>
          </xdr:xfrm>
          <a:graphic>
            <a:graphicData uri="http://schemas.microsoft.com/office/drawing/2010/slicer">
              <sle:slicer xmlns:sle="http://schemas.microsoft.com/office/drawing/2010/slicer" name="Order Flag 1"/>
            </a:graphicData>
          </a:graphic>
        </xdr:graphicFrame>
      </mc:Choice>
      <mc:Fallback>
        <xdr:sp macro="" textlink="">
          <xdr:nvSpPr>
            <xdr:cNvPr id="0" name=""/>
            <xdr:cNvSpPr>
              <a:spLocks noTextEdit="1"/>
            </xdr:cNvSpPr>
          </xdr:nvSpPr>
          <xdr:spPr>
            <a:xfrm>
              <a:off x="11674739" y="333375"/>
              <a:ext cx="1780118"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511969</xdr:colOff>
      <xdr:row>1</xdr:row>
      <xdr:rowOff>35719</xdr:rowOff>
    </xdr:from>
    <xdr:to>
      <xdr:col>18</xdr:col>
      <xdr:colOff>154782</xdr:colOff>
      <xdr:row>7</xdr:row>
      <xdr:rowOff>166686</xdr:rowOff>
    </xdr:to>
    <mc:AlternateContent xmlns:mc="http://schemas.openxmlformats.org/markup-compatibility/2006">
      <mc:Choice xmlns:a14="http://schemas.microsoft.com/office/drawing/2010/main" Requires="a14">
        <xdr:graphicFrame macro="">
          <xdr:nvGraphicFramePr>
            <xdr:cNvPr id="5" name="Delivery Zone 1">
              <a:extLst>
                <a:ext uri="{FF2B5EF4-FFF2-40B4-BE49-F238E27FC236}">
                  <a16:creationId xmlns:a16="http://schemas.microsoft.com/office/drawing/2014/main" id="{CBD71F13-C850-4C78-ADB7-3CEDA9BBA553}"/>
                </a:ext>
              </a:extLst>
            </xdr:cNvPr>
            <xdr:cNvGraphicFramePr/>
          </xdr:nvGraphicFramePr>
          <xdr:xfrm>
            <a:off x="0" y="0"/>
            <a:ext cx="0" cy="0"/>
          </xdr:xfrm>
          <a:graphic>
            <a:graphicData uri="http://schemas.microsoft.com/office/drawing/2010/slicer">
              <sle:slicer xmlns:sle="http://schemas.microsoft.com/office/drawing/2010/slicer" name="Delivery Zone 1"/>
            </a:graphicData>
          </a:graphic>
        </xdr:graphicFrame>
      </mc:Choice>
      <mc:Fallback>
        <xdr:sp macro="" textlink="">
          <xdr:nvSpPr>
            <xdr:cNvPr id="0" name=""/>
            <xdr:cNvSpPr>
              <a:spLocks noTextEdit="1"/>
            </xdr:cNvSpPr>
          </xdr:nvSpPr>
          <xdr:spPr>
            <a:xfrm>
              <a:off x="9719469" y="226219"/>
              <a:ext cx="1484313" cy="12739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171449</xdr:colOff>
      <xdr:row>7</xdr:row>
      <xdr:rowOff>104775</xdr:rowOff>
    </xdr:from>
    <xdr:to>
      <xdr:col>8</xdr:col>
      <xdr:colOff>219074</xdr:colOff>
      <xdr:row>17</xdr:row>
      <xdr:rowOff>9525</xdr:rowOff>
    </xdr:to>
    <xdr:graphicFrame macro="">
      <xdr:nvGraphicFramePr>
        <xdr:cNvPr id="2" name="Chart 1">
          <a:extLst>
            <a:ext uri="{FF2B5EF4-FFF2-40B4-BE49-F238E27FC236}">
              <a16:creationId xmlns:a16="http://schemas.microsoft.com/office/drawing/2014/main" id="{695F3A20-F6FD-48C1-BEF4-F235F8C14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238126</xdr:colOff>
      <xdr:row>7</xdr:row>
      <xdr:rowOff>116681</xdr:rowOff>
    </xdr:from>
    <xdr:to>
      <xdr:col>17</xdr:col>
      <xdr:colOff>180977</xdr:colOff>
      <xdr:row>17</xdr:row>
      <xdr:rowOff>22481</xdr:rowOff>
    </xdr:to>
    <xdr:graphicFrame macro="">
      <xdr:nvGraphicFramePr>
        <xdr:cNvPr id="3" name="Chart 2">
          <a:extLst>
            <a:ext uri="{FF2B5EF4-FFF2-40B4-BE49-F238E27FC236}">
              <a16:creationId xmlns:a16="http://schemas.microsoft.com/office/drawing/2014/main" id="{74469D41-4D68-4624-802B-9D2FC172F6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18</xdr:col>
      <xdr:colOff>600076</xdr:colOff>
      <xdr:row>7</xdr:row>
      <xdr:rowOff>111918</xdr:rowOff>
    </xdr:from>
    <xdr:to>
      <xdr:col>25</xdr:col>
      <xdr:colOff>450058</xdr:colOff>
      <xdr:row>16</xdr:row>
      <xdr:rowOff>123825</xdr:rowOff>
    </xdr:to>
    <xdr:graphicFrame macro="">
      <xdr:nvGraphicFramePr>
        <xdr:cNvPr id="4" name="Chart 3">
          <a:extLst>
            <a:ext uri="{FF2B5EF4-FFF2-40B4-BE49-F238E27FC236}">
              <a16:creationId xmlns:a16="http://schemas.microsoft.com/office/drawing/2014/main" id="{4E6E33D2-A97F-404C-A4D0-10AE19562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17</xdr:row>
      <xdr:rowOff>19050</xdr:rowOff>
    </xdr:from>
    <xdr:to>
      <xdr:col>8</xdr:col>
      <xdr:colOff>247650</xdr:colOff>
      <xdr:row>40</xdr:row>
      <xdr:rowOff>114300</xdr:rowOff>
    </xdr:to>
    <xdr:sp macro="" textlink="">
      <xdr:nvSpPr>
        <xdr:cNvPr id="5" name="TextBox 4">
          <a:extLst>
            <a:ext uri="{FF2B5EF4-FFF2-40B4-BE49-F238E27FC236}">
              <a16:creationId xmlns:a16="http://schemas.microsoft.com/office/drawing/2014/main" id="{F2C6E32D-C8D6-2393-3BF9-AC118C92C652}"/>
            </a:ext>
          </a:extLst>
        </xdr:cNvPr>
        <xdr:cNvSpPr txBox="1"/>
      </xdr:nvSpPr>
      <xdr:spPr>
        <a:xfrm>
          <a:off x="152400" y="3257550"/>
          <a:ext cx="4972050" cy="447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accent1"/>
              </a:solidFill>
            </a:rPr>
            <a:t>Backlogs are unevenly distributed across zones, with a clear concentration in Zone 2 (36.38%) and Zone 1 (34.03%). Zone 3 accounts for a smaller but still significant share (29.60%).</a:t>
          </a:r>
        </a:p>
        <a:p>
          <a:endParaRPr lang="en-GB" sz="1100"/>
        </a:p>
        <a:p>
          <a:r>
            <a:rPr lang="en-GB" sz="1400" b="1">
              <a:solidFill>
                <a:schemeClr val="accent1"/>
              </a:solidFill>
            </a:rPr>
            <a:t>The relatively close percentages across zones suggest system-wide strain rather than a single failing area. However, Zone 2 emerges as the primary pressure point, likely due to higher order density, longer delivery distances, or suboptimal resource allocation. </a:t>
          </a:r>
        </a:p>
        <a:p>
          <a:endParaRPr lang="en-GB" sz="1400" b="1">
            <a:solidFill>
              <a:schemeClr val="accent1"/>
            </a:solidFill>
          </a:endParaRPr>
        </a:p>
        <a:p>
          <a:pPr algn="ctr"/>
          <a:r>
            <a:rPr lang="en-GB" sz="1800" b="1" u="sng">
              <a:solidFill>
                <a:schemeClr val="accent1"/>
              </a:solidFill>
            </a:rPr>
            <a:t>Recommendation</a:t>
          </a:r>
        </a:p>
        <a:p>
          <a:r>
            <a:rPr lang="en-GB" sz="1400" b="1">
              <a:solidFill>
                <a:schemeClr val="accent1"/>
              </a:solidFill>
            </a:rPr>
            <a:t>Reallocate delivery capacity dynamically toward Zone 2, followed by Zone 1, during peak periods.</a:t>
          </a:r>
        </a:p>
        <a:p>
          <a:r>
            <a:rPr lang="en-GB" sz="1400" b="1">
              <a:solidFill>
                <a:schemeClr val="accent1"/>
              </a:solidFill>
            </a:rPr>
            <a:t>Introduce zone-level backlog thresholds that trigger automatic capacity reallocation when exceeded.</a:t>
          </a:r>
        </a:p>
        <a:p>
          <a:endParaRPr lang="en-GB" sz="1400" b="1">
            <a:solidFill>
              <a:schemeClr val="accent1"/>
            </a:solidFill>
          </a:endParaRPr>
        </a:p>
        <a:p>
          <a:pPr algn="ctr"/>
          <a:r>
            <a:rPr lang="en-GB" sz="1800" b="1" u="sng">
              <a:solidFill>
                <a:srgbClr val="C00000"/>
              </a:solidFill>
            </a:rPr>
            <a:t>Expected impact</a:t>
          </a:r>
          <a:br>
            <a:rPr lang="en-GB" sz="1400" b="1">
              <a:solidFill>
                <a:schemeClr val="accent1"/>
              </a:solidFill>
            </a:rPr>
          </a:br>
          <a:r>
            <a:rPr lang="en-GB" sz="1400" b="1">
              <a:solidFill>
                <a:srgbClr val="C00000"/>
              </a:solidFill>
            </a:rPr>
            <a:t>Reduction in geographic backlog concentration and faster clearance in the most strained zones.</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1">
            <a:solidFill>
              <a:schemeClr val="accent1"/>
            </a:solidFill>
          </a:endParaRPr>
        </a:p>
        <a:p>
          <a:endParaRPr lang="en-GB" sz="1100"/>
        </a:p>
      </xdr:txBody>
    </xdr:sp>
    <xdr:clientData/>
  </xdr:twoCellAnchor>
  <xdr:twoCellAnchor>
    <xdr:from>
      <xdr:col>10</xdr:col>
      <xdr:colOff>276225</xdr:colOff>
      <xdr:row>17</xdr:row>
      <xdr:rowOff>57149</xdr:rowOff>
    </xdr:from>
    <xdr:to>
      <xdr:col>17</xdr:col>
      <xdr:colOff>200025</xdr:colOff>
      <xdr:row>41</xdr:row>
      <xdr:rowOff>19050</xdr:rowOff>
    </xdr:to>
    <xdr:sp macro="" textlink="">
      <xdr:nvSpPr>
        <xdr:cNvPr id="6" name="TextBox 5">
          <a:extLst>
            <a:ext uri="{FF2B5EF4-FFF2-40B4-BE49-F238E27FC236}">
              <a16:creationId xmlns:a16="http://schemas.microsoft.com/office/drawing/2014/main" id="{C4A70440-D084-2A5C-A335-C78346538191}"/>
            </a:ext>
          </a:extLst>
        </xdr:cNvPr>
        <xdr:cNvSpPr txBox="1"/>
      </xdr:nvSpPr>
      <xdr:spPr>
        <a:xfrm>
          <a:off x="6981825" y="3295649"/>
          <a:ext cx="4191000" cy="4533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accent1"/>
              </a:solidFill>
            </a:rPr>
            <a:t>Routes 5 and 2 each contribute approximately 21% of total backlogs, followed by Route 1 at 19%. Routes 3 and 4 contribute the least at 18% each</a:t>
          </a:r>
          <a:r>
            <a:rPr lang="en-GB"/>
            <a:t>.</a:t>
          </a:r>
        </a:p>
        <a:p>
          <a:endParaRPr lang="en-GB" sz="1100"/>
        </a:p>
        <a:p>
          <a:r>
            <a:rPr lang="en-GB" sz="1400" b="1">
              <a:solidFill>
                <a:schemeClr val="accent1"/>
              </a:solidFill>
            </a:rPr>
            <a:t>High-volume routes are directly correlated with backlog accumulation. The marginal difference between routes indicates that congestion and scheduling inefficiencies</a:t>
          </a:r>
          <a:r>
            <a:rPr lang="en-GB" sz="1400" b="1" baseline="0">
              <a:solidFill>
                <a:schemeClr val="accent1"/>
              </a:solidFill>
            </a:rPr>
            <a:t> </a:t>
          </a:r>
          <a:r>
            <a:rPr lang="en-GB" sz="1400" b="1">
              <a:solidFill>
                <a:schemeClr val="accent1"/>
              </a:solidFill>
            </a:rPr>
            <a:t>rather than route design alone</a:t>
          </a:r>
          <a:r>
            <a:rPr lang="en-GB" sz="1400" b="1" baseline="0">
              <a:solidFill>
                <a:schemeClr val="accent1"/>
              </a:solidFill>
            </a:rPr>
            <a:t> </a:t>
          </a:r>
          <a:r>
            <a:rPr lang="en-GB" sz="1400" b="1">
              <a:solidFill>
                <a:schemeClr val="accent1"/>
              </a:solidFill>
            </a:rPr>
            <a:t>are driving delays.</a:t>
          </a:r>
        </a:p>
        <a:p>
          <a:endParaRPr lang="en-GB" sz="1400" b="1">
            <a:solidFill>
              <a:schemeClr val="accent1"/>
            </a:solidFill>
          </a:endParaRPr>
        </a:p>
        <a:p>
          <a:pPr algn="ctr"/>
          <a:r>
            <a:rPr lang="en-GB" sz="1800" b="1" u="sng">
              <a:solidFill>
                <a:schemeClr val="accent1"/>
              </a:solidFill>
            </a:rPr>
            <a:t>Recommendation</a:t>
          </a:r>
        </a:p>
        <a:p>
          <a:r>
            <a:rPr lang="en-GB" sz="1400" b="1">
              <a:solidFill>
                <a:schemeClr val="accent1"/>
              </a:solidFill>
            </a:rPr>
            <a:t>Conduct route audits on Routes 5 and 2 to identify bottlenecks such as congestion points, stop density, or unrealistic delivery windows.</a:t>
          </a:r>
        </a:p>
        <a:p>
          <a:r>
            <a:rPr lang="en-GB" sz="1400" b="1">
              <a:solidFill>
                <a:schemeClr val="accent1"/>
              </a:solidFill>
            </a:rPr>
            <a:t>Introduce staggered dispatch times for high-volume routes to reduce clustering of orders.</a:t>
          </a:r>
        </a:p>
        <a:p>
          <a:endParaRPr lang="en-GB" sz="1400" b="1">
            <a:solidFill>
              <a:schemeClr val="accent1"/>
            </a:solidFill>
          </a:endParaRPr>
        </a:p>
        <a:p>
          <a:pPr algn="ctr"/>
          <a:r>
            <a:rPr lang="en-GB" sz="1800" b="1" u="sng">
              <a:solidFill>
                <a:srgbClr val="C00000"/>
              </a:solidFill>
            </a:rPr>
            <a:t>Expected impact</a:t>
          </a:r>
          <a:br>
            <a:rPr lang="en-GB" sz="1400" b="1">
              <a:solidFill>
                <a:srgbClr val="C00000"/>
              </a:solidFill>
            </a:rPr>
          </a:br>
          <a:r>
            <a:rPr lang="en-GB" sz="1400" b="1">
              <a:solidFill>
                <a:srgbClr val="C00000"/>
              </a:solidFill>
            </a:rPr>
            <a:t>Improved flow on critical routes and reduced congestion-driven delays.</a:t>
          </a:r>
        </a:p>
        <a:p>
          <a:endParaRPr lang="en-GB" sz="1400" b="1">
            <a:solidFill>
              <a:schemeClr val="accent1"/>
            </a:solidFill>
          </a:endParaRPr>
        </a:p>
      </xdr:txBody>
    </xdr:sp>
    <xdr:clientData/>
  </xdr:twoCellAnchor>
  <xdr:twoCellAnchor>
    <xdr:from>
      <xdr:col>19</xdr:col>
      <xdr:colOff>19050</xdr:colOff>
      <xdr:row>16</xdr:row>
      <xdr:rowOff>152401</xdr:rowOff>
    </xdr:from>
    <xdr:to>
      <xdr:col>25</xdr:col>
      <xdr:colOff>495300</xdr:colOff>
      <xdr:row>41</xdr:row>
      <xdr:rowOff>38101</xdr:rowOff>
    </xdr:to>
    <xdr:sp macro="" textlink="">
      <xdr:nvSpPr>
        <xdr:cNvPr id="7" name="TextBox 6">
          <a:extLst>
            <a:ext uri="{FF2B5EF4-FFF2-40B4-BE49-F238E27FC236}">
              <a16:creationId xmlns:a16="http://schemas.microsoft.com/office/drawing/2014/main" id="{D858860C-0424-D6E5-61D2-47F6DD3A5A8E}"/>
            </a:ext>
          </a:extLst>
        </xdr:cNvPr>
        <xdr:cNvSpPr txBox="1"/>
      </xdr:nvSpPr>
      <xdr:spPr>
        <a:xfrm>
          <a:off x="12211050" y="3200401"/>
          <a:ext cx="4133850" cy="464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accent1"/>
              </a:solidFill>
            </a:rPr>
            <a:t>Vans contribute the highest share of backlogs, suggesting potential issues such as over-assignment, capacity mismatches, or inefficient routing. </a:t>
          </a:r>
        </a:p>
        <a:p>
          <a:endParaRPr lang="en-GB" sz="1400" b="1">
            <a:solidFill>
              <a:schemeClr val="accent1"/>
            </a:solidFill>
          </a:endParaRPr>
        </a:p>
        <a:p>
          <a:r>
            <a:rPr lang="en-GB" sz="1400" b="1">
              <a:solidFill>
                <a:schemeClr val="accent1"/>
              </a:solidFill>
            </a:rPr>
            <a:t>Bikes and trucks follow closely, indicating that backlog creation is not limited to a single vehicle type but reflects broader fleet-management challenges.</a:t>
          </a:r>
        </a:p>
        <a:p>
          <a:endParaRPr lang="en-GB" sz="1400" b="1">
            <a:solidFill>
              <a:schemeClr val="accent1"/>
            </a:solidFill>
          </a:endParaRPr>
        </a:p>
        <a:p>
          <a:pPr algn="ctr"/>
          <a:r>
            <a:rPr lang="en-GB" sz="1800" b="1" u="sng">
              <a:solidFill>
                <a:schemeClr val="accent1"/>
              </a:solidFill>
            </a:rPr>
            <a:t>Recommendation</a:t>
          </a:r>
        </a:p>
        <a:p>
          <a:r>
            <a:rPr lang="en-GB" sz="1400" b="1">
              <a:solidFill>
                <a:schemeClr val="accent1"/>
              </a:solidFill>
            </a:rPr>
            <a:t>Reassign high-density, short-distance deliveries from vans</a:t>
          </a:r>
          <a:r>
            <a:rPr lang="en-GB" sz="1400" b="1" u="none">
              <a:solidFill>
                <a:schemeClr val="accent1"/>
              </a:solidFill>
            </a:rPr>
            <a:t> to </a:t>
          </a:r>
          <a:r>
            <a:rPr lang="en-GB" sz="1400" b="1">
              <a:solidFill>
                <a:schemeClr val="accent1"/>
              </a:solidFill>
            </a:rPr>
            <a:t>bikes where feasible.</a:t>
          </a:r>
        </a:p>
        <a:p>
          <a:r>
            <a:rPr lang="en-GB" sz="1400" b="1">
              <a:solidFill>
                <a:schemeClr val="accent1"/>
              </a:solidFill>
            </a:rPr>
            <a:t>Reserve vans for medium-distance, multi-stop deliveries and trucks for bulk or long-haul routes.</a:t>
          </a:r>
        </a:p>
        <a:p>
          <a:r>
            <a:rPr lang="en-GB" sz="1400" b="1">
              <a:solidFill>
                <a:schemeClr val="accent1"/>
              </a:solidFill>
            </a:rPr>
            <a:t>Introduce vehicle-type performance KPIs (backlog per vehicle type, delay per vehicle type).</a:t>
          </a:r>
        </a:p>
        <a:p>
          <a:endParaRPr lang="en-GB" sz="1400"/>
        </a:p>
        <a:p>
          <a:pPr algn="ctr"/>
          <a:r>
            <a:rPr lang="en-GB" sz="1800" b="1" u="sng">
              <a:solidFill>
                <a:srgbClr val="C00000"/>
              </a:solidFill>
            </a:rPr>
            <a:t>Expected impact</a:t>
          </a:r>
          <a:br>
            <a:rPr lang="en-GB" sz="1400"/>
          </a:br>
          <a:r>
            <a:rPr lang="en-GB" sz="1400" b="1">
              <a:solidFill>
                <a:srgbClr val="C00000"/>
              </a:solidFill>
            </a:rPr>
            <a:t>Better vehicle-to-task fit, reduced idle time, and improved delivery efficiency.</a:t>
          </a:r>
        </a:p>
        <a:p>
          <a:endParaRPr lang="en-GB" sz="1400" b="1">
            <a:solidFill>
              <a:schemeClr val="accent1"/>
            </a:solidFill>
          </a:endParaRPr>
        </a:p>
      </xdr:txBody>
    </xdr:sp>
    <xdr:clientData/>
  </xdr:twoCellAnchor>
  <xdr:twoCellAnchor>
    <xdr:from>
      <xdr:col>6</xdr:col>
      <xdr:colOff>476250</xdr:colOff>
      <xdr:row>1</xdr:row>
      <xdr:rowOff>0</xdr:rowOff>
    </xdr:from>
    <xdr:to>
      <xdr:col>21</xdr:col>
      <xdr:colOff>535781</xdr:colOff>
      <xdr:row>5</xdr:row>
      <xdr:rowOff>104775</xdr:rowOff>
    </xdr:to>
    <xdr:sp macro="" textlink="">
      <xdr:nvSpPr>
        <xdr:cNvPr id="8" name="TextBox 7">
          <a:extLst>
            <a:ext uri="{FF2B5EF4-FFF2-40B4-BE49-F238E27FC236}">
              <a16:creationId xmlns:a16="http://schemas.microsoft.com/office/drawing/2014/main" id="{816BFC71-7212-90BF-2FD5-007895643018}"/>
            </a:ext>
          </a:extLst>
        </xdr:cNvPr>
        <xdr:cNvSpPr txBox="1"/>
      </xdr:nvSpPr>
      <xdr:spPr>
        <a:xfrm>
          <a:off x="4119563" y="190500"/>
          <a:ext cx="8905874" cy="8667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800">
              <a:solidFill>
                <a:schemeClr val="accent2">
                  <a:lumMod val="50000"/>
                </a:schemeClr>
              </a:solidFill>
              <a:latin typeface="Algerian" panose="04020705040A02060702" pitchFamily="82" charset="0"/>
            </a:rPr>
            <a:t>BACKLOG</a:t>
          </a:r>
          <a:r>
            <a:rPr lang="en-GB" sz="4800" baseline="0">
              <a:solidFill>
                <a:schemeClr val="accent2">
                  <a:lumMod val="50000"/>
                </a:schemeClr>
              </a:solidFill>
              <a:latin typeface="Algerian" panose="04020705040A02060702" pitchFamily="82" charset="0"/>
            </a:rPr>
            <a:t> INSIGHTS</a:t>
          </a:r>
          <a:endParaRPr lang="en-GB" sz="4800">
            <a:solidFill>
              <a:schemeClr val="accent2">
                <a:lumMod val="50000"/>
              </a:schemeClr>
            </a:solidFill>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3.850532986115" createdVersion="8" refreshedVersion="8" minRefreshableVersion="3" recordCount="1500" xr:uid="{4ADC89EF-7461-4BE4-9786-AD6EB9CB31E2}">
  <cacheSource type="worksheet">
    <worksheetSource name="Delivery_data"/>
  </cacheSource>
  <cacheFields count="19">
    <cacheField name="Order ID" numFmtId="0">
      <sharedItems/>
    </cacheField>
    <cacheField name="Delivery Address" numFmtId="0">
      <sharedItems/>
    </cacheField>
    <cacheField name="Order date" numFmtId="14">
      <sharedItems containsSemiMixedTypes="0" containsNonDate="0" containsDate="1" containsString="0" minDate="2023-09-01T00:00:00" maxDate="2023-09-09T00:00:00"/>
    </cacheField>
    <cacheField name="Month" numFmtId="14">
      <sharedItems/>
    </cacheField>
    <cacheField name="Day" numFmtId="14">
      <sharedItems count="7">
        <s v="Sunday"/>
        <s v="Monday"/>
        <s v="Thursday"/>
        <s v="Friday"/>
        <s v="Saturday"/>
        <s v="Wednesday"/>
        <s v="Tuesday"/>
      </sharedItems>
    </cacheField>
    <cacheField name="Order time" numFmtId="164">
      <sharedItems containsSemiMixedTypes="0" containsNonDate="0" containsDate="1" containsString="0" minDate="1899-12-30T08:00:00" maxDate="1899-12-30T16:59:00"/>
    </cacheField>
    <cacheField name="Order Status" numFmtId="0">
      <sharedItems count="2">
        <s v="In Progress"/>
        <s v="Completed"/>
      </sharedItems>
    </cacheField>
    <cacheField name="Order Flag" numFmtId="0">
      <sharedItems count="2">
        <s v="Backlog"/>
        <s v="Complete"/>
      </sharedItems>
    </cacheField>
    <cacheField name="Driver ID" numFmtId="0">
      <sharedItems/>
    </cacheField>
    <cacheField name="Vehicle" numFmtId="0">
      <sharedItems count="3">
        <s v="Van"/>
        <s v="Bike"/>
        <s v="Truck"/>
      </sharedItems>
    </cacheField>
    <cacheField name="Current Location" numFmtId="0">
      <sharedItems/>
    </cacheField>
    <cacheField name="Delivery Time (min)" numFmtId="0">
      <sharedItems containsSemiMixedTypes="0" containsString="0" containsNumber="1" containsInteger="1" minValue="60" maxValue="239"/>
    </cacheField>
    <cacheField name="Delays (min)" numFmtId="0">
      <sharedItems containsSemiMixedTypes="0" containsString="0" containsNumber="1" containsInteger="1" minValue="0" maxValue="29"/>
    </cacheField>
    <cacheField name="Customer Feedback" numFmtId="0">
      <sharedItems count="3">
        <s v="Neutral"/>
        <s v="Positive"/>
        <s v="Negative"/>
      </sharedItems>
    </cacheField>
    <cacheField name="Backlog flag" numFmtId="0">
      <sharedItems count="3">
        <s v="Backlog"/>
        <s v="Complete"/>
        <s v="Completed" u="1"/>
      </sharedItems>
    </cacheField>
    <cacheField name="Route" numFmtId="0">
      <sharedItems count="5">
        <s v="Route5"/>
        <s v="Route4"/>
        <s v="Route3"/>
        <s v="Route2"/>
        <s v="Route1"/>
      </sharedItems>
    </cacheField>
    <cacheField name="Delivery Zone" numFmtId="0">
      <sharedItems count="3">
        <s v="Zone3"/>
        <s v="Zone1"/>
        <s v="Zone2"/>
      </sharedItems>
    </cacheField>
    <cacheField name="Allocation Rules" numFmtId="0">
      <sharedItems count="3">
        <s v="Custom Rules"/>
        <s v="Standard Rules"/>
        <s v="Expedited Rules"/>
      </sharedItems>
    </cacheField>
    <cacheField name="Timestamp for Tracking" numFmtId="164">
      <sharedItems containsSemiMixedTypes="0" containsNonDate="0" containsDate="1" containsString="0" minDate="1899-12-30T08:03:00" maxDate="1899-12-30T17:56:00"/>
    </cacheField>
  </cacheFields>
  <extLst>
    <ext xmlns:x14="http://schemas.microsoft.com/office/spreadsheetml/2009/9/main" uri="{725AE2AE-9491-48be-B2B4-4EB974FC3084}">
      <x14:pivotCacheDefinition pivotCacheId="2115102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1011"/>
    <s v="718 Pine St, Cityd"/>
    <d v="2023-09-03T00:00:00"/>
    <s v="September"/>
    <x v="0"/>
    <d v="1899-12-30T10:17:00"/>
    <x v="0"/>
    <x v="0"/>
    <s v="D1"/>
    <x v="0"/>
    <s v="City B"/>
    <n v="203"/>
    <n v="24"/>
    <x v="0"/>
    <x v="0"/>
    <x v="0"/>
    <x v="0"/>
    <x v="0"/>
    <d v="1899-12-30T17:00:00"/>
  </r>
  <r>
    <s v="1048"/>
    <s v="145 Elm St, Cityd"/>
    <d v="2023-09-04T00:00:00"/>
    <s v="September"/>
    <x v="1"/>
    <d v="1899-12-30T13:39:00"/>
    <x v="0"/>
    <x v="0"/>
    <s v="D1"/>
    <x v="0"/>
    <s v="City B"/>
    <n v="173"/>
    <n v="8"/>
    <x v="1"/>
    <x v="0"/>
    <x v="1"/>
    <x v="0"/>
    <x v="0"/>
    <d v="1899-12-30T11:11:00"/>
  </r>
  <r>
    <s v="1091"/>
    <s v="707 Main St, Cityd"/>
    <d v="2023-09-07T00:00:00"/>
    <s v="September"/>
    <x v="2"/>
    <d v="1899-12-30T12:41:00"/>
    <x v="0"/>
    <x v="0"/>
    <s v="D1"/>
    <x v="0"/>
    <s v="City C"/>
    <n v="125"/>
    <n v="4"/>
    <x v="0"/>
    <x v="0"/>
    <x v="2"/>
    <x v="0"/>
    <x v="0"/>
    <d v="1899-12-30T13:46:00"/>
  </r>
  <r>
    <s v="1201"/>
    <s v="100 Main St, Cityb"/>
    <d v="2023-09-08T00:00:00"/>
    <s v="September"/>
    <x v="3"/>
    <d v="1899-12-30T10:49:00"/>
    <x v="0"/>
    <x v="0"/>
    <s v="D1"/>
    <x v="0"/>
    <s v="City D"/>
    <n v="67"/>
    <n v="16"/>
    <x v="2"/>
    <x v="0"/>
    <x v="2"/>
    <x v="1"/>
    <x v="1"/>
    <d v="1899-12-30T10:58:00"/>
  </r>
  <r>
    <s v="1378"/>
    <s v="538 Pine St, Cityd"/>
    <d v="2023-09-02T00:00:00"/>
    <s v="September"/>
    <x v="4"/>
    <d v="1899-12-30T09:17:00"/>
    <x v="1"/>
    <x v="1"/>
    <s v="D1"/>
    <x v="1"/>
    <s v="City A"/>
    <n v="134"/>
    <n v="16"/>
    <x v="1"/>
    <x v="1"/>
    <x v="1"/>
    <x v="2"/>
    <x v="2"/>
    <d v="1899-12-30T16:27:00"/>
  </r>
  <r>
    <s v="1567"/>
    <s v="538 Oak St, Citye"/>
    <d v="2023-09-06T00:00:00"/>
    <s v="September"/>
    <x v="5"/>
    <d v="1899-12-30T13:21:00"/>
    <x v="1"/>
    <x v="1"/>
    <s v="D1"/>
    <x v="1"/>
    <s v="City E"/>
    <n v="168"/>
    <n v="19"/>
    <x v="2"/>
    <x v="1"/>
    <x v="3"/>
    <x v="0"/>
    <x v="0"/>
    <d v="1899-12-30T15:36:00"/>
  </r>
  <r>
    <s v="1571"/>
    <s v="821 Elm St, Cityb"/>
    <d v="2023-09-03T00:00:00"/>
    <s v="September"/>
    <x v="0"/>
    <d v="1899-12-30T14:38:00"/>
    <x v="1"/>
    <x v="1"/>
    <s v="D1"/>
    <x v="1"/>
    <s v="City B"/>
    <n v="208"/>
    <n v="7"/>
    <x v="1"/>
    <x v="1"/>
    <x v="4"/>
    <x v="2"/>
    <x v="2"/>
    <d v="1899-12-30T15:50:00"/>
  </r>
  <r>
    <s v="1588"/>
    <s v="911 Pine St, Cityb"/>
    <d v="2023-09-01T00:00:00"/>
    <s v="September"/>
    <x v="3"/>
    <d v="1899-12-30T14:17:00"/>
    <x v="1"/>
    <x v="1"/>
    <s v="D1"/>
    <x v="2"/>
    <s v="City C"/>
    <n v="236"/>
    <n v="9"/>
    <x v="2"/>
    <x v="1"/>
    <x v="3"/>
    <x v="2"/>
    <x v="1"/>
    <d v="1899-12-30T10:06:00"/>
  </r>
  <r>
    <s v="1589"/>
    <s v="248 Cedar St, Citye"/>
    <d v="2023-09-04T00:00:00"/>
    <s v="September"/>
    <x v="1"/>
    <d v="1899-12-30T15:10:00"/>
    <x v="1"/>
    <x v="1"/>
    <s v="D1"/>
    <x v="2"/>
    <s v="City D"/>
    <n v="149"/>
    <n v="5"/>
    <x v="1"/>
    <x v="1"/>
    <x v="3"/>
    <x v="2"/>
    <x v="1"/>
    <d v="1899-12-30T15:55:00"/>
  </r>
  <r>
    <s v="1601"/>
    <s v="677 Cedar St, Cityb"/>
    <d v="2023-09-01T00:00:00"/>
    <s v="September"/>
    <x v="3"/>
    <d v="1899-12-30T16:41:00"/>
    <x v="0"/>
    <x v="0"/>
    <s v="D1"/>
    <x v="0"/>
    <s v="City E"/>
    <n v="72"/>
    <n v="16"/>
    <x v="0"/>
    <x v="0"/>
    <x v="4"/>
    <x v="2"/>
    <x v="0"/>
    <d v="1899-12-30T17:14:00"/>
  </r>
  <r>
    <s v="1736"/>
    <s v="806 Cedar St, Citye"/>
    <d v="2023-09-08T00:00:00"/>
    <s v="September"/>
    <x v="3"/>
    <d v="1899-12-30T12:29:00"/>
    <x v="0"/>
    <x v="0"/>
    <s v="D1"/>
    <x v="0"/>
    <s v="City B"/>
    <n v="100"/>
    <n v="26"/>
    <x v="0"/>
    <x v="0"/>
    <x v="3"/>
    <x v="1"/>
    <x v="1"/>
    <d v="1899-12-30T15:11:00"/>
  </r>
  <r>
    <s v="1864"/>
    <s v="953 Cedar St, Citye"/>
    <d v="2023-09-06T00:00:00"/>
    <s v="September"/>
    <x v="5"/>
    <d v="1899-12-30T12:49:00"/>
    <x v="1"/>
    <x v="1"/>
    <s v="D1"/>
    <x v="1"/>
    <s v="City E"/>
    <n v="96"/>
    <n v="28"/>
    <x v="2"/>
    <x v="1"/>
    <x v="3"/>
    <x v="0"/>
    <x v="0"/>
    <d v="1899-12-30T15:36:00"/>
  </r>
  <r>
    <s v="1897"/>
    <s v="937 Cedar St, Citye"/>
    <d v="2023-09-05T00:00:00"/>
    <s v="September"/>
    <x v="6"/>
    <d v="1899-12-30T08:38:00"/>
    <x v="0"/>
    <x v="0"/>
    <s v="D1"/>
    <x v="2"/>
    <s v="City B"/>
    <n v="183"/>
    <n v="6"/>
    <x v="0"/>
    <x v="0"/>
    <x v="3"/>
    <x v="2"/>
    <x v="1"/>
    <d v="1899-12-30T11:38:00"/>
  </r>
  <r>
    <s v="1995"/>
    <s v="84 Oak St, Cityb"/>
    <d v="2023-09-01T00:00:00"/>
    <s v="September"/>
    <x v="3"/>
    <d v="1899-12-30T13:53:00"/>
    <x v="0"/>
    <x v="0"/>
    <s v="D1"/>
    <x v="1"/>
    <s v="City C"/>
    <n v="172"/>
    <n v="29"/>
    <x v="0"/>
    <x v="0"/>
    <x v="3"/>
    <x v="2"/>
    <x v="2"/>
    <d v="1899-12-30T10:28:00"/>
  </r>
  <r>
    <s v="2049"/>
    <s v="394 Elm St, Citye"/>
    <d v="2023-09-07T00:00:00"/>
    <s v="September"/>
    <x v="2"/>
    <d v="1899-12-30T11:18:00"/>
    <x v="1"/>
    <x v="1"/>
    <s v="D1"/>
    <x v="0"/>
    <s v="City E"/>
    <n v="100"/>
    <n v="12"/>
    <x v="1"/>
    <x v="1"/>
    <x v="1"/>
    <x v="2"/>
    <x v="2"/>
    <d v="1899-12-30T16:49:00"/>
  </r>
  <r>
    <s v="2145"/>
    <s v="848 Elm St, Citya"/>
    <d v="2023-09-07T00:00:00"/>
    <s v="September"/>
    <x v="2"/>
    <d v="1899-12-30T13:44:00"/>
    <x v="1"/>
    <x v="1"/>
    <s v="D1"/>
    <x v="2"/>
    <s v="City C"/>
    <n v="115"/>
    <n v="16"/>
    <x v="0"/>
    <x v="1"/>
    <x v="4"/>
    <x v="1"/>
    <x v="2"/>
    <d v="1899-12-30T14:23:00"/>
  </r>
  <r>
    <s v="2192"/>
    <s v="806 Main St, Citye"/>
    <d v="2023-09-03T00:00:00"/>
    <s v="September"/>
    <x v="0"/>
    <d v="1899-12-30T15:42:00"/>
    <x v="0"/>
    <x v="0"/>
    <s v="D1"/>
    <x v="0"/>
    <s v="City D"/>
    <n v="174"/>
    <n v="22"/>
    <x v="1"/>
    <x v="0"/>
    <x v="4"/>
    <x v="2"/>
    <x v="1"/>
    <d v="1899-12-30T16:45:00"/>
  </r>
  <r>
    <s v="2262"/>
    <s v="484 Pine St, Cityc"/>
    <d v="2023-09-07T00:00:00"/>
    <s v="September"/>
    <x v="2"/>
    <d v="1899-12-30T09:15:00"/>
    <x v="0"/>
    <x v="0"/>
    <s v="D1"/>
    <x v="1"/>
    <s v="City B"/>
    <n v="162"/>
    <n v="2"/>
    <x v="1"/>
    <x v="0"/>
    <x v="4"/>
    <x v="1"/>
    <x v="2"/>
    <d v="1899-12-30T14:01:00"/>
  </r>
  <r>
    <s v="2329"/>
    <s v="92 Cedar St, Cityc"/>
    <d v="2023-09-06T00:00:00"/>
    <s v="September"/>
    <x v="5"/>
    <d v="1899-12-30T11:02:00"/>
    <x v="1"/>
    <x v="1"/>
    <s v="D1"/>
    <x v="0"/>
    <s v="City D"/>
    <n v="127"/>
    <n v="17"/>
    <x v="1"/>
    <x v="1"/>
    <x v="1"/>
    <x v="1"/>
    <x v="1"/>
    <d v="1899-12-30T09:26:00"/>
  </r>
  <r>
    <s v="1025"/>
    <s v="5 Oak St, Cityd"/>
    <d v="2023-09-03T00:00:00"/>
    <s v="September"/>
    <x v="0"/>
    <d v="1899-12-30T14:10:00"/>
    <x v="0"/>
    <x v="0"/>
    <s v="D10"/>
    <x v="1"/>
    <s v="City E"/>
    <n v="150"/>
    <n v="0"/>
    <x v="2"/>
    <x v="0"/>
    <x v="3"/>
    <x v="0"/>
    <x v="0"/>
    <d v="1899-12-30T14:26:00"/>
  </r>
  <r>
    <s v="1225"/>
    <s v="341 Cedar St, Citya"/>
    <d v="2023-09-08T00:00:00"/>
    <s v="September"/>
    <x v="3"/>
    <d v="1899-12-30T14:31:00"/>
    <x v="1"/>
    <x v="1"/>
    <s v="D10"/>
    <x v="1"/>
    <s v="City D"/>
    <n v="102"/>
    <n v="29"/>
    <x v="1"/>
    <x v="1"/>
    <x v="1"/>
    <x v="1"/>
    <x v="1"/>
    <d v="1899-12-30T17:02:00"/>
  </r>
  <r>
    <s v="1355"/>
    <s v="161 Cedar St, Cityd"/>
    <d v="2023-09-01T00:00:00"/>
    <s v="September"/>
    <x v="3"/>
    <d v="1899-12-30T09:27:00"/>
    <x v="1"/>
    <x v="1"/>
    <s v="D10"/>
    <x v="2"/>
    <s v="City D"/>
    <n v="126"/>
    <n v="9"/>
    <x v="1"/>
    <x v="1"/>
    <x v="2"/>
    <x v="2"/>
    <x v="0"/>
    <d v="1899-12-30T11:32:00"/>
  </r>
  <r>
    <s v="1909"/>
    <s v="788 Cedar St, Citya"/>
    <d v="2023-09-06T00:00:00"/>
    <s v="September"/>
    <x v="5"/>
    <d v="1899-12-30T13:39:00"/>
    <x v="0"/>
    <x v="0"/>
    <s v="D10"/>
    <x v="1"/>
    <s v="City E"/>
    <n v="128"/>
    <n v="17"/>
    <x v="2"/>
    <x v="0"/>
    <x v="3"/>
    <x v="0"/>
    <x v="0"/>
    <d v="1899-12-30T08:57:00"/>
  </r>
  <r>
    <s v="2126"/>
    <s v="177 Cedar St, Cityd"/>
    <d v="2023-09-08T00:00:00"/>
    <s v="September"/>
    <x v="3"/>
    <d v="1899-12-30T12:42:00"/>
    <x v="1"/>
    <x v="1"/>
    <s v="D10"/>
    <x v="2"/>
    <s v="City C"/>
    <n v="230"/>
    <n v="12"/>
    <x v="1"/>
    <x v="1"/>
    <x v="3"/>
    <x v="0"/>
    <x v="1"/>
    <d v="1899-12-30T12:06:00"/>
  </r>
  <r>
    <s v="2261"/>
    <s v="705 Pine St, Cityc"/>
    <d v="2023-09-08T00:00:00"/>
    <s v="September"/>
    <x v="3"/>
    <d v="1899-12-30T10:25:00"/>
    <x v="0"/>
    <x v="0"/>
    <s v="D10"/>
    <x v="0"/>
    <s v="City C"/>
    <n v="96"/>
    <n v="21"/>
    <x v="0"/>
    <x v="0"/>
    <x v="0"/>
    <x v="0"/>
    <x v="0"/>
    <d v="1899-12-30T15:28:00"/>
  </r>
  <r>
    <s v="2298"/>
    <s v="976 Elm St, Cityb"/>
    <d v="2023-09-01T00:00:00"/>
    <s v="September"/>
    <x v="3"/>
    <d v="1899-12-30T14:31:00"/>
    <x v="0"/>
    <x v="0"/>
    <s v="D10"/>
    <x v="1"/>
    <s v="City B"/>
    <n v="94"/>
    <n v="6"/>
    <x v="1"/>
    <x v="0"/>
    <x v="2"/>
    <x v="2"/>
    <x v="1"/>
    <d v="1899-12-30T11:22:00"/>
  </r>
  <r>
    <s v="2306"/>
    <s v="852 Oak St, Cityc"/>
    <d v="2023-09-08T00:00:00"/>
    <s v="September"/>
    <x v="3"/>
    <d v="1899-12-30T11:18:00"/>
    <x v="1"/>
    <x v="1"/>
    <s v="D10"/>
    <x v="1"/>
    <s v="City E"/>
    <n v="173"/>
    <n v="17"/>
    <x v="0"/>
    <x v="1"/>
    <x v="4"/>
    <x v="0"/>
    <x v="0"/>
    <d v="1899-12-30T10:01:00"/>
  </r>
  <r>
    <s v="2357"/>
    <s v="563 Elm St, Cityd"/>
    <d v="2023-09-01T00:00:00"/>
    <s v="September"/>
    <x v="3"/>
    <d v="1899-12-30T12:28:00"/>
    <x v="0"/>
    <x v="0"/>
    <s v="D10"/>
    <x v="0"/>
    <s v="City A"/>
    <n v="134"/>
    <n v="17"/>
    <x v="1"/>
    <x v="0"/>
    <x v="0"/>
    <x v="2"/>
    <x v="2"/>
    <d v="1899-12-30T10:03:00"/>
  </r>
  <r>
    <s v="2439"/>
    <s v="550 Elm St, Citya"/>
    <d v="2023-09-02T00:00:00"/>
    <s v="September"/>
    <x v="4"/>
    <d v="1899-12-30T16:08:00"/>
    <x v="1"/>
    <x v="1"/>
    <s v="D10"/>
    <x v="2"/>
    <s v="City A"/>
    <n v="217"/>
    <n v="4"/>
    <x v="0"/>
    <x v="1"/>
    <x v="3"/>
    <x v="0"/>
    <x v="0"/>
    <d v="1899-12-30T09:41:00"/>
  </r>
  <r>
    <s v="1131"/>
    <s v="531 Cedar St, Citya"/>
    <d v="2023-09-05T00:00:00"/>
    <s v="September"/>
    <x v="6"/>
    <d v="1899-12-30T13:35:00"/>
    <x v="1"/>
    <x v="1"/>
    <s v="D100"/>
    <x v="2"/>
    <s v="City D"/>
    <n v="73"/>
    <n v="25"/>
    <x v="1"/>
    <x v="1"/>
    <x v="1"/>
    <x v="0"/>
    <x v="0"/>
    <d v="1899-12-30T13:39:00"/>
  </r>
  <r>
    <s v="1221"/>
    <s v="665 Elm St, Cityc"/>
    <d v="2023-09-01T00:00:00"/>
    <s v="September"/>
    <x v="3"/>
    <d v="1899-12-30T10:52:00"/>
    <x v="1"/>
    <x v="1"/>
    <s v="D100"/>
    <x v="0"/>
    <s v="City E"/>
    <n v="177"/>
    <n v="19"/>
    <x v="0"/>
    <x v="1"/>
    <x v="2"/>
    <x v="0"/>
    <x v="1"/>
    <d v="1899-12-30T16:18:00"/>
  </r>
  <r>
    <s v="1297"/>
    <s v="484 Elm St, Cityc"/>
    <d v="2023-09-07T00:00:00"/>
    <s v="September"/>
    <x v="2"/>
    <d v="1899-12-30T09:05:00"/>
    <x v="0"/>
    <x v="0"/>
    <s v="D100"/>
    <x v="2"/>
    <s v="City D"/>
    <n v="175"/>
    <n v="0"/>
    <x v="1"/>
    <x v="0"/>
    <x v="1"/>
    <x v="1"/>
    <x v="0"/>
    <d v="1899-12-30T13:14:00"/>
  </r>
  <r>
    <s v="1302"/>
    <s v="622 Pine St, Cityd"/>
    <d v="2023-09-02T00:00:00"/>
    <s v="September"/>
    <x v="4"/>
    <d v="1899-12-30T10:57:00"/>
    <x v="0"/>
    <x v="0"/>
    <s v="D100"/>
    <x v="2"/>
    <s v="City C"/>
    <n v="237"/>
    <n v="1"/>
    <x v="1"/>
    <x v="0"/>
    <x v="3"/>
    <x v="1"/>
    <x v="0"/>
    <d v="1899-12-30T11:45:00"/>
  </r>
  <r>
    <s v="1339"/>
    <s v="336 Oak St, Citye"/>
    <d v="2023-09-04T00:00:00"/>
    <s v="September"/>
    <x v="1"/>
    <d v="1899-12-30T14:34:00"/>
    <x v="1"/>
    <x v="1"/>
    <s v="D100"/>
    <x v="1"/>
    <s v="City A"/>
    <n v="149"/>
    <n v="7"/>
    <x v="2"/>
    <x v="1"/>
    <x v="3"/>
    <x v="2"/>
    <x v="0"/>
    <d v="1899-12-30T12:26:00"/>
  </r>
  <r>
    <s v="1366"/>
    <s v="406 Elm St, Cityc"/>
    <d v="2023-09-05T00:00:00"/>
    <s v="September"/>
    <x v="6"/>
    <d v="1899-12-30T10:23:00"/>
    <x v="0"/>
    <x v="0"/>
    <s v="D100"/>
    <x v="0"/>
    <s v="City D"/>
    <n v="62"/>
    <n v="19"/>
    <x v="0"/>
    <x v="0"/>
    <x v="2"/>
    <x v="1"/>
    <x v="1"/>
    <d v="1899-12-30T15:24:00"/>
  </r>
  <r>
    <s v="1594"/>
    <s v="379 Oak St, Cityd"/>
    <d v="2023-09-03T00:00:00"/>
    <s v="September"/>
    <x v="0"/>
    <d v="1899-12-30T09:31:00"/>
    <x v="1"/>
    <x v="1"/>
    <s v="D100"/>
    <x v="0"/>
    <s v="City A"/>
    <n v="169"/>
    <n v="20"/>
    <x v="0"/>
    <x v="1"/>
    <x v="2"/>
    <x v="0"/>
    <x v="2"/>
    <d v="1899-12-30T13:17:00"/>
  </r>
  <r>
    <s v="1986"/>
    <s v="320 Pine St, Citya"/>
    <d v="2023-09-06T00:00:00"/>
    <s v="September"/>
    <x v="5"/>
    <d v="1899-12-30T16:26:00"/>
    <x v="0"/>
    <x v="0"/>
    <s v="D100"/>
    <x v="0"/>
    <s v="City E"/>
    <n v="160"/>
    <n v="6"/>
    <x v="0"/>
    <x v="0"/>
    <x v="4"/>
    <x v="2"/>
    <x v="0"/>
    <d v="1899-12-30T14:51:00"/>
  </r>
  <r>
    <s v="2020"/>
    <s v="701 Pine St, Cityb"/>
    <d v="2023-09-01T00:00:00"/>
    <s v="September"/>
    <x v="3"/>
    <d v="1899-12-30T15:46:00"/>
    <x v="1"/>
    <x v="1"/>
    <s v="D100"/>
    <x v="1"/>
    <s v="City B"/>
    <n v="200"/>
    <n v="10"/>
    <x v="2"/>
    <x v="1"/>
    <x v="0"/>
    <x v="0"/>
    <x v="1"/>
    <d v="1899-12-30T13:14:00"/>
  </r>
  <r>
    <s v="2097"/>
    <s v="235 Cedar St, Cityc"/>
    <d v="2023-09-06T00:00:00"/>
    <s v="September"/>
    <x v="5"/>
    <d v="1899-12-30T10:28:00"/>
    <x v="0"/>
    <x v="0"/>
    <s v="D100"/>
    <x v="0"/>
    <s v="City A"/>
    <n v="168"/>
    <n v="15"/>
    <x v="1"/>
    <x v="0"/>
    <x v="3"/>
    <x v="2"/>
    <x v="1"/>
    <d v="1899-12-30T09:21:00"/>
  </r>
  <r>
    <s v="2148"/>
    <s v="531 Elm St, Citye"/>
    <d v="2023-09-01T00:00:00"/>
    <s v="September"/>
    <x v="3"/>
    <d v="1899-12-30T15:18:00"/>
    <x v="0"/>
    <x v="0"/>
    <s v="D100"/>
    <x v="1"/>
    <s v="City D"/>
    <n v="170"/>
    <n v="29"/>
    <x v="1"/>
    <x v="0"/>
    <x v="3"/>
    <x v="1"/>
    <x v="1"/>
    <d v="1899-12-30T10:36:00"/>
  </r>
  <r>
    <s v="2165"/>
    <s v="164 Main St, Citye"/>
    <d v="2023-09-01T00:00:00"/>
    <s v="September"/>
    <x v="3"/>
    <d v="1899-12-30T12:28:00"/>
    <x v="0"/>
    <x v="0"/>
    <s v="D100"/>
    <x v="1"/>
    <s v="City E"/>
    <n v="228"/>
    <n v="20"/>
    <x v="2"/>
    <x v="0"/>
    <x v="0"/>
    <x v="1"/>
    <x v="1"/>
    <d v="1899-12-30T08:32:00"/>
  </r>
  <r>
    <s v="2180"/>
    <s v="387 Cedar St, Citya"/>
    <d v="2023-09-06T00:00:00"/>
    <s v="September"/>
    <x v="5"/>
    <d v="1899-12-30T10:58:00"/>
    <x v="0"/>
    <x v="0"/>
    <s v="D100"/>
    <x v="0"/>
    <s v="City C"/>
    <n v="105"/>
    <n v="13"/>
    <x v="2"/>
    <x v="0"/>
    <x v="3"/>
    <x v="2"/>
    <x v="0"/>
    <d v="1899-12-30T15:51:00"/>
  </r>
  <r>
    <s v="2435"/>
    <s v="759 Pine St, Citye"/>
    <d v="2023-09-05T00:00:00"/>
    <s v="September"/>
    <x v="6"/>
    <d v="1899-12-30T14:17:00"/>
    <x v="1"/>
    <x v="1"/>
    <s v="D100"/>
    <x v="1"/>
    <s v="City A"/>
    <n v="107"/>
    <n v="11"/>
    <x v="1"/>
    <x v="1"/>
    <x v="1"/>
    <x v="2"/>
    <x v="0"/>
    <d v="1899-12-30T16:03:00"/>
  </r>
  <r>
    <s v="1017"/>
    <s v="267 Pine St, Cityb"/>
    <d v="2023-09-04T00:00:00"/>
    <s v="September"/>
    <x v="1"/>
    <d v="1899-12-30T10:40:00"/>
    <x v="0"/>
    <x v="0"/>
    <s v="D11"/>
    <x v="0"/>
    <s v="City A"/>
    <n v="174"/>
    <n v="16"/>
    <x v="1"/>
    <x v="0"/>
    <x v="1"/>
    <x v="0"/>
    <x v="2"/>
    <d v="1899-12-30T10:27:00"/>
  </r>
  <r>
    <s v="1192"/>
    <s v="347 Elm St, Cityc"/>
    <d v="2023-09-07T00:00:00"/>
    <s v="September"/>
    <x v="2"/>
    <d v="1899-12-30T16:43:00"/>
    <x v="0"/>
    <x v="0"/>
    <s v="D11"/>
    <x v="2"/>
    <s v="City C"/>
    <n v="149"/>
    <n v="22"/>
    <x v="1"/>
    <x v="0"/>
    <x v="1"/>
    <x v="1"/>
    <x v="0"/>
    <d v="1899-12-30T15:24:00"/>
  </r>
  <r>
    <s v="1256"/>
    <s v="488 Elm St, Cityd"/>
    <d v="2023-09-07T00:00:00"/>
    <s v="September"/>
    <x v="2"/>
    <d v="1899-12-30T15:27:00"/>
    <x v="0"/>
    <x v="0"/>
    <s v="D11"/>
    <x v="2"/>
    <s v="City C"/>
    <n v="67"/>
    <n v="22"/>
    <x v="1"/>
    <x v="0"/>
    <x v="3"/>
    <x v="0"/>
    <x v="1"/>
    <d v="1899-12-30T10:41:00"/>
  </r>
  <r>
    <s v="1405"/>
    <s v="123 Oak St, Cityd"/>
    <d v="2023-09-05T00:00:00"/>
    <s v="September"/>
    <x v="6"/>
    <d v="1899-12-30T14:24:00"/>
    <x v="1"/>
    <x v="1"/>
    <s v="D11"/>
    <x v="2"/>
    <s v="City B"/>
    <n v="81"/>
    <n v="26"/>
    <x v="1"/>
    <x v="1"/>
    <x v="1"/>
    <x v="2"/>
    <x v="1"/>
    <d v="1899-12-30T12:01:00"/>
  </r>
  <r>
    <s v="1434"/>
    <s v="305 Main St, Citya"/>
    <d v="2023-09-05T00:00:00"/>
    <s v="September"/>
    <x v="6"/>
    <d v="1899-12-30T09:23:00"/>
    <x v="1"/>
    <x v="1"/>
    <s v="D11"/>
    <x v="2"/>
    <s v="City E"/>
    <n v="224"/>
    <n v="23"/>
    <x v="2"/>
    <x v="1"/>
    <x v="4"/>
    <x v="2"/>
    <x v="1"/>
    <d v="1899-12-30T11:12:00"/>
  </r>
  <r>
    <s v="1511"/>
    <s v="789 Main St, Cityd"/>
    <d v="2023-09-04T00:00:00"/>
    <s v="September"/>
    <x v="1"/>
    <d v="1899-12-30T16:59:00"/>
    <x v="1"/>
    <x v="1"/>
    <s v="D11"/>
    <x v="2"/>
    <s v="City C"/>
    <n v="87"/>
    <n v="9"/>
    <x v="0"/>
    <x v="1"/>
    <x v="2"/>
    <x v="1"/>
    <x v="1"/>
    <d v="1899-12-30T16:04:00"/>
  </r>
  <r>
    <s v="1636"/>
    <s v="644 Pine St, Citye"/>
    <d v="2023-09-05T00:00:00"/>
    <s v="September"/>
    <x v="6"/>
    <d v="1899-12-30T16:14:00"/>
    <x v="1"/>
    <x v="1"/>
    <s v="D11"/>
    <x v="1"/>
    <s v="City C"/>
    <n v="128"/>
    <n v="3"/>
    <x v="1"/>
    <x v="1"/>
    <x v="2"/>
    <x v="0"/>
    <x v="1"/>
    <d v="1899-12-30T13:07:00"/>
  </r>
  <r>
    <s v="1659"/>
    <s v="98 Elm St, Cityd"/>
    <d v="2023-09-03T00:00:00"/>
    <s v="September"/>
    <x v="0"/>
    <d v="1899-12-30T08:43:00"/>
    <x v="0"/>
    <x v="0"/>
    <s v="D11"/>
    <x v="1"/>
    <s v="City A"/>
    <n v="208"/>
    <n v="13"/>
    <x v="0"/>
    <x v="0"/>
    <x v="2"/>
    <x v="2"/>
    <x v="1"/>
    <d v="1899-12-30T12:43:00"/>
  </r>
  <r>
    <s v="1662"/>
    <s v="940 Elm St, Cityc"/>
    <d v="2023-09-05T00:00:00"/>
    <s v="September"/>
    <x v="6"/>
    <d v="1899-12-30T11:20:00"/>
    <x v="1"/>
    <x v="1"/>
    <s v="D11"/>
    <x v="1"/>
    <s v="City C"/>
    <n v="137"/>
    <n v="11"/>
    <x v="1"/>
    <x v="1"/>
    <x v="1"/>
    <x v="1"/>
    <x v="1"/>
    <d v="1899-12-30T14:50:00"/>
  </r>
  <r>
    <s v="1803"/>
    <s v="963 Cedar St, Cityc"/>
    <d v="2023-09-07T00:00:00"/>
    <s v="September"/>
    <x v="2"/>
    <d v="1899-12-30T14:14:00"/>
    <x v="0"/>
    <x v="0"/>
    <s v="D11"/>
    <x v="0"/>
    <s v="City D"/>
    <n v="125"/>
    <n v="10"/>
    <x v="0"/>
    <x v="0"/>
    <x v="2"/>
    <x v="1"/>
    <x v="0"/>
    <d v="1899-12-30T09:23:00"/>
  </r>
  <r>
    <s v="1880"/>
    <s v="981 Oak St, Cityb"/>
    <d v="2023-09-07T00:00:00"/>
    <s v="September"/>
    <x v="2"/>
    <d v="1899-12-30T08:44:00"/>
    <x v="0"/>
    <x v="0"/>
    <s v="D11"/>
    <x v="0"/>
    <s v="City D"/>
    <n v="167"/>
    <n v="4"/>
    <x v="1"/>
    <x v="0"/>
    <x v="3"/>
    <x v="1"/>
    <x v="2"/>
    <d v="1899-12-30T09:46:00"/>
  </r>
  <r>
    <s v="1921"/>
    <s v="426 Elm St, Cityd"/>
    <d v="2023-09-01T00:00:00"/>
    <s v="September"/>
    <x v="3"/>
    <d v="1899-12-30T16:29:00"/>
    <x v="1"/>
    <x v="1"/>
    <s v="D11"/>
    <x v="2"/>
    <s v="City C"/>
    <n v="67"/>
    <n v="1"/>
    <x v="0"/>
    <x v="1"/>
    <x v="2"/>
    <x v="2"/>
    <x v="0"/>
    <d v="1899-12-30T09:22:00"/>
  </r>
  <r>
    <s v="1990"/>
    <s v="5 Main St, Cityd"/>
    <d v="2023-09-04T00:00:00"/>
    <s v="September"/>
    <x v="1"/>
    <d v="1899-12-30T13:19:00"/>
    <x v="0"/>
    <x v="0"/>
    <s v="D11"/>
    <x v="0"/>
    <s v="City C"/>
    <n v="75"/>
    <n v="28"/>
    <x v="0"/>
    <x v="0"/>
    <x v="2"/>
    <x v="0"/>
    <x v="2"/>
    <d v="1899-12-30T08:20:00"/>
  </r>
  <r>
    <s v="2035"/>
    <s v="444 Pine St, Cityb"/>
    <d v="2023-09-08T00:00:00"/>
    <s v="September"/>
    <x v="3"/>
    <d v="1899-12-30T12:37:00"/>
    <x v="0"/>
    <x v="0"/>
    <s v="D11"/>
    <x v="1"/>
    <s v="City E"/>
    <n v="197"/>
    <n v="5"/>
    <x v="0"/>
    <x v="0"/>
    <x v="2"/>
    <x v="1"/>
    <x v="2"/>
    <d v="1899-12-30T10:37:00"/>
  </r>
  <r>
    <s v="2074"/>
    <s v="234 Pine St, Citye"/>
    <d v="2023-09-07T00:00:00"/>
    <s v="September"/>
    <x v="2"/>
    <d v="1899-12-30T11:53:00"/>
    <x v="0"/>
    <x v="0"/>
    <s v="D11"/>
    <x v="0"/>
    <s v="City C"/>
    <n v="117"/>
    <n v="13"/>
    <x v="0"/>
    <x v="0"/>
    <x v="0"/>
    <x v="2"/>
    <x v="0"/>
    <d v="1899-12-30T14:43:00"/>
  </r>
  <r>
    <s v="1336"/>
    <s v="811 Oak St, Cityb"/>
    <d v="2023-09-05T00:00:00"/>
    <s v="September"/>
    <x v="6"/>
    <d v="1899-12-30T14:11:00"/>
    <x v="0"/>
    <x v="0"/>
    <s v="D12"/>
    <x v="2"/>
    <s v="City C"/>
    <n v="237"/>
    <n v="9"/>
    <x v="1"/>
    <x v="0"/>
    <x v="4"/>
    <x v="0"/>
    <x v="0"/>
    <d v="1899-12-30T09:17:00"/>
  </r>
  <r>
    <s v="1345"/>
    <s v="620 Main St, Cityc"/>
    <d v="2023-09-03T00:00:00"/>
    <s v="September"/>
    <x v="0"/>
    <d v="1899-12-30T09:24:00"/>
    <x v="0"/>
    <x v="0"/>
    <s v="D12"/>
    <x v="1"/>
    <s v="City E"/>
    <n v="203"/>
    <n v="1"/>
    <x v="2"/>
    <x v="0"/>
    <x v="4"/>
    <x v="2"/>
    <x v="0"/>
    <d v="1899-12-30T08:41:00"/>
  </r>
  <r>
    <s v="1394"/>
    <s v="236 Cedar St, Cityd"/>
    <d v="2023-09-02T00:00:00"/>
    <s v="September"/>
    <x v="4"/>
    <d v="1899-12-30T09:30:00"/>
    <x v="0"/>
    <x v="0"/>
    <s v="D12"/>
    <x v="2"/>
    <s v="City A"/>
    <n v="92"/>
    <n v="5"/>
    <x v="0"/>
    <x v="0"/>
    <x v="3"/>
    <x v="0"/>
    <x v="0"/>
    <d v="1899-12-30T17:20:00"/>
  </r>
  <r>
    <s v="1463"/>
    <s v="753 Oak St, Cityd"/>
    <d v="2023-09-08T00:00:00"/>
    <s v="September"/>
    <x v="3"/>
    <d v="1899-12-30T10:59:00"/>
    <x v="0"/>
    <x v="0"/>
    <s v="D12"/>
    <x v="1"/>
    <s v="City C"/>
    <n v="176"/>
    <n v="29"/>
    <x v="2"/>
    <x v="0"/>
    <x v="3"/>
    <x v="0"/>
    <x v="1"/>
    <d v="1899-12-30T12:31:00"/>
  </r>
  <r>
    <s v="1501"/>
    <s v="433 Oak St, Cityd"/>
    <d v="2023-09-02T00:00:00"/>
    <s v="September"/>
    <x v="4"/>
    <d v="1899-12-30T08:51:00"/>
    <x v="0"/>
    <x v="0"/>
    <s v="D12"/>
    <x v="1"/>
    <s v="City B"/>
    <n v="197"/>
    <n v="19"/>
    <x v="2"/>
    <x v="0"/>
    <x v="2"/>
    <x v="0"/>
    <x v="1"/>
    <d v="1899-12-30T14:27:00"/>
  </r>
  <r>
    <s v="1596"/>
    <s v="311 Cedar St, Citye"/>
    <d v="2023-09-02T00:00:00"/>
    <s v="September"/>
    <x v="4"/>
    <d v="1899-12-30T15:15:00"/>
    <x v="0"/>
    <x v="0"/>
    <s v="D12"/>
    <x v="1"/>
    <s v="City D"/>
    <n v="198"/>
    <n v="19"/>
    <x v="1"/>
    <x v="0"/>
    <x v="1"/>
    <x v="2"/>
    <x v="1"/>
    <d v="1899-12-30T08:18:00"/>
  </r>
  <r>
    <s v="1604"/>
    <s v="546 Cedar St, Citye"/>
    <d v="2023-09-02T00:00:00"/>
    <s v="September"/>
    <x v="4"/>
    <d v="1899-12-30T15:56:00"/>
    <x v="1"/>
    <x v="1"/>
    <s v="D12"/>
    <x v="2"/>
    <s v="City A"/>
    <n v="210"/>
    <n v="11"/>
    <x v="0"/>
    <x v="1"/>
    <x v="3"/>
    <x v="0"/>
    <x v="0"/>
    <d v="1899-12-30T16:45:00"/>
  </r>
  <r>
    <s v="1664"/>
    <s v="688 Oak St, Cityd"/>
    <d v="2023-09-02T00:00:00"/>
    <s v="September"/>
    <x v="4"/>
    <d v="1899-12-30T08:57:00"/>
    <x v="1"/>
    <x v="1"/>
    <s v="D12"/>
    <x v="1"/>
    <s v="City E"/>
    <n v="97"/>
    <n v="17"/>
    <x v="0"/>
    <x v="1"/>
    <x v="4"/>
    <x v="1"/>
    <x v="0"/>
    <d v="1899-12-30T16:54:00"/>
  </r>
  <r>
    <s v="1724"/>
    <s v="481 Elm St, Cityb"/>
    <d v="2023-09-07T00:00:00"/>
    <s v="September"/>
    <x v="2"/>
    <d v="1899-12-30T09:24:00"/>
    <x v="0"/>
    <x v="0"/>
    <s v="D12"/>
    <x v="1"/>
    <s v="City E"/>
    <n v="96"/>
    <n v="20"/>
    <x v="2"/>
    <x v="0"/>
    <x v="2"/>
    <x v="0"/>
    <x v="1"/>
    <d v="1899-12-30T09:32:00"/>
  </r>
  <r>
    <s v="1764"/>
    <s v="199 Oak St, Citye"/>
    <d v="2023-09-03T00:00:00"/>
    <s v="September"/>
    <x v="0"/>
    <d v="1899-12-30T11:08:00"/>
    <x v="1"/>
    <x v="1"/>
    <s v="D12"/>
    <x v="2"/>
    <s v="City D"/>
    <n v="150"/>
    <n v="22"/>
    <x v="0"/>
    <x v="1"/>
    <x v="3"/>
    <x v="1"/>
    <x v="0"/>
    <d v="1899-12-30T17:35:00"/>
  </r>
  <r>
    <s v="1810"/>
    <s v="715 Cedar St, Citye"/>
    <d v="2023-09-04T00:00:00"/>
    <s v="September"/>
    <x v="1"/>
    <d v="1899-12-30T11:45:00"/>
    <x v="0"/>
    <x v="0"/>
    <s v="D12"/>
    <x v="1"/>
    <s v="City A"/>
    <n v="131"/>
    <n v="26"/>
    <x v="2"/>
    <x v="0"/>
    <x v="4"/>
    <x v="1"/>
    <x v="0"/>
    <d v="1899-12-30T16:54:00"/>
  </r>
  <r>
    <s v="1812"/>
    <s v="430 Cedar St, Cityc"/>
    <d v="2023-09-07T00:00:00"/>
    <s v="September"/>
    <x v="2"/>
    <d v="1899-12-30T12:41:00"/>
    <x v="1"/>
    <x v="1"/>
    <s v="D12"/>
    <x v="2"/>
    <s v="City A"/>
    <n v="211"/>
    <n v="23"/>
    <x v="2"/>
    <x v="1"/>
    <x v="4"/>
    <x v="1"/>
    <x v="1"/>
    <d v="1899-12-30T14:50:00"/>
  </r>
  <r>
    <s v="1824"/>
    <s v="250 Cedar St, Cityb"/>
    <d v="2023-09-04T00:00:00"/>
    <s v="September"/>
    <x v="1"/>
    <d v="1899-12-30T10:40:00"/>
    <x v="1"/>
    <x v="1"/>
    <s v="D12"/>
    <x v="0"/>
    <s v="City D"/>
    <n v="203"/>
    <n v="10"/>
    <x v="1"/>
    <x v="1"/>
    <x v="4"/>
    <x v="0"/>
    <x v="2"/>
    <d v="1899-12-30T15:20:00"/>
  </r>
  <r>
    <s v="1861"/>
    <s v="789 Oak St, Cityc"/>
    <d v="2023-09-04T00:00:00"/>
    <s v="September"/>
    <x v="1"/>
    <d v="1899-12-30T16:37:00"/>
    <x v="0"/>
    <x v="0"/>
    <s v="D12"/>
    <x v="1"/>
    <s v="City B"/>
    <n v="127"/>
    <n v="7"/>
    <x v="1"/>
    <x v="0"/>
    <x v="2"/>
    <x v="1"/>
    <x v="1"/>
    <d v="1899-12-30T09:00:00"/>
  </r>
  <r>
    <s v="1957"/>
    <s v="608 Elm St, Cityd"/>
    <d v="2023-09-08T00:00:00"/>
    <s v="September"/>
    <x v="3"/>
    <d v="1899-12-30T14:14:00"/>
    <x v="0"/>
    <x v="0"/>
    <s v="D12"/>
    <x v="2"/>
    <s v="City A"/>
    <n v="215"/>
    <n v="5"/>
    <x v="1"/>
    <x v="0"/>
    <x v="1"/>
    <x v="1"/>
    <x v="2"/>
    <d v="1899-12-30T13:36:00"/>
  </r>
  <r>
    <s v="1978"/>
    <s v="591 Elm St, Citye"/>
    <d v="2023-09-08T00:00:00"/>
    <s v="September"/>
    <x v="3"/>
    <d v="1899-12-30T15:34:00"/>
    <x v="0"/>
    <x v="0"/>
    <s v="D12"/>
    <x v="2"/>
    <s v="City A"/>
    <n v="179"/>
    <n v="14"/>
    <x v="0"/>
    <x v="0"/>
    <x v="4"/>
    <x v="1"/>
    <x v="2"/>
    <d v="1899-12-30T09:49:00"/>
  </r>
  <r>
    <s v="2027"/>
    <s v="742 Main St, Cityc"/>
    <d v="2023-09-05T00:00:00"/>
    <s v="September"/>
    <x v="6"/>
    <d v="1899-12-30T14:22:00"/>
    <x v="1"/>
    <x v="1"/>
    <s v="D12"/>
    <x v="1"/>
    <s v="City C"/>
    <n v="134"/>
    <n v="1"/>
    <x v="1"/>
    <x v="1"/>
    <x v="0"/>
    <x v="0"/>
    <x v="2"/>
    <d v="1899-12-30T15:12:00"/>
  </r>
  <r>
    <s v="2075"/>
    <s v="17 Main St, Citya"/>
    <d v="2023-09-03T00:00:00"/>
    <s v="September"/>
    <x v="0"/>
    <d v="1899-12-30T10:59:00"/>
    <x v="0"/>
    <x v="0"/>
    <s v="D12"/>
    <x v="0"/>
    <s v="City C"/>
    <n v="131"/>
    <n v="24"/>
    <x v="1"/>
    <x v="0"/>
    <x v="3"/>
    <x v="0"/>
    <x v="1"/>
    <d v="1899-12-30T10:55:00"/>
  </r>
  <r>
    <s v="2252"/>
    <s v="98 Pine St, Citye"/>
    <d v="2023-09-07T00:00:00"/>
    <s v="September"/>
    <x v="2"/>
    <d v="1899-12-30T14:34:00"/>
    <x v="0"/>
    <x v="0"/>
    <s v="D12"/>
    <x v="0"/>
    <s v="City A"/>
    <n v="158"/>
    <n v="1"/>
    <x v="1"/>
    <x v="0"/>
    <x v="4"/>
    <x v="2"/>
    <x v="0"/>
    <d v="1899-12-30T15:11:00"/>
  </r>
  <r>
    <s v="2327"/>
    <s v="851 Cedar St, Citye"/>
    <d v="2023-09-06T00:00:00"/>
    <s v="September"/>
    <x v="5"/>
    <d v="1899-12-30T15:50:00"/>
    <x v="1"/>
    <x v="1"/>
    <s v="D12"/>
    <x v="1"/>
    <s v="City D"/>
    <n v="102"/>
    <n v="21"/>
    <x v="0"/>
    <x v="1"/>
    <x v="1"/>
    <x v="2"/>
    <x v="2"/>
    <d v="1899-12-30T09:55:00"/>
  </r>
  <r>
    <s v="2328"/>
    <s v="778 Cedar St, Cityd"/>
    <d v="2023-09-01T00:00:00"/>
    <s v="September"/>
    <x v="3"/>
    <d v="1899-12-30T08:03:00"/>
    <x v="1"/>
    <x v="1"/>
    <s v="D12"/>
    <x v="0"/>
    <s v="City E"/>
    <n v="103"/>
    <n v="6"/>
    <x v="2"/>
    <x v="1"/>
    <x v="3"/>
    <x v="2"/>
    <x v="0"/>
    <d v="1899-12-30T11:22:00"/>
  </r>
  <r>
    <s v="1164"/>
    <s v="583 Elm St, Citye"/>
    <d v="2023-09-03T00:00:00"/>
    <s v="September"/>
    <x v="0"/>
    <d v="1899-12-30T08:49:00"/>
    <x v="1"/>
    <x v="1"/>
    <s v="D13"/>
    <x v="2"/>
    <s v="City A"/>
    <n v="236"/>
    <n v="20"/>
    <x v="2"/>
    <x v="1"/>
    <x v="0"/>
    <x v="0"/>
    <x v="2"/>
    <d v="1899-12-30T08:42:00"/>
  </r>
  <r>
    <s v="1215"/>
    <s v="618 Pine St, Citya"/>
    <d v="2023-09-02T00:00:00"/>
    <s v="September"/>
    <x v="4"/>
    <d v="1899-12-30T08:28:00"/>
    <x v="1"/>
    <x v="1"/>
    <s v="D13"/>
    <x v="1"/>
    <s v="City E"/>
    <n v="162"/>
    <n v="25"/>
    <x v="1"/>
    <x v="1"/>
    <x v="2"/>
    <x v="2"/>
    <x v="0"/>
    <d v="1899-12-30T12:23:00"/>
  </r>
  <r>
    <s v="1232"/>
    <s v="376 Cedar St, Cityd"/>
    <d v="2023-09-01T00:00:00"/>
    <s v="September"/>
    <x v="3"/>
    <d v="1899-12-30T15:27:00"/>
    <x v="0"/>
    <x v="0"/>
    <s v="D13"/>
    <x v="0"/>
    <s v="City E"/>
    <n v="140"/>
    <n v="17"/>
    <x v="1"/>
    <x v="0"/>
    <x v="2"/>
    <x v="2"/>
    <x v="1"/>
    <d v="1899-12-30T14:31:00"/>
  </r>
  <r>
    <s v="1270"/>
    <s v="754 Elm St, Citye"/>
    <d v="2023-09-08T00:00:00"/>
    <s v="September"/>
    <x v="3"/>
    <d v="1899-12-30T08:28:00"/>
    <x v="0"/>
    <x v="0"/>
    <s v="D13"/>
    <x v="2"/>
    <s v="City C"/>
    <n v="132"/>
    <n v="2"/>
    <x v="0"/>
    <x v="0"/>
    <x v="2"/>
    <x v="1"/>
    <x v="0"/>
    <d v="1899-12-30T15:08:00"/>
  </r>
  <r>
    <s v="1281"/>
    <s v="367 Pine St, Cityc"/>
    <d v="2023-09-08T00:00:00"/>
    <s v="September"/>
    <x v="3"/>
    <d v="1899-12-30T11:29:00"/>
    <x v="0"/>
    <x v="0"/>
    <s v="D13"/>
    <x v="1"/>
    <s v="City E"/>
    <n v="220"/>
    <n v="27"/>
    <x v="0"/>
    <x v="0"/>
    <x v="0"/>
    <x v="0"/>
    <x v="1"/>
    <d v="1899-12-30T16:43:00"/>
  </r>
  <r>
    <s v="1324"/>
    <s v="716 Elm St, Cityb"/>
    <d v="2023-09-07T00:00:00"/>
    <s v="September"/>
    <x v="2"/>
    <d v="1899-12-30T15:46:00"/>
    <x v="0"/>
    <x v="0"/>
    <s v="D13"/>
    <x v="0"/>
    <s v="City A"/>
    <n v="119"/>
    <n v="10"/>
    <x v="0"/>
    <x v="0"/>
    <x v="3"/>
    <x v="2"/>
    <x v="0"/>
    <d v="1899-12-30T12:30:00"/>
  </r>
  <r>
    <s v="1429"/>
    <s v="985 Elm St, Citya"/>
    <d v="2023-09-07T00:00:00"/>
    <s v="September"/>
    <x v="2"/>
    <d v="1899-12-30T15:19:00"/>
    <x v="0"/>
    <x v="0"/>
    <s v="D13"/>
    <x v="2"/>
    <s v="City B"/>
    <n v="142"/>
    <n v="11"/>
    <x v="2"/>
    <x v="0"/>
    <x v="3"/>
    <x v="0"/>
    <x v="0"/>
    <d v="1899-12-30T15:58:00"/>
  </r>
  <r>
    <s v="1655"/>
    <s v="555 Cedar St, Citya"/>
    <d v="2023-09-07T00:00:00"/>
    <s v="September"/>
    <x v="2"/>
    <d v="1899-12-30T09:29:00"/>
    <x v="0"/>
    <x v="0"/>
    <s v="D13"/>
    <x v="1"/>
    <s v="City E"/>
    <n v="196"/>
    <n v="28"/>
    <x v="2"/>
    <x v="0"/>
    <x v="1"/>
    <x v="0"/>
    <x v="2"/>
    <d v="1899-12-30T11:25:00"/>
  </r>
  <r>
    <s v="1660"/>
    <s v="227 Elm St, Cityd"/>
    <d v="2023-09-01T00:00:00"/>
    <s v="September"/>
    <x v="3"/>
    <d v="1899-12-30T10:40:00"/>
    <x v="1"/>
    <x v="1"/>
    <s v="D13"/>
    <x v="0"/>
    <s v="City D"/>
    <n v="138"/>
    <n v="6"/>
    <x v="1"/>
    <x v="1"/>
    <x v="1"/>
    <x v="0"/>
    <x v="1"/>
    <d v="1899-12-30T15:08:00"/>
  </r>
  <r>
    <s v="1712"/>
    <s v="242 Main St, Cityb"/>
    <d v="2023-09-02T00:00:00"/>
    <s v="September"/>
    <x v="4"/>
    <d v="1899-12-30T10:18:00"/>
    <x v="0"/>
    <x v="0"/>
    <s v="D13"/>
    <x v="1"/>
    <s v="City E"/>
    <n v="195"/>
    <n v="22"/>
    <x v="1"/>
    <x v="0"/>
    <x v="4"/>
    <x v="1"/>
    <x v="1"/>
    <d v="1899-12-30T14:09:00"/>
  </r>
  <r>
    <s v="1767"/>
    <s v="62 Main St, Citye"/>
    <d v="2023-09-04T00:00:00"/>
    <s v="September"/>
    <x v="1"/>
    <d v="1899-12-30T12:41:00"/>
    <x v="1"/>
    <x v="1"/>
    <s v="D13"/>
    <x v="2"/>
    <s v="City E"/>
    <n v="171"/>
    <n v="2"/>
    <x v="0"/>
    <x v="1"/>
    <x v="4"/>
    <x v="2"/>
    <x v="0"/>
    <d v="1899-12-30T15:09:00"/>
  </r>
  <r>
    <s v="1888"/>
    <s v="544 Pine St, Citye"/>
    <d v="2023-09-06T00:00:00"/>
    <s v="September"/>
    <x v="5"/>
    <d v="1899-12-30T08:59:00"/>
    <x v="1"/>
    <x v="1"/>
    <s v="D13"/>
    <x v="0"/>
    <s v="City B"/>
    <n v="222"/>
    <n v="27"/>
    <x v="0"/>
    <x v="1"/>
    <x v="1"/>
    <x v="0"/>
    <x v="2"/>
    <d v="1899-12-30T09:26:00"/>
  </r>
  <r>
    <s v="1981"/>
    <s v="862 Cedar St, Citye"/>
    <d v="2023-09-08T00:00:00"/>
    <s v="September"/>
    <x v="3"/>
    <d v="1899-12-30T14:31:00"/>
    <x v="1"/>
    <x v="1"/>
    <s v="D13"/>
    <x v="0"/>
    <s v="City C"/>
    <n v="123"/>
    <n v="11"/>
    <x v="1"/>
    <x v="1"/>
    <x v="1"/>
    <x v="0"/>
    <x v="0"/>
    <d v="1899-12-30T09:55:00"/>
  </r>
  <r>
    <s v="2023"/>
    <s v="3 Elm St, Citya"/>
    <d v="2023-09-04T00:00:00"/>
    <s v="September"/>
    <x v="1"/>
    <d v="1899-12-30T15:26:00"/>
    <x v="1"/>
    <x v="1"/>
    <s v="D13"/>
    <x v="2"/>
    <s v="City E"/>
    <n v="205"/>
    <n v="10"/>
    <x v="2"/>
    <x v="1"/>
    <x v="4"/>
    <x v="1"/>
    <x v="1"/>
    <d v="1899-12-30T09:57:00"/>
  </r>
  <r>
    <s v="2024"/>
    <s v="850 Main St, Cityd"/>
    <d v="2023-09-04T00:00:00"/>
    <s v="September"/>
    <x v="1"/>
    <d v="1899-12-30T14:19:00"/>
    <x v="1"/>
    <x v="1"/>
    <s v="D13"/>
    <x v="0"/>
    <s v="City D"/>
    <n v="218"/>
    <n v="24"/>
    <x v="1"/>
    <x v="1"/>
    <x v="3"/>
    <x v="2"/>
    <x v="2"/>
    <d v="1899-12-30T13:55:00"/>
  </r>
  <r>
    <s v="2053"/>
    <s v="883 Cedar St, Cityc"/>
    <d v="2023-09-05T00:00:00"/>
    <s v="September"/>
    <x v="6"/>
    <d v="1899-12-30T08:19:00"/>
    <x v="1"/>
    <x v="1"/>
    <s v="D13"/>
    <x v="2"/>
    <s v="City A"/>
    <n v="238"/>
    <n v="29"/>
    <x v="1"/>
    <x v="1"/>
    <x v="2"/>
    <x v="1"/>
    <x v="2"/>
    <d v="1899-12-30T11:03:00"/>
  </r>
  <r>
    <s v="2089"/>
    <s v="122 Main St, Cityc"/>
    <d v="2023-09-05T00:00:00"/>
    <s v="September"/>
    <x v="6"/>
    <d v="1899-12-30T09:29:00"/>
    <x v="0"/>
    <x v="0"/>
    <s v="D13"/>
    <x v="0"/>
    <s v="City C"/>
    <n v="127"/>
    <n v="9"/>
    <x v="0"/>
    <x v="0"/>
    <x v="1"/>
    <x v="0"/>
    <x v="0"/>
    <d v="1899-12-30T13:08:00"/>
  </r>
  <r>
    <s v="2114"/>
    <s v="546 Elm St, Cityd"/>
    <d v="2023-09-02T00:00:00"/>
    <s v="September"/>
    <x v="4"/>
    <d v="1899-12-30T11:03:00"/>
    <x v="1"/>
    <x v="1"/>
    <s v="D13"/>
    <x v="2"/>
    <s v="City E"/>
    <n v="149"/>
    <n v="6"/>
    <x v="1"/>
    <x v="1"/>
    <x v="3"/>
    <x v="2"/>
    <x v="2"/>
    <d v="1899-12-30T10:30:00"/>
  </r>
  <r>
    <s v="2304"/>
    <s v="782 Cedar St, Cityb"/>
    <d v="2023-09-05T00:00:00"/>
    <s v="September"/>
    <x v="6"/>
    <d v="1899-12-30T16:54:00"/>
    <x v="0"/>
    <x v="0"/>
    <s v="D13"/>
    <x v="2"/>
    <s v="City D"/>
    <n v="149"/>
    <n v="0"/>
    <x v="2"/>
    <x v="0"/>
    <x v="4"/>
    <x v="2"/>
    <x v="1"/>
    <d v="1899-12-30T10:35:00"/>
  </r>
  <r>
    <s v="2361"/>
    <s v="803 Cedar St, Cityd"/>
    <d v="2023-09-04T00:00:00"/>
    <s v="September"/>
    <x v="1"/>
    <d v="1899-12-30T13:23:00"/>
    <x v="1"/>
    <x v="1"/>
    <s v="D13"/>
    <x v="0"/>
    <s v="City B"/>
    <n v="168"/>
    <n v="12"/>
    <x v="0"/>
    <x v="1"/>
    <x v="1"/>
    <x v="0"/>
    <x v="1"/>
    <d v="1899-12-30T15:14:00"/>
  </r>
  <r>
    <s v="2370"/>
    <s v="409 Cedar St, Cityb"/>
    <d v="2023-09-03T00:00:00"/>
    <s v="September"/>
    <x v="0"/>
    <d v="1899-12-30T14:08:00"/>
    <x v="0"/>
    <x v="0"/>
    <s v="D13"/>
    <x v="1"/>
    <s v="City E"/>
    <n v="230"/>
    <n v="12"/>
    <x v="2"/>
    <x v="0"/>
    <x v="3"/>
    <x v="2"/>
    <x v="1"/>
    <d v="1899-12-30T16:36:00"/>
  </r>
  <r>
    <s v="2428"/>
    <s v="885 Pine St, Cityc"/>
    <d v="2023-09-06T00:00:00"/>
    <s v="September"/>
    <x v="5"/>
    <d v="1899-12-30T16:38:00"/>
    <x v="0"/>
    <x v="0"/>
    <s v="D13"/>
    <x v="1"/>
    <s v="City C"/>
    <n v="109"/>
    <n v="27"/>
    <x v="0"/>
    <x v="0"/>
    <x v="3"/>
    <x v="0"/>
    <x v="1"/>
    <d v="1899-12-30T12:45:00"/>
  </r>
  <r>
    <s v="1027"/>
    <s v="577 Oak St, Citya"/>
    <d v="2023-09-06T00:00:00"/>
    <s v="September"/>
    <x v="5"/>
    <d v="1899-12-30T11:21:00"/>
    <x v="1"/>
    <x v="1"/>
    <s v="D14"/>
    <x v="0"/>
    <s v="City A"/>
    <n v="153"/>
    <n v="22"/>
    <x v="0"/>
    <x v="1"/>
    <x v="3"/>
    <x v="0"/>
    <x v="0"/>
    <d v="1899-12-30T14:20:00"/>
  </r>
  <r>
    <s v="1061"/>
    <s v="503 Main St, Cityd"/>
    <d v="2023-09-06T00:00:00"/>
    <s v="September"/>
    <x v="5"/>
    <d v="1899-12-30T16:33:00"/>
    <x v="1"/>
    <x v="1"/>
    <s v="D14"/>
    <x v="0"/>
    <s v="City B"/>
    <n v="163"/>
    <n v="25"/>
    <x v="0"/>
    <x v="1"/>
    <x v="4"/>
    <x v="1"/>
    <x v="0"/>
    <d v="1899-12-30T10:21:00"/>
  </r>
  <r>
    <s v="1127"/>
    <s v="542 Oak St, Citye"/>
    <d v="2023-09-03T00:00:00"/>
    <s v="September"/>
    <x v="0"/>
    <d v="1899-12-30T12:15:00"/>
    <x v="1"/>
    <x v="1"/>
    <s v="D14"/>
    <x v="0"/>
    <s v="City D"/>
    <n v="175"/>
    <n v="9"/>
    <x v="1"/>
    <x v="1"/>
    <x v="2"/>
    <x v="0"/>
    <x v="1"/>
    <d v="1899-12-30T10:35:00"/>
  </r>
  <r>
    <s v="1271"/>
    <s v="8 Oak St, Cityc"/>
    <d v="2023-09-05T00:00:00"/>
    <s v="September"/>
    <x v="6"/>
    <d v="1899-12-30T15:07:00"/>
    <x v="0"/>
    <x v="0"/>
    <s v="D14"/>
    <x v="0"/>
    <s v="City A"/>
    <n v="187"/>
    <n v="16"/>
    <x v="1"/>
    <x v="0"/>
    <x v="2"/>
    <x v="0"/>
    <x v="0"/>
    <d v="1899-12-30T16:15:00"/>
  </r>
  <r>
    <s v="1346"/>
    <s v="752 Main St, Cityb"/>
    <d v="2023-09-06T00:00:00"/>
    <s v="September"/>
    <x v="5"/>
    <d v="1899-12-30T10:59:00"/>
    <x v="1"/>
    <x v="1"/>
    <s v="D14"/>
    <x v="2"/>
    <s v="City B"/>
    <n v="110"/>
    <n v="12"/>
    <x v="2"/>
    <x v="1"/>
    <x v="2"/>
    <x v="2"/>
    <x v="0"/>
    <d v="1899-12-30T12:11:00"/>
  </r>
  <r>
    <s v="1455"/>
    <s v="856 Pine St, Citye"/>
    <d v="2023-09-05T00:00:00"/>
    <s v="September"/>
    <x v="6"/>
    <d v="1899-12-30T16:20:00"/>
    <x v="1"/>
    <x v="1"/>
    <s v="D14"/>
    <x v="0"/>
    <s v="City A"/>
    <n v="182"/>
    <n v="15"/>
    <x v="2"/>
    <x v="1"/>
    <x v="0"/>
    <x v="2"/>
    <x v="0"/>
    <d v="1899-12-30T11:50:00"/>
  </r>
  <r>
    <s v="1456"/>
    <s v="975 Pine St, Cityb"/>
    <d v="2023-09-05T00:00:00"/>
    <s v="September"/>
    <x v="6"/>
    <d v="1899-12-30T13:51:00"/>
    <x v="0"/>
    <x v="0"/>
    <s v="D14"/>
    <x v="2"/>
    <s v="City C"/>
    <n v="212"/>
    <n v="20"/>
    <x v="0"/>
    <x v="0"/>
    <x v="3"/>
    <x v="1"/>
    <x v="2"/>
    <d v="1899-12-30T12:18:00"/>
  </r>
  <r>
    <s v="1774"/>
    <s v="127 Pine St, Cityd"/>
    <d v="2023-09-03T00:00:00"/>
    <s v="September"/>
    <x v="0"/>
    <d v="1899-12-30T11:54:00"/>
    <x v="1"/>
    <x v="1"/>
    <s v="D14"/>
    <x v="1"/>
    <s v="City B"/>
    <n v="161"/>
    <n v="1"/>
    <x v="1"/>
    <x v="1"/>
    <x v="2"/>
    <x v="2"/>
    <x v="0"/>
    <d v="1899-12-30T11:55:00"/>
  </r>
  <r>
    <s v="1859"/>
    <s v="111 Pine St, Cityb"/>
    <d v="2023-09-05T00:00:00"/>
    <s v="September"/>
    <x v="6"/>
    <d v="1899-12-30T09:59:00"/>
    <x v="0"/>
    <x v="0"/>
    <s v="D14"/>
    <x v="1"/>
    <s v="City B"/>
    <n v="215"/>
    <n v="13"/>
    <x v="0"/>
    <x v="0"/>
    <x v="4"/>
    <x v="2"/>
    <x v="2"/>
    <d v="1899-12-30T09:32:00"/>
  </r>
  <r>
    <s v="1932"/>
    <s v="805 Main St, Cityc"/>
    <d v="2023-09-05T00:00:00"/>
    <s v="September"/>
    <x v="6"/>
    <d v="1899-12-30T16:55:00"/>
    <x v="1"/>
    <x v="1"/>
    <s v="D14"/>
    <x v="0"/>
    <s v="City E"/>
    <n v="168"/>
    <n v="12"/>
    <x v="2"/>
    <x v="1"/>
    <x v="4"/>
    <x v="0"/>
    <x v="1"/>
    <d v="1899-12-30T12:16:00"/>
  </r>
  <r>
    <s v="2066"/>
    <s v="258 Oak St, Citye"/>
    <d v="2023-09-06T00:00:00"/>
    <s v="September"/>
    <x v="5"/>
    <d v="1899-12-30T09:16:00"/>
    <x v="0"/>
    <x v="0"/>
    <s v="D14"/>
    <x v="2"/>
    <s v="City E"/>
    <n v="220"/>
    <n v="19"/>
    <x v="0"/>
    <x v="0"/>
    <x v="3"/>
    <x v="2"/>
    <x v="1"/>
    <d v="1899-12-30T17:03:00"/>
  </r>
  <r>
    <s v="2084"/>
    <s v="263 Main St, Citye"/>
    <d v="2023-09-06T00:00:00"/>
    <s v="September"/>
    <x v="5"/>
    <d v="1899-12-30T08:35:00"/>
    <x v="1"/>
    <x v="1"/>
    <s v="D14"/>
    <x v="2"/>
    <s v="City D"/>
    <n v="84"/>
    <n v="29"/>
    <x v="0"/>
    <x v="1"/>
    <x v="0"/>
    <x v="1"/>
    <x v="0"/>
    <d v="1899-12-30T15:09:00"/>
  </r>
  <r>
    <s v="2099"/>
    <s v="958 Oak St, Cityd"/>
    <d v="2023-09-03T00:00:00"/>
    <s v="September"/>
    <x v="0"/>
    <d v="1899-12-30T10:33:00"/>
    <x v="0"/>
    <x v="0"/>
    <s v="D14"/>
    <x v="0"/>
    <s v="City A"/>
    <n v="237"/>
    <n v="16"/>
    <x v="1"/>
    <x v="0"/>
    <x v="4"/>
    <x v="0"/>
    <x v="0"/>
    <d v="1899-12-30T15:16:00"/>
  </r>
  <r>
    <s v="2158"/>
    <s v="493 Main St, Cityd"/>
    <d v="2023-09-02T00:00:00"/>
    <s v="September"/>
    <x v="4"/>
    <d v="1899-12-30T10:09:00"/>
    <x v="0"/>
    <x v="0"/>
    <s v="D14"/>
    <x v="0"/>
    <s v="City B"/>
    <n v="219"/>
    <n v="10"/>
    <x v="0"/>
    <x v="0"/>
    <x v="4"/>
    <x v="0"/>
    <x v="1"/>
    <d v="1899-12-30T09:52:00"/>
  </r>
  <r>
    <s v="2191"/>
    <s v="472 Cedar St, Cityc"/>
    <d v="2023-09-04T00:00:00"/>
    <s v="September"/>
    <x v="1"/>
    <d v="1899-12-30T11:27:00"/>
    <x v="0"/>
    <x v="0"/>
    <s v="D14"/>
    <x v="2"/>
    <s v="City A"/>
    <n v="162"/>
    <n v="0"/>
    <x v="1"/>
    <x v="0"/>
    <x v="2"/>
    <x v="0"/>
    <x v="0"/>
    <d v="1899-12-30T10:12:00"/>
  </r>
  <r>
    <s v="2294"/>
    <s v="400 Pine St, Citye"/>
    <d v="2023-09-05T00:00:00"/>
    <s v="September"/>
    <x v="6"/>
    <d v="1899-12-30T08:28:00"/>
    <x v="0"/>
    <x v="0"/>
    <s v="D14"/>
    <x v="1"/>
    <s v="City B"/>
    <n v="187"/>
    <n v="17"/>
    <x v="2"/>
    <x v="0"/>
    <x v="1"/>
    <x v="2"/>
    <x v="1"/>
    <d v="1899-12-30T09:09:00"/>
  </r>
  <r>
    <s v="2405"/>
    <s v="788 Oak St, Citya"/>
    <d v="2023-09-06T00:00:00"/>
    <s v="September"/>
    <x v="5"/>
    <d v="1899-12-30T16:04:00"/>
    <x v="1"/>
    <x v="1"/>
    <s v="D14"/>
    <x v="0"/>
    <s v="City B"/>
    <n v="238"/>
    <n v="16"/>
    <x v="2"/>
    <x v="1"/>
    <x v="1"/>
    <x v="0"/>
    <x v="1"/>
    <d v="1899-12-30T15:43:00"/>
  </r>
  <r>
    <s v="1068"/>
    <s v="914 Cedar St, Citye"/>
    <d v="2023-09-06T00:00:00"/>
    <s v="September"/>
    <x v="5"/>
    <d v="1899-12-30T10:31:00"/>
    <x v="1"/>
    <x v="1"/>
    <s v="D15"/>
    <x v="0"/>
    <s v="City B"/>
    <n v="231"/>
    <n v="12"/>
    <x v="2"/>
    <x v="1"/>
    <x v="4"/>
    <x v="2"/>
    <x v="1"/>
    <d v="1899-12-30T10:31:00"/>
  </r>
  <r>
    <s v="1107"/>
    <s v="131 Cedar St, Citya"/>
    <d v="2023-09-03T00:00:00"/>
    <s v="September"/>
    <x v="0"/>
    <d v="1899-12-30T15:11:00"/>
    <x v="1"/>
    <x v="1"/>
    <s v="D15"/>
    <x v="0"/>
    <s v="City B"/>
    <n v="60"/>
    <n v="29"/>
    <x v="2"/>
    <x v="1"/>
    <x v="3"/>
    <x v="0"/>
    <x v="0"/>
    <d v="1899-12-30T12:13:00"/>
  </r>
  <r>
    <s v="1171"/>
    <s v="53 Elm St, Cityb"/>
    <d v="2023-09-08T00:00:00"/>
    <s v="September"/>
    <x v="3"/>
    <d v="1899-12-30T11:43:00"/>
    <x v="0"/>
    <x v="0"/>
    <s v="D15"/>
    <x v="2"/>
    <s v="City E"/>
    <n v="137"/>
    <n v="23"/>
    <x v="1"/>
    <x v="0"/>
    <x v="2"/>
    <x v="2"/>
    <x v="1"/>
    <d v="1899-12-30T10:15:00"/>
  </r>
  <r>
    <s v="1370"/>
    <s v="741 Elm St, Cityd"/>
    <d v="2023-09-05T00:00:00"/>
    <s v="September"/>
    <x v="6"/>
    <d v="1899-12-30T11:44:00"/>
    <x v="1"/>
    <x v="1"/>
    <s v="D15"/>
    <x v="1"/>
    <s v="City D"/>
    <n v="69"/>
    <n v="29"/>
    <x v="2"/>
    <x v="1"/>
    <x v="3"/>
    <x v="0"/>
    <x v="1"/>
    <d v="1899-12-30T12:00:00"/>
  </r>
  <r>
    <s v="1372"/>
    <s v="156 Main St, Citye"/>
    <d v="2023-09-02T00:00:00"/>
    <s v="September"/>
    <x v="4"/>
    <d v="1899-12-30T14:54:00"/>
    <x v="1"/>
    <x v="1"/>
    <s v="D15"/>
    <x v="1"/>
    <s v="City D"/>
    <n v="188"/>
    <n v="15"/>
    <x v="1"/>
    <x v="1"/>
    <x v="4"/>
    <x v="2"/>
    <x v="2"/>
    <d v="1899-12-30T08:49:00"/>
  </r>
  <r>
    <s v="1451"/>
    <s v="822 Oak St, Citya"/>
    <d v="2023-09-03T00:00:00"/>
    <s v="September"/>
    <x v="0"/>
    <d v="1899-12-30T16:22:00"/>
    <x v="0"/>
    <x v="0"/>
    <s v="D15"/>
    <x v="0"/>
    <s v="City E"/>
    <n v="105"/>
    <n v="12"/>
    <x v="0"/>
    <x v="0"/>
    <x v="3"/>
    <x v="1"/>
    <x v="0"/>
    <d v="1899-12-30T09:37:00"/>
  </r>
  <r>
    <s v="1459"/>
    <s v="377 Pine St, Cityd"/>
    <d v="2023-09-08T00:00:00"/>
    <s v="September"/>
    <x v="3"/>
    <d v="1899-12-30T12:41:00"/>
    <x v="1"/>
    <x v="1"/>
    <s v="D15"/>
    <x v="2"/>
    <s v="City B"/>
    <n v="141"/>
    <n v="9"/>
    <x v="1"/>
    <x v="1"/>
    <x v="4"/>
    <x v="0"/>
    <x v="0"/>
    <d v="1899-12-30T09:23:00"/>
  </r>
  <r>
    <s v="1503"/>
    <s v="352 Pine St, Cityc"/>
    <d v="2023-09-05T00:00:00"/>
    <s v="September"/>
    <x v="6"/>
    <d v="1899-12-30T12:11:00"/>
    <x v="1"/>
    <x v="1"/>
    <s v="D15"/>
    <x v="0"/>
    <s v="City C"/>
    <n v="122"/>
    <n v="1"/>
    <x v="0"/>
    <x v="1"/>
    <x v="0"/>
    <x v="2"/>
    <x v="2"/>
    <d v="1899-12-30T15:15:00"/>
  </r>
  <r>
    <s v="1586"/>
    <s v="857 Elm St, Cityb"/>
    <d v="2023-09-07T00:00:00"/>
    <s v="September"/>
    <x v="2"/>
    <d v="1899-12-30T09:40:00"/>
    <x v="1"/>
    <x v="1"/>
    <s v="D15"/>
    <x v="0"/>
    <s v="City D"/>
    <n v="173"/>
    <n v="12"/>
    <x v="0"/>
    <x v="1"/>
    <x v="4"/>
    <x v="1"/>
    <x v="1"/>
    <d v="1899-12-30T13:22:00"/>
  </r>
  <r>
    <s v="1776"/>
    <s v="683 Cedar St, Citye"/>
    <d v="2023-09-03T00:00:00"/>
    <s v="September"/>
    <x v="0"/>
    <d v="1899-12-30T15:22:00"/>
    <x v="1"/>
    <x v="1"/>
    <s v="D15"/>
    <x v="0"/>
    <s v="City B"/>
    <n v="159"/>
    <n v="22"/>
    <x v="1"/>
    <x v="1"/>
    <x v="0"/>
    <x v="2"/>
    <x v="2"/>
    <d v="1899-12-30T17:49:00"/>
  </r>
  <r>
    <s v="1790"/>
    <s v="272 Pine St, Citya"/>
    <d v="2023-09-07T00:00:00"/>
    <s v="September"/>
    <x v="2"/>
    <d v="1899-12-30T15:19:00"/>
    <x v="1"/>
    <x v="1"/>
    <s v="D15"/>
    <x v="0"/>
    <s v="City B"/>
    <n v="146"/>
    <n v="29"/>
    <x v="1"/>
    <x v="1"/>
    <x v="1"/>
    <x v="0"/>
    <x v="2"/>
    <d v="1899-12-30T10:11:00"/>
  </r>
  <r>
    <s v="1955"/>
    <s v="138 Main St, Citye"/>
    <d v="2023-09-01T00:00:00"/>
    <s v="September"/>
    <x v="3"/>
    <d v="1899-12-30T10:25:00"/>
    <x v="0"/>
    <x v="0"/>
    <s v="D15"/>
    <x v="1"/>
    <s v="City D"/>
    <n v="92"/>
    <n v="18"/>
    <x v="0"/>
    <x v="0"/>
    <x v="4"/>
    <x v="0"/>
    <x v="1"/>
    <d v="1899-12-30T15:53:00"/>
  </r>
  <r>
    <s v="2082"/>
    <s v="756 Elm St, Cityb"/>
    <d v="2023-09-07T00:00:00"/>
    <s v="September"/>
    <x v="2"/>
    <d v="1899-12-30T16:47:00"/>
    <x v="1"/>
    <x v="1"/>
    <s v="D15"/>
    <x v="0"/>
    <s v="City C"/>
    <n v="92"/>
    <n v="16"/>
    <x v="2"/>
    <x v="1"/>
    <x v="0"/>
    <x v="2"/>
    <x v="0"/>
    <d v="1899-12-30T14:08:00"/>
  </r>
  <r>
    <s v="2156"/>
    <s v="331 Elm St, Citye"/>
    <d v="2023-09-01T00:00:00"/>
    <s v="September"/>
    <x v="3"/>
    <d v="1899-12-30T10:10:00"/>
    <x v="0"/>
    <x v="0"/>
    <s v="D15"/>
    <x v="1"/>
    <s v="City B"/>
    <n v="227"/>
    <n v="1"/>
    <x v="1"/>
    <x v="0"/>
    <x v="4"/>
    <x v="2"/>
    <x v="2"/>
    <d v="1899-12-30T08:10:00"/>
  </r>
  <r>
    <s v="2164"/>
    <s v="771 Oak St, Cityc"/>
    <d v="2023-09-05T00:00:00"/>
    <s v="September"/>
    <x v="6"/>
    <d v="1899-12-30T11:18:00"/>
    <x v="1"/>
    <x v="1"/>
    <s v="D15"/>
    <x v="1"/>
    <s v="City E"/>
    <n v="118"/>
    <n v="0"/>
    <x v="2"/>
    <x v="1"/>
    <x v="1"/>
    <x v="0"/>
    <x v="0"/>
    <d v="1899-12-30T09:21:00"/>
  </r>
  <r>
    <s v="2256"/>
    <s v="841 Main St, Citya"/>
    <d v="2023-09-07T00:00:00"/>
    <s v="September"/>
    <x v="2"/>
    <d v="1899-12-30T16:39:00"/>
    <x v="0"/>
    <x v="0"/>
    <s v="D15"/>
    <x v="0"/>
    <s v="City D"/>
    <n v="96"/>
    <n v="27"/>
    <x v="2"/>
    <x v="0"/>
    <x v="1"/>
    <x v="0"/>
    <x v="1"/>
    <d v="1899-12-30T15:27:00"/>
  </r>
  <r>
    <s v="2279"/>
    <s v="152 Main St, Cityb"/>
    <d v="2023-09-07T00:00:00"/>
    <s v="September"/>
    <x v="2"/>
    <d v="1899-12-30T13:37:00"/>
    <x v="0"/>
    <x v="0"/>
    <s v="D15"/>
    <x v="0"/>
    <s v="City B"/>
    <n v="233"/>
    <n v="3"/>
    <x v="0"/>
    <x v="0"/>
    <x v="0"/>
    <x v="1"/>
    <x v="2"/>
    <d v="1899-12-30T17:21:00"/>
  </r>
  <r>
    <s v="2353"/>
    <s v="919 Oak St, Cityd"/>
    <d v="2023-09-03T00:00:00"/>
    <s v="September"/>
    <x v="0"/>
    <d v="1899-12-30T14:49:00"/>
    <x v="0"/>
    <x v="0"/>
    <s v="D15"/>
    <x v="0"/>
    <s v="City C"/>
    <n v="162"/>
    <n v="2"/>
    <x v="2"/>
    <x v="0"/>
    <x v="3"/>
    <x v="1"/>
    <x v="1"/>
    <d v="1899-12-30T11:56:00"/>
  </r>
  <r>
    <s v="1042"/>
    <s v="198 Cedar St, Cityb"/>
    <d v="2023-09-06T00:00:00"/>
    <s v="September"/>
    <x v="5"/>
    <d v="1899-12-30T09:53:00"/>
    <x v="1"/>
    <x v="1"/>
    <s v="D16"/>
    <x v="0"/>
    <s v="City E"/>
    <n v="168"/>
    <n v="20"/>
    <x v="0"/>
    <x v="1"/>
    <x v="2"/>
    <x v="2"/>
    <x v="0"/>
    <d v="1899-12-30T16:15:00"/>
  </r>
  <r>
    <s v="1117"/>
    <s v="583 Main St, Cityb"/>
    <d v="2023-09-03T00:00:00"/>
    <s v="September"/>
    <x v="0"/>
    <d v="1899-12-30T16:55:00"/>
    <x v="0"/>
    <x v="0"/>
    <s v="D16"/>
    <x v="0"/>
    <s v="City D"/>
    <n v="191"/>
    <n v="16"/>
    <x v="0"/>
    <x v="0"/>
    <x v="1"/>
    <x v="2"/>
    <x v="1"/>
    <d v="1899-12-30T13:19:00"/>
  </r>
  <r>
    <s v="1126"/>
    <s v="864 Elm St, Citye"/>
    <d v="2023-09-02T00:00:00"/>
    <s v="September"/>
    <x v="4"/>
    <d v="1899-12-30T13:42:00"/>
    <x v="0"/>
    <x v="0"/>
    <s v="D16"/>
    <x v="1"/>
    <s v="City D"/>
    <n v="111"/>
    <n v="27"/>
    <x v="2"/>
    <x v="0"/>
    <x v="4"/>
    <x v="2"/>
    <x v="2"/>
    <d v="1899-12-30T14:15:00"/>
  </r>
  <r>
    <s v="1361"/>
    <s v="980 Main St, Citya"/>
    <d v="2023-09-07T00:00:00"/>
    <s v="September"/>
    <x v="2"/>
    <d v="1899-12-30T15:46:00"/>
    <x v="1"/>
    <x v="1"/>
    <s v="D16"/>
    <x v="0"/>
    <s v="City B"/>
    <n v="189"/>
    <n v="3"/>
    <x v="1"/>
    <x v="1"/>
    <x v="3"/>
    <x v="1"/>
    <x v="0"/>
    <d v="1899-12-30T10:02:00"/>
  </r>
  <r>
    <s v="1542"/>
    <s v="235 Pine St, Citya"/>
    <d v="2023-09-04T00:00:00"/>
    <s v="September"/>
    <x v="1"/>
    <d v="1899-12-30T09:45:00"/>
    <x v="0"/>
    <x v="0"/>
    <s v="D16"/>
    <x v="2"/>
    <s v="City D"/>
    <n v="87"/>
    <n v="28"/>
    <x v="2"/>
    <x v="0"/>
    <x v="3"/>
    <x v="0"/>
    <x v="1"/>
    <d v="1899-12-30T13:02:00"/>
  </r>
  <r>
    <s v="1597"/>
    <s v="335 Oak St, Cityd"/>
    <d v="2023-09-02T00:00:00"/>
    <s v="September"/>
    <x v="4"/>
    <d v="1899-12-30T10:26:00"/>
    <x v="0"/>
    <x v="0"/>
    <s v="D16"/>
    <x v="2"/>
    <s v="City B"/>
    <n v="186"/>
    <n v="13"/>
    <x v="1"/>
    <x v="0"/>
    <x v="1"/>
    <x v="0"/>
    <x v="0"/>
    <d v="1899-12-30T13:33:00"/>
  </r>
  <r>
    <s v="1599"/>
    <s v="776 Cedar St, Citye"/>
    <d v="2023-09-02T00:00:00"/>
    <s v="September"/>
    <x v="4"/>
    <d v="1899-12-30T08:30:00"/>
    <x v="0"/>
    <x v="0"/>
    <s v="D16"/>
    <x v="0"/>
    <s v="City C"/>
    <n v="134"/>
    <n v="11"/>
    <x v="1"/>
    <x v="0"/>
    <x v="1"/>
    <x v="0"/>
    <x v="0"/>
    <d v="1899-12-30T14:33:00"/>
  </r>
  <r>
    <s v="1654"/>
    <s v="826 Pine St, Cityb"/>
    <d v="2023-09-02T00:00:00"/>
    <s v="September"/>
    <x v="4"/>
    <d v="1899-12-30T11:06:00"/>
    <x v="1"/>
    <x v="1"/>
    <s v="D16"/>
    <x v="0"/>
    <s v="City B"/>
    <n v="146"/>
    <n v="27"/>
    <x v="0"/>
    <x v="1"/>
    <x v="3"/>
    <x v="1"/>
    <x v="0"/>
    <d v="1899-12-30T16:31:00"/>
  </r>
  <r>
    <s v="1980"/>
    <s v="51 Oak St, Cityc"/>
    <d v="2023-09-03T00:00:00"/>
    <s v="September"/>
    <x v="0"/>
    <d v="1899-12-30T11:04:00"/>
    <x v="1"/>
    <x v="1"/>
    <s v="D16"/>
    <x v="2"/>
    <s v="City D"/>
    <n v="214"/>
    <n v="10"/>
    <x v="0"/>
    <x v="1"/>
    <x v="1"/>
    <x v="2"/>
    <x v="1"/>
    <d v="1899-12-30T10:20:00"/>
  </r>
  <r>
    <s v="2040"/>
    <s v="182 Pine St, Citya"/>
    <d v="2023-09-07T00:00:00"/>
    <s v="September"/>
    <x v="2"/>
    <d v="1899-12-30T13:32:00"/>
    <x v="1"/>
    <x v="1"/>
    <s v="D16"/>
    <x v="0"/>
    <s v="City B"/>
    <n v="237"/>
    <n v="7"/>
    <x v="1"/>
    <x v="1"/>
    <x v="3"/>
    <x v="1"/>
    <x v="0"/>
    <d v="1899-12-30T15:25:00"/>
  </r>
  <r>
    <s v="2125"/>
    <s v="977 Pine St, Cityd"/>
    <d v="2023-09-07T00:00:00"/>
    <s v="September"/>
    <x v="2"/>
    <d v="1899-12-30T08:28:00"/>
    <x v="0"/>
    <x v="0"/>
    <s v="D16"/>
    <x v="0"/>
    <s v="City A"/>
    <n v="154"/>
    <n v="13"/>
    <x v="2"/>
    <x v="0"/>
    <x v="3"/>
    <x v="1"/>
    <x v="2"/>
    <d v="1899-12-30T15:25:00"/>
  </r>
  <r>
    <s v="2135"/>
    <s v="932 Cedar St, Cityb"/>
    <d v="2023-09-06T00:00:00"/>
    <s v="September"/>
    <x v="5"/>
    <d v="1899-12-30T10:09:00"/>
    <x v="0"/>
    <x v="0"/>
    <s v="D16"/>
    <x v="0"/>
    <s v="City C"/>
    <n v="101"/>
    <n v="25"/>
    <x v="2"/>
    <x v="0"/>
    <x v="3"/>
    <x v="0"/>
    <x v="1"/>
    <d v="1899-12-30T13:44:00"/>
  </r>
  <r>
    <s v="2181"/>
    <s v="242 Pine St, Cityb"/>
    <d v="2023-09-07T00:00:00"/>
    <s v="September"/>
    <x v="2"/>
    <d v="1899-12-30T10:01:00"/>
    <x v="1"/>
    <x v="1"/>
    <s v="D16"/>
    <x v="0"/>
    <s v="City B"/>
    <n v="89"/>
    <n v="28"/>
    <x v="2"/>
    <x v="1"/>
    <x v="3"/>
    <x v="0"/>
    <x v="2"/>
    <d v="1899-12-30T09:04:00"/>
  </r>
  <r>
    <s v="2219"/>
    <s v="888 Main St, Cityb"/>
    <d v="2023-09-07T00:00:00"/>
    <s v="September"/>
    <x v="2"/>
    <d v="1899-12-30T16:20:00"/>
    <x v="1"/>
    <x v="1"/>
    <s v="D16"/>
    <x v="1"/>
    <s v="City D"/>
    <n v="220"/>
    <n v="22"/>
    <x v="0"/>
    <x v="1"/>
    <x v="2"/>
    <x v="2"/>
    <x v="1"/>
    <d v="1899-12-30T15:04:00"/>
  </r>
  <r>
    <s v="2245"/>
    <s v="608 Main St, Cityb"/>
    <d v="2023-09-06T00:00:00"/>
    <s v="September"/>
    <x v="5"/>
    <d v="1899-12-30T09:00:00"/>
    <x v="0"/>
    <x v="0"/>
    <s v="D16"/>
    <x v="1"/>
    <s v="City A"/>
    <n v="171"/>
    <n v="23"/>
    <x v="0"/>
    <x v="0"/>
    <x v="4"/>
    <x v="2"/>
    <x v="1"/>
    <d v="1899-12-30T16:09:00"/>
  </r>
  <r>
    <s v="2332"/>
    <s v="255 Elm St, Cityc"/>
    <d v="2023-09-06T00:00:00"/>
    <s v="September"/>
    <x v="5"/>
    <d v="1899-12-30T11:01:00"/>
    <x v="1"/>
    <x v="1"/>
    <s v="D16"/>
    <x v="0"/>
    <s v="City E"/>
    <n v="213"/>
    <n v="18"/>
    <x v="0"/>
    <x v="1"/>
    <x v="2"/>
    <x v="2"/>
    <x v="2"/>
    <d v="1899-12-30T15:53:00"/>
  </r>
  <r>
    <s v="2344"/>
    <s v="783 Pine St, Citya"/>
    <d v="2023-09-05T00:00:00"/>
    <s v="September"/>
    <x v="6"/>
    <d v="1899-12-30T12:19:00"/>
    <x v="1"/>
    <x v="1"/>
    <s v="D16"/>
    <x v="2"/>
    <s v="City C"/>
    <n v="144"/>
    <n v="7"/>
    <x v="0"/>
    <x v="1"/>
    <x v="0"/>
    <x v="0"/>
    <x v="1"/>
    <d v="1899-12-30T09:24:00"/>
  </r>
  <r>
    <s v="2412"/>
    <s v="354 Pine St, Citya"/>
    <d v="2023-09-04T00:00:00"/>
    <s v="September"/>
    <x v="1"/>
    <d v="1899-12-30T14:20:00"/>
    <x v="0"/>
    <x v="0"/>
    <s v="D16"/>
    <x v="2"/>
    <s v="City C"/>
    <n v="104"/>
    <n v="20"/>
    <x v="1"/>
    <x v="0"/>
    <x v="2"/>
    <x v="1"/>
    <x v="0"/>
    <d v="1899-12-30T08:48:00"/>
  </r>
  <r>
    <s v="1180"/>
    <s v="422 Oak St, Cityd"/>
    <d v="2023-09-03T00:00:00"/>
    <s v="September"/>
    <x v="0"/>
    <d v="1899-12-30T14:06:00"/>
    <x v="0"/>
    <x v="0"/>
    <s v="D17"/>
    <x v="0"/>
    <s v="City B"/>
    <n v="82"/>
    <n v="3"/>
    <x v="2"/>
    <x v="0"/>
    <x v="1"/>
    <x v="0"/>
    <x v="1"/>
    <d v="1899-12-30T09:47:00"/>
  </r>
  <r>
    <s v="1390"/>
    <s v="523 Oak St, Cityd"/>
    <d v="2023-09-03T00:00:00"/>
    <s v="September"/>
    <x v="0"/>
    <d v="1899-12-30T09:07:00"/>
    <x v="0"/>
    <x v="0"/>
    <s v="D17"/>
    <x v="2"/>
    <s v="City C"/>
    <n v="112"/>
    <n v="6"/>
    <x v="0"/>
    <x v="0"/>
    <x v="3"/>
    <x v="1"/>
    <x v="0"/>
    <d v="1899-12-30T12:13:00"/>
  </r>
  <r>
    <s v="1431"/>
    <s v="662 Elm St, Cityd"/>
    <d v="2023-09-01T00:00:00"/>
    <s v="September"/>
    <x v="3"/>
    <d v="1899-12-30T09:24:00"/>
    <x v="0"/>
    <x v="0"/>
    <s v="D17"/>
    <x v="1"/>
    <s v="City C"/>
    <n v="140"/>
    <n v="10"/>
    <x v="0"/>
    <x v="0"/>
    <x v="2"/>
    <x v="0"/>
    <x v="0"/>
    <d v="1899-12-30T09:02:00"/>
  </r>
  <r>
    <s v="1454"/>
    <s v="666 Main St, Citye"/>
    <d v="2023-09-04T00:00:00"/>
    <s v="September"/>
    <x v="1"/>
    <d v="1899-12-30T16:44:00"/>
    <x v="0"/>
    <x v="0"/>
    <s v="D17"/>
    <x v="2"/>
    <s v="City C"/>
    <n v="79"/>
    <n v="3"/>
    <x v="0"/>
    <x v="0"/>
    <x v="4"/>
    <x v="1"/>
    <x v="2"/>
    <d v="1899-12-30T10:03:00"/>
  </r>
  <r>
    <s v="1482"/>
    <s v="681 Elm St, Cityb"/>
    <d v="2023-09-02T00:00:00"/>
    <s v="September"/>
    <x v="4"/>
    <d v="1899-12-30T16:18:00"/>
    <x v="0"/>
    <x v="0"/>
    <s v="D17"/>
    <x v="0"/>
    <s v="City A"/>
    <n v="222"/>
    <n v="10"/>
    <x v="0"/>
    <x v="0"/>
    <x v="0"/>
    <x v="1"/>
    <x v="1"/>
    <d v="1899-12-30T08:31:00"/>
  </r>
  <r>
    <s v="1510"/>
    <s v="882 Pine St, Citye"/>
    <d v="2023-09-01T00:00:00"/>
    <s v="September"/>
    <x v="3"/>
    <d v="1899-12-30T11:11:00"/>
    <x v="0"/>
    <x v="0"/>
    <s v="D17"/>
    <x v="0"/>
    <s v="City B"/>
    <n v="209"/>
    <n v="9"/>
    <x v="2"/>
    <x v="0"/>
    <x v="0"/>
    <x v="1"/>
    <x v="0"/>
    <d v="1899-12-30T10:38:00"/>
  </r>
  <r>
    <s v="1528"/>
    <s v="714 Cedar St, Cityd"/>
    <d v="2023-09-03T00:00:00"/>
    <s v="September"/>
    <x v="0"/>
    <d v="1899-12-30T16:41:00"/>
    <x v="0"/>
    <x v="0"/>
    <s v="D17"/>
    <x v="0"/>
    <s v="City E"/>
    <n v="124"/>
    <n v="19"/>
    <x v="2"/>
    <x v="0"/>
    <x v="0"/>
    <x v="0"/>
    <x v="1"/>
    <d v="1899-12-30T13:22:00"/>
  </r>
  <r>
    <s v="1804"/>
    <s v="511 Pine St, Citya"/>
    <d v="2023-09-07T00:00:00"/>
    <s v="September"/>
    <x v="2"/>
    <d v="1899-12-30T10:05:00"/>
    <x v="0"/>
    <x v="0"/>
    <s v="D17"/>
    <x v="2"/>
    <s v="City A"/>
    <n v="168"/>
    <n v="17"/>
    <x v="1"/>
    <x v="0"/>
    <x v="2"/>
    <x v="0"/>
    <x v="2"/>
    <d v="1899-12-30T10:01:00"/>
  </r>
  <r>
    <s v="1817"/>
    <s v="416 Pine St, Cityb"/>
    <d v="2023-09-04T00:00:00"/>
    <s v="September"/>
    <x v="1"/>
    <d v="1899-12-30T10:16:00"/>
    <x v="0"/>
    <x v="0"/>
    <s v="D17"/>
    <x v="1"/>
    <s v="City D"/>
    <n v="159"/>
    <n v="1"/>
    <x v="1"/>
    <x v="0"/>
    <x v="0"/>
    <x v="0"/>
    <x v="1"/>
    <d v="1899-12-30T10:26:00"/>
  </r>
  <r>
    <s v="1825"/>
    <s v="345 Elm St, Citye"/>
    <d v="2023-09-02T00:00:00"/>
    <s v="September"/>
    <x v="4"/>
    <d v="1899-12-30T12:58:00"/>
    <x v="0"/>
    <x v="0"/>
    <s v="D17"/>
    <x v="1"/>
    <s v="City D"/>
    <n v="239"/>
    <n v="24"/>
    <x v="0"/>
    <x v="0"/>
    <x v="4"/>
    <x v="2"/>
    <x v="0"/>
    <d v="1899-12-30T14:53:00"/>
  </r>
  <r>
    <s v="1891"/>
    <s v="466 Cedar St, Citye"/>
    <d v="2023-09-01T00:00:00"/>
    <s v="September"/>
    <x v="3"/>
    <d v="1899-12-30T13:20:00"/>
    <x v="1"/>
    <x v="1"/>
    <s v="D17"/>
    <x v="0"/>
    <s v="City A"/>
    <n v="232"/>
    <n v="23"/>
    <x v="2"/>
    <x v="1"/>
    <x v="0"/>
    <x v="2"/>
    <x v="2"/>
    <d v="1899-12-30T16:55:00"/>
  </r>
  <r>
    <s v="1907"/>
    <s v="549 Cedar St, Cityd"/>
    <d v="2023-09-08T00:00:00"/>
    <s v="September"/>
    <x v="3"/>
    <d v="1899-12-30T10:36:00"/>
    <x v="1"/>
    <x v="1"/>
    <s v="D17"/>
    <x v="0"/>
    <s v="City D"/>
    <n v="125"/>
    <n v="8"/>
    <x v="2"/>
    <x v="1"/>
    <x v="4"/>
    <x v="1"/>
    <x v="2"/>
    <d v="1899-12-30T12:10:00"/>
  </r>
  <r>
    <s v="1940"/>
    <s v="491 Oak St, Citya"/>
    <d v="2023-09-03T00:00:00"/>
    <s v="September"/>
    <x v="0"/>
    <d v="1899-12-30T16:42:00"/>
    <x v="0"/>
    <x v="0"/>
    <s v="D17"/>
    <x v="0"/>
    <s v="City A"/>
    <n v="143"/>
    <n v="23"/>
    <x v="1"/>
    <x v="0"/>
    <x v="3"/>
    <x v="1"/>
    <x v="1"/>
    <d v="1899-12-30T13:54:00"/>
  </r>
  <r>
    <s v="2169"/>
    <s v="535 Main St, Cityb"/>
    <d v="2023-09-03T00:00:00"/>
    <s v="September"/>
    <x v="0"/>
    <d v="1899-12-30T08:51:00"/>
    <x v="1"/>
    <x v="1"/>
    <s v="D17"/>
    <x v="0"/>
    <s v="City E"/>
    <n v="99"/>
    <n v="13"/>
    <x v="2"/>
    <x v="1"/>
    <x v="2"/>
    <x v="0"/>
    <x v="1"/>
    <d v="1899-12-30T12:14:00"/>
  </r>
  <r>
    <s v="2494"/>
    <s v="987 Cedar St, Citya"/>
    <d v="2023-09-08T00:00:00"/>
    <s v="September"/>
    <x v="3"/>
    <d v="1899-12-30T11:37:00"/>
    <x v="1"/>
    <x v="1"/>
    <s v="D17"/>
    <x v="2"/>
    <s v="City A"/>
    <n v="71"/>
    <n v="3"/>
    <x v="0"/>
    <x v="1"/>
    <x v="1"/>
    <x v="1"/>
    <x v="1"/>
    <d v="1899-12-30T12:44:00"/>
  </r>
  <r>
    <s v="1049"/>
    <s v="193 Pine St, Citya"/>
    <d v="2023-09-02T00:00:00"/>
    <s v="September"/>
    <x v="4"/>
    <d v="1899-12-30T14:30:00"/>
    <x v="0"/>
    <x v="0"/>
    <s v="D18"/>
    <x v="1"/>
    <s v="City D"/>
    <n v="67"/>
    <n v="14"/>
    <x v="2"/>
    <x v="0"/>
    <x v="4"/>
    <x v="0"/>
    <x v="1"/>
    <d v="1899-12-30T10:21:00"/>
  </r>
  <r>
    <s v="1059"/>
    <s v="967 Pine St, Cityd"/>
    <d v="2023-09-05T00:00:00"/>
    <s v="September"/>
    <x v="6"/>
    <d v="1899-12-30T15:00:00"/>
    <x v="1"/>
    <x v="1"/>
    <s v="D18"/>
    <x v="1"/>
    <s v="City B"/>
    <n v="151"/>
    <n v="23"/>
    <x v="1"/>
    <x v="1"/>
    <x v="3"/>
    <x v="2"/>
    <x v="1"/>
    <d v="1899-12-30T08:25:00"/>
  </r>
  <r>
    <s v="1115"/>
    <s v="786 Elm St, Cityb"/>
    <d v="2023-09-04T00:00:00"/>
    <s v="September"/>
    <x v="1"/>
    <d v="1899-12-30T14:57:00"/>
    <x v="0"/>
    <x v="0"/>
    <s v="D18"/>
    <x v="1"/>
    <s v="City C"/>
    <n v="155"/>
    <n v="8"/>
    <x v="2"/>
    <x v="0"/>
    <x v="0"/>
    <x v="2"/>
    <x v="1"/>
    <d v="1899-12-30T08:55:00"/>
  </r>
  <r>
    <s v="1182"/>
    <s v="324 Cedar St, Citye"/>
    <d v="2023-09-03T00:00:00"/>
    <s v="September"/>
    <x v="0"/>
    <d v="1899-12-30T08:28:00"/>
    <x v="0"/>
    <x v="0"/>
    <s v="D18"/>
    <x v="0"/>
    <s v="City B"/>
    <n v="186"/>
    <n v="28"/>
    <x v="2"/>
    <x v="0"/>
    <x v="2"/>
    <x v="1"/>
    <x v="0"/>
    <d v="1899-12-30T09:38:00"/>
  </r>
  <r>
    <s v="1200"/>
    <s v="680 Elm St, Cityd"/>
    <d v="2023-09-06T00:00:00"/>
    <s v="September"/>
    <x v="5"/>
    <d v="1899-12-30T11:45:00"/>
    <x v="1"/>
    <x v="1"/>
    <s v="D18"/>
    <x v="0"/>
    <s v="City D"/>
    <n v="85"/>
    <n v="14"/>
    <x v="1"/>
    <x v="1"/>
    <x v="2"/>
    <x v="2"/>
    <x v="0"/>
    <d v="1899-12-30T17:09:00"/>
  </r>
  <r>
    <s v="1307"/>
    <s v="623 Oak St, Cityb"/>
    <d v="2023-09-03T00:00:00"/>
    <s v="September"/>
    <x v="0"/>
    <d v="1899-12-30T12:19:00"/>
    <x v="0"/>
    <x v="0"/>
    <s v="D18"/>
    <x v="1"/>
    <s v="City B"/>
    <n v="164"/>
    <n v="3"/>
    <x v="2"/>
    <x v="0"/>
    <x v="3"/>
    <x v="1"/>
    <x v="2"/>
    <d v="1899-12-30T09:29:00"/>
  </r>
  <r>
    <s v="1327"/>
    <s v="625 Elm St, Cityb"/>
    <d v="2023-09-02T00:00:00"/>
    <s v="September"/>
    <x v="4"/>
    <d v="1899-12-30T11:45:00"/>
    <x v="0"/>
    <x v="0"/>
    <s v="D18"/>
    <x v="0"/>
    <s v="City D"/>
    <n v="178"/>
    <n v="24"/>
    <x v="2"/>
    <x v="0"/>
    <x v="4"/>
    <x v="0"/>
    <x v="2"/>
    <d v="1899-12-30T12:33:00"/>
  </r>
  <r>
    <s v="1443"/>
    <s v="65 Elm St, Cityb"/>
    <d v="2023-09-05T00:00:00"/>
    <s v="September"/>
    <x v="6"/>
    <d v="1899-12-30T14:50:00"/>
    <x v="0"/>
    <x v="0"/>
    <s v="D18"/>
    <x v="1"/>
    <s v="City D"/>
    <n v="87"/>
    <n v="7"/>
    <x v="2"/>
    <x v="0"/>
    <x v="0"/>
    <x v="1"/>
    <x v="0"/>
    <d v="1899-12-30T15:28:00"/>
  </r>
  <r>
    <s v="1612"/>
    <s v="846 Oak St, Citye"/>
    <d v="2023-09-05T00:00:00"/>
    <s v="September"/>
    <x v="6"/>
    <d v="1899-12-30T08:30:00"/>
    <x v="0"/>
    <x v="0"/>
    <s v="D18"/>
    <x v="2"/>
    <s v="City D"/>
    <n v="126"/>
    <n v="3"/>
    <x v="1"/>
    <x v="0"/>
    <x v="0"/>
    <x v="0"/>
    <x v="1"/>
    <d v="1899-12-30T10:04:00"/>
  </r>
  <r>
    <s v="1715"/>
    <s v="837 Elm St, Citye"/>
    <d v="2023-09-03T00:00:00"/>
    <s v="September"/>
    <x v="0"/>
    <d v="1899-12-30T10:42:00"/>
    <x v="0"/>
    <x v="0"/>
    <s v="D18"/>
    <x v="1"/>
    <s v="City D"/>
    <n v="192"/>
    <n v="7"/>
    <x v="2"/>
    <x v="0"/>
    <x v="0"/>
    <x v="2"/>
    <x v="1"/>
    <d v="1899-12-30T16:53:00"/>
  </r>
  <r>
    <s v="1720"/>
    <s v="876 Elm St, Cityc"/>
    <d v="2023-09-04T00:00:00"/>
    <s v="September"/>
    <x v="1"/>
    <d v="1899-12-30T08:22:00"/>
    <x v="1"/>
    <x v="1"/>
    <s v="D18"/>
    <x v="0"/>
    <s v="City C"/>
    <n v="148"/>
    <n v="1"/>
    <x v="2"/>
    <x v="1"/>
    <x v="1"/>
    <x v="1"/>
    <x v="2"/>
    <d v="1899-12-30T11:42:00"/>
  </r>
  <r>
    <s v="1728"/>
    <s v="728 Main St, Cityb"/>
    <d v="2023-09-03T00:00:00"/>
    <s v="September"/>
    <x v="0"/>
    <d v="1899-12-30T13:54:00"/>
    <x v="1"/>
    <x v="1"/>
    <s v="D18"/>
    <x v="2"/>
    <s v="City C"/>
    <n v="203"/>
    <n v="16"/>
    <x v="2"/>
    <x v="1"/>
    <x v="3"/>
    <x v="0"/>
    <x v="2"/>
    <d v="1899-12-30T13:15:00"/>
  </r>
  <r>
    <s v="1749"/>
    <s v="665 Oak St, Cityd"/>
    <d v="2023-09-02T00:00:00"/>
    <s v="September"/>
    <x v="4"/>
    <d v="1899-12-30T13:35:00"/>
    <x v="0"/>
    <x v="0"/>
    <s v="D18"/>
    <x v="2"/>
    <s v="City A"/>
    <n v="110"/>
    <n v="8"/>
    <x v="2"/>
    <x v="0"/>
    <x v="4"/>
    <x v="2"/>
    <x v="1"/>
    <d v="1899-12-30T13:52:00"/>
  </r>
  <r>
    <s v="1770"/>
    <s v="343 Cedar St, Cityd"/>
    <d v="2023-09-01T00:00:00"/>
    <s v="September"/>
    <x v="3"/>
    <d v="1899-12-30T11:44:00"/>
    <x v="1"/>
    <x v="1"/>
    <s v="D18"/>
    <x v="1"/>
    <s v="City D"/>
    <n v="81"/>
    <n v="15"/>
    <x v="1"/>
    <x v="1"/>
    <x v="0"/>
    <x v="1"/>
    <x v="0"/>
    <d v="1899-12-30T09:31:00"/>
  </r>
  <r>
    <s v="2147"/>
    <s v="144 Elm St, Citya"/>
    <d v="2023-09-01T00:00:00"/>
    <s v="September"/>
    <x v="3"/>
    <d v="1899-12-30T15:54:00"/>
    <x v="1"/>
    <x v="1"/>
    <s v="D18"/>
    <x v="1"/>
    <s v="City D"/>
    <n v="204"/>
    <n v="29"/>
    <x v="1"/>
    <x v="1"/>
    <x v="3"/>
    <x v="2"/>
    <x v="0"/>
    <d v="1899-12-30T13:24:00"/>
  </r>
  <r>
    <s v="2214"/>
    <s v="220 Main St, Cityc"/>
    <d v="2023-09-01T00:00:00"/>
    <s v="September"/>
    <x v="3"/>
    <d v="1899-12-30T10:53:00"/>
    <x v="0"/>
    <x v="0"/>
    <s v="D18"/>
    <x v="2"/>
    <s v="City E"/>
    <n v="76"/>
    <n v="19"/>
    <x v="2"/>
    <x v="0"/>
    <x v="4"/>
    <x v="1"/>
    <x v="0"/>
    <d v="1899-12-30T11:52:00"/>
  </r>
  <r>
    <s v="2284"/>
    <s v="533 Cedar St, Cityd"/>
    <d v="2023-09-07T00:00:00"/>
    <s v="September"/>
    <x v="2"/>
    <d v="1899-12-30T10:44:00"/>
    <x v="1"/>
    <x v="1"/>
    <s v="D18"/>
    <x v="0"/>
    <s v="City D"/>
    <n v="94"/>
    <n v="13"/>
    <x v="0"/>
    <x v="1"/>
    <x v="4"/>
    <x v="1"/>
    <x v="2"/>
    <d v="1899-12-30T13:04:00"/>
  </r>
  <r>
    <s v="2354"/>
    <s v="909 Main St, Cityb"/>
    <d v="2023-09-03T00:00:00"/>
    <s v="September"/>
    <x v="0"/>
    <d v="1899-12-30T10:54:00"/>
    <x v="1"/>
    <x v="1"/>
    <s v="D18"/>
    <x v="0"/>
    <s v="City D"/>
    <n v="99"/>
    <n v="7"/>
    <x v="2"/>
    <x v="1"/>
    <x v="3"/>
    <x v="2"/>
    <x v="2"/>
    <d v="1899-12-30T13:42:00"/>
  </r>
  <r>
    <s v="2362"/>
    <s v="587 Pine St, Cityc"/>
    <d v="2023-09-03T00:00:00"/>
    <s v="September"/>
    <x v="0"/>
    <d v="1899-12-30T14:20:00"/>
    <x v="1"/>
    <x v="1"/>
    <s v="D18"/>
    <x v="2"/>
    <s v="City B"/>
    <n v="195"/>
    <n v="23"/>
    <x v="1"/>
    <x v="1"/>
    <x v="3"/>
    <x v="1"/>
    <x v="2"/>
    <d v="1899-12-30T15:07:00"/>
  </r>
  <r>
    <s v="2471"/>
    <s v="774 Cedar St, Citya"/>
    <d v="2023-09-08T00:00:00"/>
    <s v="September"/>
    <x v="3"/>
    <d v="1899-12-30T16:08:00"/>
    <x v="0"/>
    <x v="0"/>
    <s v="D18"/>
    <x v="1"/>
    <s v="City C"/>
    <n v="75"/>
    <n v="15"/>
    <x v="1"/>
    <x v="0"/>
    <x v="4"/>
    <x v="2"/>
    <x v="0"/>
    <d v="1899-12-30T15:42:00"/>
  </r>
  <r>
    <s v="2491"/>
    <s v="201 Cedar St, Cityb"/>
    <d v="2023-09-04T00:00:00"/>
    <s v="September"/>
    <x v="1"/>
    <d v="1899-12-30T15:42:00"/>
    <x v="1"/>
    <x v="1"/>
    <s v="D18"/>
    <x v="1"/>
    <s v="City E"/>
    <n v="119"/>
    <n v="17"/>
    <x v="1"/>
    <x v="1"/>
    <x v="4"/>
    <x v="0"/>
    <x v="0"/>
    <d v="1899-12-30T09:12:00"/>
  </r>
  <r>
    <s v="1054"/>
    <s v="577 Cedar St, Citye"/>
    <d v="2023-09-02T00:00:00"/>
    <s v="September"/>
    <x v="4"/>
    <d v="1899-12-30T12:49:00"/>
    <x v="0"/>
    <x v="0"/>
    <s v="D19"/>
    <x v="0"/>
    <s v="City E"/>
    <n v="162"/>
    <n v="12"/>
    <x v="1"/>
    <x v="0"/>
    <x v="0"/>
    <x v="2"/>
    <x v="2"/>
    <d v="1899-12-30T14:58:00"/>
  </r>
  <r>
    <s v="1234"/>
    <s v="966 Oak St, Cityc"/>
    <d v="2023-09-02T00:00:00"/>
    <s v="September"/>
    <x v="4"/>
    <d v="1899-12-30T09:51:00"/>
    <x v="0"/>
    <x v="0"/>
    <s v="D19"/>
    <x v="2"/>
    <s v="City A"/>
    <n v="79"/>
    <n v="4"/>
    <x v="0"/>
    <x v="0"/>
    <x v="1"/>
    <x v="1"/>
    <x v="1"/>
    <d v="1899-12-30T11:53:00"/>
  </r>
  <r>
    <s v="1235"/>
    <s v="566 Elm St, Cityd"/>
    <d v="2023-09-01T00:00:00"/>
    <s v="September"/>
    <x v="3"/>
    <d v="1899-12-30T08:13:00"/>
    <x v="0"/>
    <x v="0"/>
    <s v="D19"/>
    <x v="2"/>
    <s v="City E"/>
    <n v="194"/>
    <n v="19"/>
    <x v="1"/>
    <x v="0"/>
    <x v="4"/>
    <x v="1"/>
    <x v="0"/>
    <d v="1899-12-30T14:14:00"/>
  </r>
  <r>
    <s v="1259"/>
    <s v="454 Elm St, Citye"/>
    <d v="2023-09-04T00:00:00"/>
    <s v="September"/>
    <x v="1"/>
    <d v="1899-12-30T13:12:00"/>
    <x v="0"/>
    <x v="0"/>
    <s v="D19"/>
    <x v="0"/>
    <s v="City B"/>
    <n v="226"/>
    <n v="14"/>
    <x v="1"/>
    <x v="0"/>
    <x v="1"/>
    <x v="0"/>
    <x v="0"/>
    <d v="1899-12-30T17:12:00"/>
  </r>
  <r>
    <s v="1359"/>
    <s v="465 Oak St, Cityb"/>
    <d v="2023-09-07T00:00:00"/>
    <s v="September"/>
    <x v="2"/>
    <d v="1899-12-30T11:45:00"/>
    <x v="1"/>
    <x v="1"/>
    <s v="D19"/>
    <x v="1"/>
    <s v="City D"/>
    <n v="164"/>
    <n v="1"/>
    <x v="1"/>
    <x v="1"/>
    <x v="2"/>
    <x v="2"/>
    <x v="1"/>
    <d v="1899-12-30T17:20:00"/>
  </r>
  <r>
    <s v="1385"/>
    <s v="491 Main St, Citya"/>
    <d v="2023-09-08T00:00:00"/>
    <s v="September"/>
    <x v="3"/>
    <d v="1899-12-30T14:44:00"/>
    <x v="1"/>
    <x v="1"/>
    <s v="D19"/>
    <x v="0"/>
    <s v="City B"/>
    <n v="192"/>
    <n v="14"/>
    <x v="2"/>
    <x v="1"/>
    <x v="3"/>
    <x v="0"/>
    <x v="2"/>
    <d v="1899-12-30T15:55:00"/>
  </r>
  <r>
    <s v="1393"/>
    <s v="604 Main St, Cityb"/>
    <d v="2023-09-02T00:00:00"/>
    <s v="September"/>
    <x v="4"/>
    <d v="1899-12-30T08:22:00"/>
    <x v="1"/>
    <x v="1"/>
    <s v="D19"/>
    <x v="0"/>
    <s v="City B"/>
    <n v="205"/>
    <n v="15"/>
    <x v="1"/>
    <x v="1"/>
    <x v="4"/>
    <x v="0"/>
    <x v="2"/>
    <d v="1899-12-30T13:46:00"/>
  </r>
  <r>
    <s v="1398"/>
    <s v="218 Elm St, Citye"/>
    <d v="2023-09-03T00:00:00"/>
    <s v="September"/>
    <x v="0"/>
    <d v="1899-12-30T11:26:00"/>
    <x v="0"/>
    <x v="0"/>
    <s v="D19"/>
    <x v="2"/>
    <s v="City C"/>
    <n v="84"/>
    <n v="24"/>
    <x v="1"/>
    <x v="0"/>
    <x v="0"/>
    <x v="1"/>
    <x v="1"/>
    <d v="1899-12-30T14:01:00"/>
  </r>
  <r>
    <s v="1406"/>
    <s v="30 Pine St, Citye"/>
    <d v="2023-09-07T00:00:00"/>
    <s v="September"/>
    <x v="2"/>
    <d v="1899-12-30T16:39:00"/>
    <x v="0"/>
    <x v="0"/>
    <s v="D19"/>
    <x v="2"/>
    <s v="City A"/>
    <n v="220"/>
    <n v="27"/>
    <x v="0"/>
    <x v="0"/>
    <x v="3"/>
    <x v="2"/>
    <x v="2"/>
    <d v="1899-12-30T09:59:00"/>
  </r>
  <r>
    <s v="1551"/>
    <s v="719 Pine St, Citya"/>
    <d v="2023-09-08T00:00:00"/>
    <s v="September"/>
    <x v="3"/>
    <d v="1899-12-30T10:24:00"/>
    <x v="0"/>
    <x v="0"/>
    <s v="D19"/>
    <x v="0"/>
    <s v="City B"/>
    <n v="173"/>
    <n v="4"/>
    <x v="2"/>
    <x v="0"/>
    <x v="4"/>
    <x v="1"/>
    <x v="0"/>
    <d v="1899-12-30T15:43:00"/>
  </r>
  <r>
    <s v="1563"/>
    <s v="151 Oak St, Cityb"/>
    <d v="2023-09-05T00:00:00"/>
    <s v="September"/>
    <x v="6"/>
    <d v="1899-12-30T14:00:00"/>
    <x v="1"/>
    <x v="1"/>
    <s v="D19"/>
    <x v="0"/>
    <s v="City B"/>
    <n v="69"/>
    <n v="14"/>
    <x v="2"/>
    <x v="1"/>
    <x v="3"/>
    <x v="2"/>
    <x v="2"/>
    <d v="1899-12-30T12:19:00"/>
  </r>
  <r>
    <s v="1674"/>
    <s v="330 Main St, Cityd"/>
    <d v="2023-09-08T00:00:00"/>
    <s v="September"/>
    <x v="3"/>
    <d v="1899-12-30T08:53:00"/>
    <x v="1"/>
    <x v="1"/>
    <s v="D19"/>
    <x v="1"/>
    <s v="City B"/>
    <n v="214"/>
    <n v="8"/>
    <x v="0"/>
    <x v="1"/>
    <x v="4"/>
    <x v="0"/>
    <x v="0"/>
    <d v="1899-12-30T14:18:00"/>
  </r>
  <r>
    <s v="1709"/>
    <s v="54 Cedar St, Cityb"/>
    <d v="2023-09-08T00:00:00"/>
    <s v="September"/>
    <x v="3"/>
    <d v="1899-12-30T08:04:00"/>
    <x v="1"/>
    <x v="1"/>
    <s v="D19"/>
    <x v="1"/>
    <s v="City B"/>
    <n v="125"/>
    <n v="4"/>
    <x v="2"/>
    <x v="1"/>
    <x v="3"/>
    <x v="0"/>
    <x v="1"/>
    <d v="1899-12-30T12:17:00"/>
  </r>
  <r>
    <s v="1739"/>
    <s v="516 Pine St, Cityb"/>
    <d v="2023-09-06T00:00:00"/>
    <s v="September"/>
    <x v="5"/>
    <d v="1899-12-30T09:05:00"/>
    <x v="1"/>
    <x v="1"/>
    <s v="D19"/>
    <x v="0"/>
    <s v="City E"/>
    <n v="197"/>
    <n v="2"/>
    <x v="2"/>
    <x v="1"/>
    <x v="0"/>
    <x v="2"/>
    <x v="2"/>
    <d v="1899-12-30T12:13:00"/>
  </r>
  <r>
    <s v="1808"/>
    <s v="229 Elm St, Cityb"/>
    <d v="2023-09-07T00:00:00"/>
    <s v="September"/>
    <x v="2"/>
    <d v="1899-12-30T15:27:00"/>
    <x v="1"/>
    <x v="1"/>
    <s v="D19"/>
    <x v="0"/>
    <s v="City D"/>
    <n v="150"/>
    <n v="6"/>
    <x v="0"/>
    <x v="1"/>
    <x v="4"/>
    <x v="1"/>
    <x v="0"/>
    <d v="1899-12-30T10:48:00"/>
  </r>
  <r>
    <s v="1851"/>
    <s v="368 Cedar St, Cityc"/>
    <d v="2023-09-07T00:00:00"/>
    <s v="September"/>
    <x v="2"/>
    <d v="1899-12-30T10:48:00"/>
    <x v="0"/>
    <x v="0"/>
    <s v="D19"/>
    <x v="1"/>
    <s v="City C"/>
    <n v="129"/>
    <n v="17"/>
    <x v="2"/>
    <x v="0"/>
    <x v="4"/>
    <x v="1"/>
    <x v="0"/>
    <d v="1899-12-30T08:23:00"/>
  </r>
  <r>
    <s v="1939"/>
    <s v="835 Cedar St, Cityb"/>
    <d v="2023-09-06T00:00:00"/>
    <s v="September"/>
    <x v="5"/>
    <d v="1899-12-30T12:09:00"/>
    <x v="1"/>
    <x v="1"/>
    <s v="D19"/>
    <x v="2"/>
    <s v="City A"/>
    <n v="187"/>
    <n v="22"/>
    <x v="0"/>
    <x v="1"/>
    <x v="3"/>
    <x v="2"/>
    <x v="2"/>
    <d v="1899-12-30T16:11:00"/>
  </r>
  <r>
    <s v="1992"/>
    <s v="416 Cedar St, Citya"/>
    <d v="2023-09-02T00:00:00"/>
    <s v="September"/>
    <x v="4"/>
    <d v="1899-12-30T10:14:00"/>
    <x v="1"/>
    <x v="1"/>
    <s v="D19"/>
    <x v="1"/>
    <s v="City B"/>
    <n v="151"/>
    <n v="17"/>
    <x v="2"/>
    <x v="1"/>
    <x v="1"/>
    <x v="2"/>
    <x v="2"/>
    <d v="1899-12-30T16:21:00"/>
  </r>
  <r>
    <s v="2052"/>
    <s v="261 Main St, Cityc"/>
    <d v="2023-09-01T00:00:00"/>
    <s v="September"/>
    <x v="3"/>
    <d v="1899-12-30T08:15:00"/>
    <x v="0"/>
    <x v="0"/>
    <s v="D19"/>
    <x v="0"/>
    <s v="City D"/>
    <n v="172"/>
    <n v="3"/>
    <x v="2"/>
    <x v="0"/>
    <x v="0"/>
    <x v="2"/>
    <x v="1"/>
    <d v="1899-12-30T10:57:00"/>
  </r>
  <r>
    <s v="2251"/>
    <s v="509 Oak St, Cityd"/>
    <d v="2023-09-08T00:00:00"/>
    <s v="September"/>
    <x v="3"/>
    <d v="1899-12-30T08:03:00"/>
    <x v="0"/>
    <x v="0"/>
    <s v="D19"/>
    <x v="0"/>
    <s v="City A"/>
    <n v="123"/>
    <n v="4"/>
    <x v="1"/>
    <x v="0"/>
    <x v="4"/>
    <x v="0"/>
    <x v="0"/>
    <d v="1899-12-30T14:24:00"/>
  </r>
  <r>
    <s v="2259"/>
    <s v="563 Elm St, Citye"/>
    <d v="2023-09-02T00:00:00"/>
    <s v="September"/>
    <x v="4"/>
    <d v="1899-12-30T16:21:00"/>
    <x v="1"/>
    <x v="1"/>
    <s v="D19"/>
    <x v="2"/>
    <s v="City E"/>
    <n v="98"/>
    <n v="3"/>
    <x v="1"/>
    <x v="1"/>
    <x v="1"/>
    <x v="1"/>
    <x v="2"/>
    <d v="1899-12-30T13:19:00"/>
  </r>
  <r>
    <s v="2303"/>
    <s v="642 Pine St, Cityd"/>
    <d v="2023-09-04T00:00:00"/>
    <s v="September"/>
    <x v="1"/>
    <d v="1899-12-30T09:32:00"/>
    <x v="0"/>
    <x v="0"/>
    <s v="D19"/>
    <x v="2"/>
    <s v="City D"/>
    <n v="239"/>
    <n v="18"/>
    <x v="1"/>
    <x v="0"/>
    <x v="1"/>
    <x v="1"/>
    <x v="2"/>
    <d v="1899-12-30T08:53:00"/>
  </r>
  <r>
    <s v="2400"/>
    <s v="141 Oak St, Citya"/>
    <d v="2023-09-07T00:00:00"/>
    <s v="September"/>
    <x v="2"/>
    <d v="1899-12-30T16:13:00"/>
    <x v="1"/>
    <x v="1"/>
    <s v="D19"/>
    <x v="1"/>
    <s v="City D"/>
    <n v="218"/>
    <n v="8"/>
    <x v="1"/>
    <x v="1"/>
    <x v="4"/>
    <x v="2"/>
    <x v="1"/>
    <d v="1899-12-30T09:23:00"/>
  </r>
  <r>
    <s v="2460"/>
    <s v="675 Elm St, Cityb"/>
    <d v="2023-09-03T00:00:00"/>
    <s v="September"/>
    <x v="0"/>
    <d v="1899-12-30T13:20:00"/>
    <x v="0"/>
    <x v="0"/>
    <s v="D19"/>
    <x v="2"/>
    <s v="City A"/>
    <n v="122"/>
    <n v="13"/>
    <x v="1"/>
    <x v="0"/>
    <x v="1"/>
    <x v="0"/>
    <x v="0"/>
    <d v="1899-12-30T15:22:00"/>
  </r>
  <r>
    <s v="2478"/>
    <s v="818 Main St, Citye"/>
    <d v="2023-09-03T00:00:00"/>
    <s v="September"/>
    <x v="0"/>
    <d v="1899-12-30T08:56:00"/>
    <x v="1"/>
    <x v="1"/>
    <s v="D19"/>
    <x v="1"/>
    <s v="City A"/>
    <n v="158"/>
    <n v="23"/>
    <x v="2"/>
    <x v="1"/>
    <x v="0"/>
    <x v="0"/>
    <x v="2"/>
    <d v="1899-12-30T13:29:00"/>
  </r>
  <r>
    <s v="1052"/>
    <s v="869 Cedar St, Citya"/>
    <d v="2023-09-05T00:00:00"/>
    <s v="September"/>
    <x v="6"/>
    <d v="1899-12-30T08:01:00"/>
    <x v="0"/>
    <x v="0"/>
    <s v="D2"/>
    <x v="1"/>
    <s v="City A"/>
    <n v="204"/>
    <n v="14"/>
    <x v="1"/>
    <x v="0"/>
    <x v="0"/>
    <x v="0"/>
    <x v="1"/>
    <d v="1899-12-30T17:26:00"/>
  </r>
  <r>
    <s v="1162"/>
    <s v="741 Cedar St, Cityb"/>
    <d v="2023-09-03T00:00:00"/>
    <s v="September"/>
    <x v="0"/>
    <d v="1899-12-30T13:53:00"/>
    <x v="1"/>
    <x v="1"/>
    <s v="D2"/>
    <x v="2"/>
    <s v="City B"/>
    <n v="118"/>
    <n v="19"/>
    <x v="1"/>
    <x v="1"/>
    <x v="3"/>
    <x v="0"/>
    <x v="0"/>
    <d v="1899-12-30T10:10:00"/>
  </r>
  <r>
    <s v="1167"/>
    <s v="660 Oak St, Cityb"/>
    <d v="2023-09-05T00:00:00"/>
    <s v="September"/>
    <x v="6"/>
    <d v="1899-12-30T11:30:00"/>
    <x v="1"/>
    <x v="1"/>
    <s v="D2"/>
    <x v="1"/>
    <s v="City C"/>
    <n v="69"/>
    <n v="8"/>
    <x v="1"/>
    <x v="1"/>
    <x v="3"/>
    <x v="0"/>
    <x v="1"/>
    <d v="1899-12-30T12:02:00"/>
  </r>
  <r>
    <s v="1169"/>
    <s v="112 Cedar St, Cityd"/>
    <d v="2023-09-01T00:00:00"/>
    <s v="September"/>
    <x v="3"/>
    <d v="1899-12-30T11:58:00"/>
    <x v="0"/>
    <x v="0"/>
    <s v="D2"/>
    <x v="0"/>
    <s v="City B"/>
    <n v="223"/>
    <n v="0"/>
    <x v="0"/>
    <x v="0"/>
    <x v="2"/>
    <x v="1"/>
    <x v="2"/>
    <d v="1899-12-30T12:21:00"/>
  </r>
  <r>
    <s v="1262"/>
    <s v="148 Cedar St, Citye"/>
    <d v="2023-09-03T00:00:00"/>
    <s v="September"/>
    <x v="0"/>
    <d v="1899-12-30T14:27:00"/>
    <x v="1"/>
    <x v="1"/>
    <s v="D2"/>
    <x v="2"/>
    <s v="City B"/>
    <n v="66"/>
    <n v="22"/>
    <x v="2"/>
    <x v="1"/>
    <x v="3"/>
    <x v="0"/>
    <x v="1"/>
    <d v="1899-12-30T09:58:00"/>
  </r>
  <r>
    <s v="1287"/>
    <s v="946 Pine St, Cityd"/>
    <d v="2023-09-05T00:00:00"/>
    <s v="September"/>
    <x v="6"/>
    <d v="1899-12-30T15:30:00"/>
    <x v="0"/>
    <x v="0"/>
    <s v="D2"/>
    <x v="0"/>
    <s v="City E"/>
    <n v="205"/>
    <n v="18"/>
    <x v="1"/>
    <x v="0"/>
    <x v="1"/>
    <x v="1"/>
    <x v="2"/>
    <d v="1899-12-30T12:57:00"/>
  </r>
  <r>
    <s v="1316"/>
    <s v="827 Elm St, Cityc"/>
    <d v="2023-09-02T00:00:00"/>
    <s v="September"/>
    <x v="4"/>
    <d v="1899-12-30T15:42:00"/>
    <x v="1"/>
    <x v="1"/>
    <s v="D2"/>
    <x v="1"/>
    <s v="City E"/>
    <n v="193"/>
    <n v="3"/>
    <x v="0"/>
    <x v="1"/>
    <x v="0"/>
    <x v="2"/>
    <x v="2"/>
    <d v="1899-12-30T17:26:00"/>
  </r>
  <r>
    <s v="1330"/>
    <s v="524 Main St, Cityd"/>
    <d v="2023-09-08T00:00:00"/>
    <s v="September"/>
    <x v="3"/>
    <d v="1899-12-30T14:02:00"/>
    <x v="0"/>
    <x v="0"/>
    <s v="D2"/>
    <x v="0"/>
    <s v="City A"/>
    <n v="84"/>
    <n v="15"/>
    <x v="1"/>
    <x v="0"/>
    <x v="1"/>
    <x v="2"/>
    <x v="1"/>
    <d v="1899-12-30T14:37:00"/>
  </r>
  <r>
    <s v="1397"/>
    <s v="921 Elm St, Cityd"/>
    <d v="2023-09-06T00:00:00"/>
    <s v="September"/>
    <x v="5"/>
    <d v="1899-12-30T11:26:00"/>
    <x v="0"/>
    <x v="0"/>
    <s v="D2"/>
    <x v="0"/>
    <s v="City B"/>
    <n v="64"/>
    <n v="12"/>
    <x v="1"/>
    <x v="0"/>
    <x v="2"/>
    <x v="2"/>
    <x v="0"/>
    <d v="1899-12-30T16:05:00"/>
  </r>
  <r>
    <s v="1487"/>
    <s v="591 Oak St, Cityd"/>
    <d v="2023-09-06T00:00:00"/>
    <s v="September"/>
    <x v="5"/>
    <d v="1899-12-30T16:56:00"/>
    <x v="1"/>
    <x v="1"/>
    <s v="D2"/>
    <x v="2"/>
    <s v="City B"/>
    <n v="186"/>
    <n v="4"/>
    <x v="1"/>
    <x v="1"/>
    <x v="2"/>
    <x v="0"/>
    <x v="0"/>
    <d v="1899-12-30T14:08:00"/>
  </r>
  <r>
    <s v="1553"/>
    <s v="899 Oak St, Cityd"/>
    <d v="2023-09-02T00:00:00"/>
    <s v="September"/>
    <x v="4"/>
    <d v="1899-12-30T16:27:00"/>
    <x v="1"/>
    <x v="1"/>
    <s v="D2"/>
    <x v="1"/>
    <s v="City D"/>
    <n v="187"/>
    <n v="2"/>
    <x v="2"/>
    <x v="1"/>
    <x v="0"/>
    <x v="2"/>
    <x v="0"/>
    <d v="1899-12-30T13:09:00"/>
  </r>
  <r>
    <s v="1564"/>
    <s v="765 Pine St, Citya"/>
    <d v="2023-09-01T00:00:00"/>
    <s v="September"/>
    <x v="3"/>
    <d v="1899-12-30T09:35:00"/>
    <x v="0"/>
    <x v="0"/>
    <s v="D2"/>
    <x v="0"/>
    <s v="City B"/>
    <n v="210"/>
    <n v="1"/>
    <x v="0"/>
    <x v="0"/>
    <x v="3"/>
    <x v="2"/>
    <x v="1"/>
    <d v="1899-12-30T10:37:00"/>
  </r>
  <r>
    <s v="1630"/>
    <s v="403 Main St, Citya"/>
    <d v="2023-09-04T00:00:00"/>
    <s v="September"/>
    <x v="1"/>
    <d v="1899-12-30T15:16:00"/>
    <x v="0"/>
    <x v="0"/>
    <s v="D2"/>
    <x v="0"/>
    <s v="City B"/>
    <n v="133"/>
    <n v="16"/>
    <x v="0"/>
    <x v="0"/>
    <x v="2"/>
    <x v="1"/>
    <x v="0"/>
    <d v="1899-12-30T09:03:00"/>
  </r>
  <r>
    <s v="1684"/>
    <s v="389 Cedar St, Cityd"/>
    <d v="2023-09-06T00:00:00"/>
    <s v="September"/>
    <x v="5"/>
    <d v="1899-12-30T08:17:00"/>
    <x v="1"/>
    <x v="1"/>
    <s v="D2"/>
    <x v="0"/>
    <s v="City C"/>
    <n v="82"/>
    <n v="6"/>
    <x v="0"/>
    <x v="1"/>
    <x v="2"/>
    <x v="2"/>
    <x v="1"/>
    <d v="1899-12-30T13:29:00"/>
  </r>
  <r>
    <s v="1762"/>
    <s v="489 Main St, Cityd"/>
    <d v="2023-09-04T00:00:00"/>
    <s v="September"/>
    <x v="1"/>
    <d v="1899-12-30T08:11:00"/>
    <x v="1"/>
    <x v="1"/>
    <s v="D2"/>
    <x v="2"/>
    <s v="City D"/>
    <n v="211"/>
    <n v="26"/>
    <x v="2"/>
    <x v="1"/>
    <x v="0"/>
    <x v="1"/>
    <x v="2"/>
    <d v="1899-12-30T16:56:00"/>
  </r>
  <r>
    <s v="1832"/>
    <s v="182 Main St, Cityb"/>
    <d v="2023-09-05T00:00:00"/>
    <s v="September"/>
    <x v="6"/>
    <d v="1899-12-30T11:15:00"/>
    <x v="1"/>
    <x v="1"/>
    <s v="D2"/>
    <x v="0"/>
    <s v="City B"/>
    <n v="171"/>
    <n v="28"/>
    <x v="1"/>
    <x v="1"/>
    <x v="4"/>
    <x v="1"/>
    <x v="0"/>
    <d v="1899-12-30T13:49:00"/>
  </r>
  <r>
    <s v="1929"/>
    <s v="125 Cedar St, Citye"/>
    <d v="2023-09-03T00:00:00"/>
    <s v="September"/>
    <x v="0"/>
    <d v="1899-12-30T16:43:00"/>
    <x v="1"/>
    <x v="1"/>
    <s v="D2"/>
    <x v="1"/>
    <s v="City A"/>
    <n v="95"/>
    <n v="13"/>
    <x v="2"/>
    <x v="1"/>
    <x v="2"/>
    <x v="0"/>
    <x v="1"/>
    <d v="1899-12-30T14:50:00"/>
  </r>
  <r>
    <s v="2078"/>
    <s v="479 Pine St, Citye"/>
    <d v="2023-09-05T00:00:00"/>
    <s v="September"/>
    <x v="6"/>
    <d v="1899-12-30T12:11:00"/>
    <x v="1"/>
    <x v="1"/>
    <s v="D2"/>
    <x v="2"/>
    <s v="City E"/>
    <n v="91"/>
    <n v="4"/>
    <x v="1"/>
    <x v="1"/>
    <x v="0"/>
    <x v="2"/>
    <x v="1"/>
    <d v="1899-12-30T10:42:00"/>
  </r>
  <r>
    <s v="2123"/>
    <s v="849 Cedar St, Citye"/>
    <d v="2023-09-03T00:00:00"/>
    <s v="September"/>
    <x v="0"/>
    <d v="1899-12-30T10:42:00"/>
    <x v="1"/>
    <x v="1"/>
    <s v="D2"/>
    <x v="0"/>
    <s v="City B"/>
    <n v="117"/>
    <n v="6"/>
    <x v="2"/>
    <x v="1"/>
    <x v="1"/>
    <x v="2"/>
    <x v="2"/>
    <d v="1899-12-30T12:24:00"/>
  </r>
  <r>
    <s v="2196"/>
    <s v="887 Pine St, Cityc"/>
    <d v="2023-09-01T00:00:00"/>
    <s v="September"/>
    <x v="3"/>
    <d v="1899-12-30T12:39:00"/>
    <x v="0"/>
    <x v="0"/>
    <s v="D2"/>
    <x v="0"/>
    <s v="City D"/>
    <n v="183"/>
    <n v="2"/>
    <x v="1"/>
    <x v="0"/>
    <x v="1"/>
    <x v="2"/>
    <x v="1"/>
    <d v="1899-12-30T10:25:00"/>
  </r>
  <r>
    <s v="2206"/>
    <s v="690 Main St, Cityb"/>
    <d v="2023-09-03T00:00:00"/>
    <s v="September"/>
    <x v="0"/>
    <d v="1899-12-30T13:34:00"/>
    <x v="0"/>
    <x v="0"/>
    <s v="D2"/>
    <x v="0"/>
    <s v="City E"/>
    <n v="94"/>
    <n v="24"/>
    <x v="2"/>
    <x v="0"/>
    <x v="4"/>
    <x v="1"/>
    <x v="1"/>
    <d v="1899-12-30T16:28:00"/>
  </r>
  <r>
    <s v="2264"/>
    <s v="123 Pine St, Citya"/>
    <d v="2023-09-04T00:00:00"/>
    <s v="September"/>
    <x v="1"/>
    <d v="1899-12-30T08:04:00"/>
    <x v="1"/>
    <x v="1"/>
    <s v="D2"/>
    <x v="2"/>
    <s v="City C"/>
    <n v="235"/>
    <n v="11"/>
    <x v="1"/>
    <x v="1"/>
    <x v="0"/>
    <x v="1"/>
    <x v="1"/>
    <d v="1899-12-30T11:01:00"/>
  </r>
  <r>
    <s v="2292"/>
    <s v="967 Elm St, Citya"/>
    <d v="2023-09-08T00:00:00"/>
    <s v="September"/>
    <x v="3"/>
    <d v="1899-12-30T08:48:00"/>
    <x v="0"/>
    <x v="0"/>
    <s v="D2"/>
    <x v="0"/>
    <s v="City C"/>
    <n v="191"/>
    <n v="19"/>
    <x v="0"/>
    <x v="0"/>
    <x v="4"/>
    <x v="1"/>
    <x v="2"/>
    <d v="1899-12-30T15:12:00"/>
  </r>
  <r>
    <s v="2299"/>
    <s v="261 Oak St, Cityc"/>
    <d v="2023-09-08T00:00:00"/>
    <s v="September"/>
    <x v="3"/>
    <d v="1899-12-30T16:00:00"/>
    <x v="0"/>
    <x v="0"/>
    <s v="D2"/>
    <x v="1"/>
    <s v="City C"/>
    <n v="153"/>
    <n v="6"/>
    <x v="0"/>
    <x v="0"/>
    <x v="2"/>
    <x v="0"/>
    <x v="2"/>
    <d v="1899-12-30T10:44:00"/>
  </r>
  <r>
    <s v="2472"/>
    <s v="571 Cedar St, Citye"/>
    <d v="2023-09-06T00:00:00"/>
    <s v="September"/>
    <x v="5"/>
    <d v="1899-12-30T12:08:00"/>
    <x v="1"/>
    <x v="1"/>
    <s v="D2"/>
    <x v="0"/>
    <s v="City A"/>
    <n v="169"/>
    <n v="26"/>
    <x v="0"/>
    <x v="1"/>
    <x v="2"/>
    <x v="2"/>
    <x v="2"/>
    <d v="1899-12-30T16:07:00"/>
  </r>
  <r>
    <s v="1246"/>
    <s v="892 Cedar St, Citya"/>
    <d v="2023-09-07T00:00:00"/>
    <s v="September"/>
    <x v="2"/>
    <d v="1899-12-30T16:02:00"/>
    <x v="1"/>
    <x v="1"/>
    <s v="D20"/>
    <x v="2"/>
    <s v="City A"/>
    <n v="66"/>
    <n v="21"/>
    <x v="2"/>
    <x v="1"/>
    <x v="2"/>
    <x v="1"/>
    <x v="2"/>
    <d v="1899-12-30T11:06:00"/>
  </r>
  <r>
    <s v="1288"/>
    <s v="890 Pine St, Cityd"/>
    <d v="2023-09-03T00:00:00"/>
    <s v="September"/>
    <x v="0"/>
    <d v="1899-12-30T11:14:00"/>
    <x v="0"/>
    <x v="0"/>
    <s v="D20"/>
    <x v="0"/>
    <s v="City B"/>
    <n v="125"/>
    <n v="24"/>
    <x v="2"/>
    <x v="0"/>
    <x v="3"/>
    <x v="0"/>
    <x v="0"/>
    <d v="1899-12-30T12:00:00"/>
  </r>
  <r>
    <s v="1296"/>
    <s v="98 Main St, Cityd"/>
    <d v="2023-09-03T00:00:00"/>
    <s v="September"/>
    <x v="0"/>
    <d v="1899-12-30T16:54:00"/>
    <x v="1"/>
    <x v="1"/>
    <s v="D20"/>
    <x v="2"/>
    <s v="City E"/>
    <n v="177"/>
    <n v="25"/>
    <x v="1"/>
    <x v="1"/>
    <x v="4"/>
    <x v="2"/>
    <x v="1"/>
    <d v="1899-12-30T11:08:00"/>
  </r>
  <r>
    <s v="1610"/>
    <s v="580 Elm St, Cityc"/>
    <d v="2023-09-07T00:00:00"/>
    <s v="September"/>
    <x v="2"/>
    <d v="1899-12-30T15:04:00"/>
    <x v="0"/>
    <x v="0"/>
    <s v="D20"/>
    <x v="2"/>
    <s v="City B"/>
    <n v="163"/>
    <n v="19"/>
    <x v="2"/>
    <x v="0"/>
    <x v="3"/>
    <x v="2"/>
    <x v="1"/>
    <d v="1899-12-30T09:51:00"/>
  </r>
  <r>
    <s v="1678"/>
    <s v="721 Main St, Citye"/>
    <d v="2023-09-06T00:00:00"/>
    <s v="September"/>
    <x v="5"/>
    <d v="1899-12-30T13:45:00"/>
    <x v="0"/>
    <x v="0"/>
    <s v="D20"/>
    <x v="1"/>
    <s v="City B"/>
    <n v="99"/>
    <n v="17"/>
    <x v="0"/>
    <x v="0"/>
    <x v="1"/>
    <x v="0"/>
    <x v="0"/>
    <d v="1899-12-30T09:48:00"/>
  </r>
  <r>
    <s v="1727"/>
    <s v="252 Pine St, Cityb"/>
    <d v="2023-09-08T00:00:00"/>
    <s v="September"/>
    <x v="3"/>
    <d v="1899-12-30T15:21:00"/>
    <x v="0"/>
    <x v="0"/>
    <s v="D20"/>
    <x v="0"/>
    <s v="City E"/>
    <n v="237"/>
    <n v="19"/>
    <x v="1"/>
    <x v="0"/>
    <x v="0"/>
    <x v="0"/>
    <x v="0"/>
    <d v="1899-12-30T09:15:00"/>
  </r>
  <r>
    <s v="1737"/>
    <s v="736 Pine St, Cityc"/>
    <d v="2023-09-03T00:00:00"/>
    <s v="September"/>
    <x v="0"/>
    <d v="1899-12-30T08:44:00"/>
    <x v="0"/>
    <x v="0"/>
    <s v="D20"/>
    <x v="2"/>
    <s v="City C"/>
    <n v="232"/>
    <n v="19"/>
    <x v="1"/>
    <x v="0"/>
    <x v="1"/>
    <x v="2"/>
    <x v="2"/>
    <d v="1899-12-30T11:44:00"/>
  </r>
  <r>
    <s v="1874"/>
    <s v="982 Cedar St, Cityb"/>
    <d v="2023-09-04T00:00:00"/>
    <s v="September"/>
    <x v="1"/>
    <d v="1899-12-30T13:10:00"/>
    <x v="0"/>
    <x v="0"/>
    <s v="D20"/>
    <x v="2"/>
    <s v="City B"/>
    <n v="227"/>
    <n v="28"/>
    <x v="1"/>
    <x v="0"/>
    <x v="4"/>
    <x v="1"/>
    <x v="0"/>
    <d v="1899-12-30T12:02:00"/>
  </r>
  <r>
    <s v="1906"/>
    <s v="49 Main St, Cityc"/>
    <d v="2023-09-01T00:00:00"/>
    <s v="September"/>
    <x v="3"/>
    <d v="1899-12-30T10:58:00"/>
    <x v="0"/>
    <x v="0"/>
    <s v="D20"/>
    <x v="2"/>
    <s v="City B"/>
    <n v="77"/>
    <n v="3"/>
    <x v="2"/>
    <x v="0"/>
    <x v="1"/>
    <x v="0"/>
    <x v="1"/>
    <d v="1899-12-30T11:25:00"/>
  </r>
  <r>
    <s v="1954"/>
    <s v="883 Pine St, Citya"/>
    <d v="2023-09-07T00:00:00"/>
    <s v="September"/>
    <x v="2"/>
    <d v="1899-12-30T11:49:00"/>
    <x v="0"/>
    <x v="0"/>
    <s v="D20"/>
    <x v="2"/>
    <s v="City E"/>
    <n v="185"/>
    <n v="14"/>
    <x v="1"/>
    <x v="0"/>
    <x v="0"/>
    <x v="1"/>
    <x v="2"/>
    <d v="1899-12-30T08:22:00"/>
  </r>
  <r>
    <s v="1956"/>
    <s v="534 Cedar St, Citya"/>
    <d v="2023-09-05T00:00:00"/>
    <s v="September"/>
    <x v="6"/>
    <d v="1899-12-30T16:50:00"/>
    <x v="0"/>
    <x v="0"/>
    <s v="D20"/>
    <x v="2"/>
    <s v="City B"/>
    <n v="101"/>
    <n v="26"/>
    <x v="2"/>
    <x v="0"/>
    <x v="2"/>
    <x v="1"/>
    <x v="0"/>
    <d v="1899-12-30T12:53:00"/>
  </r>
  <r>
    <s v="2103"/>
    <s v="177 Elm St, Cityb"/>
    <d v="2023-09-01T00:00:00"/>
    <s v="September"/>
    <x v="3"/>
    <d v="1899-12-30T11:13:00"/>
    <x v="0"/>
    <x v="0"/>
    <s v="D20"/>
    <x v="0"/>
    <s v="City C"/>
    <n v="188"/>
    <n v="1"/>
    <x v="1"/>
    <x v="0"/>
    <x v="2"/>
    <x v="1"/>
    <x v="1"/>
    <d v="1899-12-30T11:59:00"/>
  </r>
  <r>
    <s v="2168"/>
    <s v="489 Oak St, Cityd"/>
    <d v="2023-09-08T00:00:00"/>
    <s v="September"/>
    <x v="3"/>
    <d v="1899-12-30T08:17:00"/>
    <x v="1"/>
    <x v="1"/>
    <s v="D20"/>
    <x v="0"/>
    <s v="City C"/>
    <n v="138"/>
    <n v="19"/>
    <x v="0"/>
    <x v="1"/>
    <x v="4"/>
    <x v="0"/>
    <x v="0"/>
    <d v="1899-12-30T13:47:00"/>
  </r>
  <r>
    <s v="2339"/>
    <s v="414 Cedar St, Citye"/>
    <d v="2023-09-03T00:00:00"/>
    <s v="September"/>
    <x v="0"/>
    <d v="1899-12-30T16:30:00"/>
    <x v="0"/>
    <x v="0"/>
    <s v="D20"/>
    <x v="0"/>
    <s v="City A"/>
    <n v="145"/>
    <n v="19"/>
    <x v="2"/>
    <x v="0"/>
    <x v="3"/>
    <x v="0"/>
    <x v="2"/>
    <d v="1899-12-30T14:49:00"/>
  </r>
  <r>
    <s v="2374"/>
    <s v="853 Elm St, Cityd"/>
    <d v="2023-09-05T00:00:00"/>
    <s v="September"/>
    <x v="6"/>
    <d v="1899-12-30T14:49:00"/>
    <x v="0"/>
    <x v="0"/>
    <s v="D20"/>
    <x v="0"/>
    <s v="City C"/>
    <n v="167"/>
    <n v="7"/>
    <x v="0"/>
    <x v="0"/>
    <x v="0"/>
    <x v="0"/>
    <x v="2"/>
    <d v="1899-12-30T17:39:00"/>
  </r>
  <r>
    <s v="2387"/>
    <s v="879 Oak St, Citya"/>
    <d v="2023-09-02T00:00:00"/>
    <s v="September"/>
    <x v="4"/>
    <d v="1899-12-30T13:19:00"/>
    <x v="0"/>
    <x v="0"/>
    <s v="D20"/>
    <x v="2"/>
    <s v="City B"/>
    <n v="151"/>
    <n v="8"/>
    <x v="0"/>
    <x v="0"/>
    <x v="4"/>
    <x v="2"/>
    <x v="2"/>
    <d v="1899-12-30T10:43:00"/>
  </r>
  <r>
    <s v="1003"/>
    <s v="123 Main St, Citye"/>
    <d v="2023-09-01T00:00:00"/>
    <s v="September"/>
    <x v="3"/>
    <d v="1899-12-30T16:20:00"/>
    <x v="1"/>
    <x v="1"/>
    <s v="D21"/>
    <x v="2"/>
    <s v="City D"/>
    <n v="192"/>
    <n v="0"/>
    <x v="2"/>
    <x v="1"/>
    <x v="4"/>
    <x v="2"/>
    <x v="0"/>
    <d v="1899-12-30T15:02:00"/>
  </r>
  <r>
    <s v="1218"/>
    <s v="197 Cedar St, Cityc"/>
    <d v="2023-09-05T00:00:00"/>
    <s v="September"/>
    <x v="6"/>
    <d v="1899-12-30T10:55:00"/>
    <x v="1"/>
    <x v="1"/>
    <s v="D21"/>
    <x v="1"/>
    <s v="City D"/>
    <n v="164"/>
    <n v="6"/>
    <x v="2"/>
    <x v="1"/>
    <x v="0"/>
    <x v="0"/>
    <x v="1"/>
    <d v="1899-12-30T13:12:00"/>
  </r>
  <r>
    <s v="1344"/>
    <s v="844 Elm St, Citye"/>
    <d v="2023-09-06T00:00:00"/>
    <s v="September"/>
    <x v="5"/>
    <d v="1899-12-30T10:35:00"/>
    <x v="0"/>
    <x v="0"/>
    <s v="D21"/>
    <x v="2"/>
    <s v="City A"/>
    <n v="156"/>
    <n v="15"/>
    <x v="2"/>
    <x v="0"/>
    <x v="0"/>
    <x v="2"/>
    <x v="1"/>
    <d v="1899-12-30T13:32:00"/>
  </r>
  <r>
    <s v="1541"/>
    <s v="349 Cedar St, Cityd"/>
    <d v="2023-09-02T00:00:00"/>
    <s v="September"/>
    <x v="4"/>
    <d v="1899-12-30T13:19:00"/>
    <x v="0"/>
    <x v="0"/>
    <s v="D21"/>
    <x v="1"/>
    <s v="City D"/>
    <n v="138"/>
    <n v="3"/>
    <x v="0"/>
    <x v="0"/>
    <x v="0"/>
    <x v="2"/>
    <x v="1"/>
    <d v="1899-12-30T15:13:00"/>
  </r>
  <r>
    <s v="1757"/>
    <s v="303 Oak St, Citya"/>
    <d v="2023-09-05T00:00:00"/>
    <s v="September"/>
    <x v="6"/>
    <d v="1899-12-30T10:51:00"/>
    <x v="1"/>
    <x v="1"/>
    <s v="D21"/>
    <x v="2"/>
    <s v="City E"/>
    <n v="109"/>
    <n v="17"/>
    <x v="1"/>
    <x v="1"/>
    <x v="4"/>
    <x v="0"/>
    <x v="2"/>
    <d v="1899-12-30T09:26:00"/>
  </r>
  <r>
    <s v="1765"/>
    <s v="170 Main St, Citya"/>
    <d v="2023-09-02T00:00:00"/>
    <s v="September"/>
    <x v="4"/>
    <d v="1899-12-30T08:16:00"/>
    <x v="1"/>
    <x v="1"/>
    <s v="D21"/>
    <x v="2"/>
    <s v="City D"/>
    <n v="73"/>
    <n v="1"/>
    <x v="2"/>
    <x v="1"/>
    <x v="4"/>
    <x v="2"/>
    <x v="0"/>
    <d v="1899-12-30T12:51:00"/>
  </r>
  <r>
    <s v="1885"/>
    <s v="108 Pine St, Citye"/>
    <d v="2023-09-04T00:00:00"/>
    <s v="September"/>
    <x v="1"/>
    <d v="1899-12-30T14:12:00"/>
    <x v="0"/>
    <x v="0"/>
    <s v="D21"/>
    <x v="1"/>
    <s v="City A"/>
    <n v="232"/>
    <n v="29"/>
    <x v="0"/>
    <x v="0"/>
    <x v="3"/>
    <x v="2"/>
    <x v="0"/>
    <d v="1899-12-30T09:49:00"/>
  </r>
  <r>
    <s v="1923"/>
    <s v="100 Oak St, Cityc"/>
    <d v="2023-09-02T00:00:00"/>
    <s v="September"/>
    <x v="4"/>
    <d v="1899-12-30T15:50:00"/>
    <x v="0"/>
    <x v="0"/>
    <s v="D21"/>
    <x v="0"/>
    <s v="City C"/>
    <n v="90"/>
    <n v="9"/>
    <x v="2"/>
    <x v="0"/>
    <x v="2"/>
    <x v="1"/>
    <x v="0"/>
    <d v="1899-12-30T09:19:00"/>
  </r>
  <r>
    <s v="1966"/>
    <s v="157 Oak St, Cityc"/>
    <d v="2023-09-02T00:00:00"/>
    <s v="September"/>
    <x v="4"/>
    <d v="1899-12-30T12:01:00"/>
    <x v="0"/>
    <x v="0"/>
    <s v="D21"/>
    <x v="0"/>
    <s v="City E"/>
    <n v="168"/>
    <n v="28"/>
    <x v="0"/>
    <x v="0"/>
    <x v="2"/>
    <x v="0"/>
    <x v="1"/>
    <d v="1899-12-30T11:56:00"/>
  </r>
  <r>
    <s v="2028"/>
    <s v="333 Pine St, Cityd"/>
    <d v="2023-09-07T00:00:00"/>
    <s v="September"/>
    <x v="2"/>
    <d v="1899-12-30T14:42:00"/>
    <x v="1"/>
    <x v="1"/>
    <s v="D21"/>
    <x v="0"/>
    <s v="City C"/>
    <n v="157"/>
    <n v="20"/>
    <x v="1"/>
    <x v="1"/>
    <x v="3"/>
    <x v="0"/>
    <x v="1"/>
    <d v="1899-12-30T13:25:00"/>
  </r>
  <r>
    <s v="2062"/>
    <s v="336 Cedar St, Cityd"/>
    <d v="2023-09-07T00:00:00"/>
    <s v="September"/>
    <x v="2"/>
    <d v="1899-12-30T13:33:00"/>
    <x v="0"/>
    <x v="0"/>
    <s v="D21"/>
    <x v="1"/>
    <s v="City E"/>
    <n v="154"/>
    <n v="4"/>
    <x v="0"/>
    <x v="0"/>
    <x v="4"/>
    <x v="2"/>
    <x v="2"/>
    <d v="1899-12-30T14:52:00"/>
  </r>
  <r>
    <s v="2218"/>
    <s v="364 Oak St, Cityc"/>
    <d v="2023-09-06T00:00:00"/>
    <s v="September"/>
    <x v="5"/>
    <d v="1899-12-30T11:53:00"/>
    <x v="1"/>
    <x v="1"/>
    <s v="D21"/>
    <x v="1"/>
    <s v="City E"/>
    <n v="145"/>
    <n v="9"/>
    <x v="2"/>
    <x v="1"/>
    <x v="2"/>
    <x v="1"/>
    <x v="2"/>
    <d v="1899-12-30T15:41:00"/>
  </r>
  <r>
    <s v="2273"/>
    <s v="232 Elm St, Cityd"/>
    <d v="2023-09-06T00:00:00"/>
    <s v="September"/>
    <x v="5"/>
    <d v="1899-12-30T08:27:00"/>
    <x v="0"/>
    <x v="0"/>
    <s v="D21"/>
    <x v="2"/>
    <s v="City E"/>
    <n v="166"/>
    <n v="11"/>
    <x v="0"/>
    <x v="0"/>
    <x v="3"/>
    <x v="2"/>
    <x v="0"/>
    <d v="1899-12-30T13:49:00"/>
  </r>
  <r>
    <s v="2382"/>
    <s v="343 Main St, Citya"/>
    <d v="2023-09-08T00:00:00"/>
    <s v="September"/>
    <x v="3"/>
    <d v="1899-12-30T16:20:00"/>
    <x v="0"/>
    <x v="0"/>
    <s v="D21"/>
    <x v="0"/>
    <s v="City D"/>
    <n v="136"/>
    <n v="12"/>
    <x v="2"/>
    <x v="0"/>
    <x v="4"/>
    <x v="2"/>
    <x v="1"/>
    <d v="1899-12-30T15:42:00"/>
  </r>
  <r>
    <s v="2449"/>
    <s v="235 Cedar St, Cityd"/>
    <d v="2023-09-03T00:00:00"/>
    <s v="September"/>
    <x v="0"/>
    <d v="1899-12-30T14:31:00"/>
    <x v="1"/>
    <x v="1"/>
    <s v="D21"/>
    <x v="1"/>
    <s v="City E"/>
    <n v="73"/>
    <n v="5"/>
    <x v="1"/>
    <x v="1"/>
    <x v="1"/>
    <x v="1"/>
    <x v="1"/>
    <d v="1899-12-30T15:24:00"/>
  </r>
  <r>
    <s v="1185"/>
    <s v="22 Main St, Citya"/>
    <d v="2023-09-04T00:00:00"/>
    <s v="September"/>
    <x v="1"/>
    <d v="1899-12-30T08:18:00"/>
    <x v="0"/>
    <x v="0"/>
    <s v="D22"/>
    <x v="2"/>
    <s v="City E"/>
    <n v="110"/>
    <n v="19"/>
    <x v="0"/>
    <x v="0"/>
    <x v="0"/>
    <x v="1"/>
    <x v="0"/>
    <d v="1899-12-30T11:00:00"/>
  </r>
  <r>
    <s v="1190"/>
    <s v="639 Oak St, Citye"/>
    <d v="2023-09-02T00:00:00"/>
    <s v="September"/>
    <x v="4"/>
    <d v="1899-12-30T12:11:00"/>
    <x v="0"/>
    <x v="0"/>
    <s v="D22"/>
    <x v="2"/>
    <s v="City D"/>
    <n v="95"/>
    <n v="0"/>
    <x v="2"/>
    <x v="0"/>
    <x v="3"/>
    <x v="1"/>
    <x v="0"/>
    <d v="1899-12-30T10:22:00"/>
  </r>
  <r>
    <s v="1294"/>
    <s v="811 Elm St, Cityb"/>
    <d v="2023-09-04T00:00:00"/>
    <s v="September"/>
    <x v="1"/>
    <d v="1899-12-30T10:01:00"/>
    <x v="0"/>
    <x v="0"/>
    <s v="D22"/>
    <x v="0"/>
    <s v="City D"/>
    <n v="77"/>
    <n v="8"/>
    <x v="0"/>
    <x v="0"/>
    <x v="1"/>
    <x v="2"/>
    <x v="0"/>
    <d v="1899-12-30T14:46:00"/>
  </r>
  <r>
    <s v="1343"/>
    <s v="905 Cedar St, Cityb"/>
    <d v="2023-09-01T00:00:00"/>
    <s v="September"/>
    <x v="3"/>
    <d v="1899-12-30T09:28:00"/>
    <x v="1"/>
    <x v="1"/>
    <s v="D22"/>
    <x v="0"/>
    <s v="City C"/>
    <n v="106"/>
    <n v="24"/>
    <x v="0"/>
    <x v="1"/>
    <x v="4"/>
    <x v="0"/>
    <x v="2"/>
    <d v="1899-12-30T10:54:00"/>
  </r>
  <r>
    <s v="1374"/>
    <s v="773 Oak St, Cityc"/>
    <d v="2023-09-03T00:00:00"/>
    <s v="September"/>
    <x v="0"/>
    <d v="1899-12-30T09:49:00"/>
    <x v="0"/>
    <x v="0"/>
    <s v="D22"/>
    <x v="0"/>
    <s v="City B"/>
    <n v="108"/>
    <n v="20"/>
    <x v="0"/>
    <x v="0"/>
    <x v="3"/>
    <x v="0"/>
    <x v="0"/>
    <d v="1899-12-30T12:23:00"/>
  </r>
  <r>
    <s v="1464"/>
    <s v="179 Cedar St, Cityd"/>
    <d v="2023-09-08T00:00:00"/>
    <s v="September"/>
    <x v="3"/>
    <d v="1899-12-30T12:49:00"/>
    <x v="1"/>
    <x v="1"/>
    <s v="D22"/>
    <x v="0"/>
    <s v="City D"/>
    <n v="95"/>
    <n v="10"/>
    <x v="0"/>
    <x v="1"/>
    <x v="0"/>
    <x v="0"/>
    <x v="1"/>
    <d v="1899-12-30T13:57:00"/>
  </r>
  <r>
    <s v="1554"/>
    <s v="411 Cedar St, Cityb"/>
    <d v="2023-09-08T00:00:00"/>
    <s v="September"/>
    <x v="3"/>
    <d v="1899-12-30T15:33:00"/>
    <x v="0"/>
    <x v="0"/>
    <s v="D22"/>
    <x v="1"/>
    <s v="City C"/>
    <n v="179"/>
    <n v="0"/>
    <x v="0"/>
    <x v="0"/>
    <x v="3"/>
    <x v="1"/>
    <x v="1"/>
    <d v="1899-12-30T14:24:00"/>
  </r>
  <r>
    <s v="1556"/>
    <s v="25 Elm St, Citya"/>
    <d v="2023-09-07T00:00:00"/>
    <s v="September"/>
    <x v="2"/>
    <d v="1899-12-30T13:51:00"/>
    <x v="1"/>
    <x v="1"/>
    <s v="D22"/>
    <x v="1"/>
    <s v="City A"/>
    <n v="106"/>
    <n v="13"/>
    <x v="2"/>
    <x v="1"/>
    <x v="2"/>
    <x v="1"/>
    <x v="2"/>
    <d v="1899-12-30T10:28:00"/>
  </r>
  <r>
    <s v="1884"/>
    <s v="382 Oak St, Citya"/>
    <d v="2023-09-06T00:00:00"/>
    <s v="September"/>
    <x v="5"/>
    <d v="1899-12-30T14:25:00"/>
    <x v="1"/>
    <x v="1"/>
    <s v="D22"/>
    <x v="0"/>
    <s v="City D"/>
    <n v="209"/>
    <n v="8"/>
    <x v="0"/>
    <x v="1"/>
    <x v="1"/>
    <x v="0"/>
    <x v="1"/>
    <d v="1899-12-30T16:45:00"/>
  </r>
  <r>
    <s v="2133"/>
    <s v="236 Cedar St, Citya"/>
    <d v="2023-09-08T00:00:00"/>
    <s v="September"/>
    <x v="3"/>
    <d v="1899-12-30T10:50:00"/>
    <x v="0"/>
    <x v="0"/>
    <s v="D22"/>
    <x v="0"/>
    <s v="City E"/>
    <n v="198"/>
    <n v="24"/>
    <x v="1"/>
    <x v="0"/>
    <x v="0"/>
    <x v="0"/>
    <x v="1"/>
    <d v="1899-12-30T16:50:00"/>
  </r>
  <r>
    <s v="2138"/>
    <s v="247 Main St, Citye"/>
    <d v="2023-09-03T00:00:00"/>
    <s v="September"/>
    <x v="0"/>
    <d v="1899-12-30T12:58:00"/>
    <x v="0"/>
    <x v="0"/>
    <s v="D22"/>
    <x v="1"/>
    <s v="City B"/>
    <n v="86"/>
    <n v="19"/>
    <x v="0"/>
    <x v="0"/>
    <x v="3"/>
    <x v="0"/>
    <x v="0"/>
    <d v="1899-12-30T16:19:00"/>
  </r>
  <r>
    <s v="2207"/>
    <s v="714 Pine St, Citye"/>
    <d v="2023-09-07T00:00:00"/>
    <s v="September"/>
    <x v="2"/>
    <d v="1899-12-30T14:34:00"/>
    <x v="0"/>
    <x v="0"/>
    <s v="D22"/>
    <x v="0"/>
    <s v="City B"/>
    <n v="90"/>
    <n v="20"/>
    <x v="2"/>
    <x v="0"/>
    <x v="1"/>
    <x v="2"/>
    <x v="0"/>
    <d v="1899-12-30T10:49:00"/>
  </r>
  <r>
    <s v="1015"/>
    <s v="182 Pine St, Cityc"/>
    <d v="2023-09-03T00:00:00"/>
    <s v="September"/>
    <x v="0"/>
    <d v="1899-12-30T14:12:00"/>
    <x v="0"/>
    <x v="0"/>
    <s v="D23"/>
    <x v="1"/>
    <s v="City B"/>
    <n v="75"/>
    <n v="26"/>
    <x v="1"/>
    <x v="0"/>
    <x v="1"/>
    <x v="1"/>
    <x v="1"/>
    <d v="1899-12-30T10:45:00"/>
  </r>
  <r>
    <s v="1093"/>
    <s v="285 Elm St, Cityd"/>
    <d v="2023-09-03T00:00:00"/>
    <s v="September"/>
    <x v="0"/>
    <d v="1899-12-30T10:23:00"/>
    <x v="1"/>
    <x v="1"/>
    <s v="D23"/>
    <x v="1"/>
    <s v="City D"/>
    <n v="167"/>
    <n v="24"/>
    <x v="2"/>
    <x v="1"/>
    <x v="0"/>
    <x v="1"/>
    <x v="1"/>
    <d v="1899-12-30T13:09:00"/>
  </r>
  <r>
    <s v="1094"/>
    <s v="260 Cedar St, Citya"/>
    <d v="2023-09-04T00:00:00"/>
    <s v="September"/>
    <x v="1"/>
    <d v="1899-12-30T13:18:00"/>
    <x v="1"/>
    <x v="1"/>
    <s v="D23"/>
    <x v="1"/>
    <s v="City E"/>
    <n v="225"/>
    <n v="18"/>
    <x v="2"/>
    <x v="1"/>
    <x v="2"/>
    <x v="0"/>
    <x v="2"/>
    <d v="1899-12-30T14:35:00"/>
  </r>
  <r>
    <s v="1254"/>
    <s v="52 Main St, Cityd"/>
    <d v="2023-09-06T00:00:00"/>
    <s v="September"/>
    <x v="5"/>
    <d v="1899-12-30T14:11:00"/>
    <x v="1"/>
    <x v="1"/>
    <s v="D23"/>
    <x v="2"/>
    <s v="City B"/>
    <n v="64"/>
    <n v="9"/>
    <x v="2"/>
    <x v="1"/>
    <x v="4"/>
    <x v="0"/>
    <x v="2"/>
    <d v="1899-12-30T17:21:00"/>
  </r>
  <r>
    <s v="1268"/>
    <s v="519 Oak St, Cityb"/>
    <d v="2023-09-01T00:00:00"/>
    <s v="September"/>
    <x v="3"/>
    <d v="1899-12-30T12:21:00"/>
    <x v="1"/>
    <x v="1"/>
    <s v="D23"/>
    <x v="1"/>
    <s v="City C"/>
    <n v="109"/>
    <n v="10"/>
    <x v="1"/>
    <x v="1"/>
    <x v="0"/>
    <x v="1"/>
    <x v="2"/>
    <d v="1899-12-30T13:59:00"/>
  </r>
  <r>
    <s v="1781"/>
    <s v="96 Cedar St, Cityd"/>
    <d v="2023-09-07T00:00:00"/>
    <s v="September"/>
    <x v="2"/>
    <d v="1899-12-30T14:16:00"/>
    <x v="0"/>
    <x v="0"/>
    <s v="D23"/>
    <x v="2"/>
    <s v="City C"/>
    <n v="153"/>
    <n v="5"/>
    <x v="0"/>
    <x v="0"/>
    <x v="3"/>
    <x v="0"/>
    <x v="2"/>
    <d v="1899-12-30T08:33:00"/>
  </r>
  <r>
    <s v="1795"/>
    <s v="979 Oak St, Citye"/>
    <d v="2023-09-07T00:00:00"/>
    <s v="September"/>
    <x v="2"/>
    <d v="1899-12-30T09:39:00"/>
    <x v="1"/>
    <x v="1"/>
    <s v="D23"/>
    <x v="1"/>
    <s v="City A"/>
    <n v="195"/>
    <n v="6"/>
    <x v="0"/>
    <x v="1"/>
    <x v="0"/>
    <x v="2"/>
    <x v="1"/>
    <d v="1899-12-30T10:09:00"/>
  </r>
  <r>
    <s v="1815"/>
    <s v="972 Main St, Cityc"/>
    <d v="2023-09-07T00:00:00"/>
    <s v="September"/>
    <x v="2"/>
    <d v="1899-12-30T14:08:00"/>
    <x v="1"/>
    <x v="1"/>
    <s v="D23"/>
    <x v="1"/>
    <s v="City D"/>
    <n v="205"/>
    <n v="5"/>
    <x v="1"/>
    <x v="1"/>
    <x v="1"/>
    <x v="1"/>
    <x v="1"/>
    <d v="1899-12-30T15:58:00"/>
  </r>
  <r>
    <s v="1850"/>
    <s v="712 Pine St, Cityd"/>
    <d v="2023-09-06T00:00:00"/>
    <s v="September"/>
    <x v="5"/>
    <d v="1899-12-30T16:05:00"/>
    <x v="1"/>
    <x v="1"/>
    <s v="D23"/>
    <x v="1"/>
    <s v="City E"/>
    <n v="199"/>
    <n v="27"/>
    <x v="0"/>
    <x v="1"/>
    <x v="2"/>
    <x v="1"/>
    <x v="0"/>
    <d v="1899-12-30T08:31:00"/>
  </r>
  <r>
    <s v="1970"/>
    <s v="757 Oak St, Cityd"/>
    <d v="2023-09-01T00:00:00"/>
    <s v="September"/>
    <x v="3"/>
    <d v="1899-12-30T08:30:00"/>
    <x v="0"/>
    <x v="0"/>
    <s v="D23"/>
    <x v="2"/>
    <s v="City B"/>
    <n v="78"/>
    <n v="3"/>
    <x v="0"/>
    <x v="0"/>
    <x v="1"/>
    <x v="1"/>
    <x v="1"/>
    <d v="1899-12-30T11:59:00"/>
  </r>
  <r>
    <s v="2007"/>
    <s v="353 Elm St, Cityd"/>
    <d v="2023-09-06T00:00:00"/>
    <s v="September"/>
    <x v="5"/>
    <d v="1899-12-30T14:56:00"/>
    <x v="0"/>
    <x v="0"/>
    <s v="D23"/>
    <x v="1"/>
    <s v="City A"/>
    <n v="159"/>
    <n v="21"/>
    <x v="2"/>
    <x v="0"/>
    <x v="2"/>
    <x v="1"/>
    <x v="1"/>
    <d v="1899-12-30T13:15:00"/>
  </r>
  <r>
    <s v="2451"/>
    <s v="805 Cedar St, Citye"/>
    <d v="2023-09-04T00:00:00"/>
    <s v="September"/>
    <x v="1"/>
    <d v="1899-12-30T09:11:00"/>
    <x v="0"/>
    <x v="0"/>
    <s v="D23"/>
    <x v="2"/>
    <s v="City C"/>
    <n v="236"/>
    <n v="25"/>
    <x v="1"/>
    <x v="0"/>
    <x v="3"/>
    <x v="0"/>
    <x v="1"/>
    <d v="1899-12-30T12:53:00"/>
  </r>
  <r>
    <s v="1178"/>
    <s v="657 Pine St, Citye"/>
    <d v="2023-09-02T00:00:00"/>
    <s v="September"/>
    <x v="4"/>
    <d v="1899-12-30T08:07:00"/>
    <x v="0"/>
    <x v="0"/>
    <s v="D24"/>
    <x v="1"/>
    <s v="City E"/>
    <n v="204"/>
    <n v="20"/>
    <x v="0"/>
    <x v="0"/>
    <x v="4"/>
    <x v="2"/>
    <x v="0"/>
    <d v="1899-12-30T15:01:00"/>
  </r>
  <r>
    <s v="1253"/>
    <s v="444 Elm St, Cityb"/>
    <d v="2023-09-01T00:00:00"/>
    <s v="September"/>
    <x v="3"/>
    <d v="1899-12-30T11:01:00"/>
    <x v="1"/>
    <x v="1"/>
    <s v="D24"/>
    <x v="0"/>
    <s v="City B"/>
    <n v="128"/>
    <n v="16"/>
    <x v="0"/>
    <x v="1"/>
    <x v="3"/>
    <x v="2"/>
    <x v="0"/>
    <d v="1899-12-30T15:58:00"/>
  </r>
  <r>
    <s v="1260"/>
    <s v="7 Main St, Cityb"/>
    <d v="2023-09-08T00:00:00"/>
    <s v="September"/>
    <x v="3"/>
    <d v="1899-12-30T14:10:00"/>
    <x v="1"/>
    <x v="1"/>
    <s v="D24"/>
    <x v="2"/>
    <s v="City B"/>
    <n v="193"/>
    <n v="5"/>
    <x v="2"/>
    <x v="1"/>
    <x v="3"/>
    <x v="2"/>
    <x v="0"/>
    <d v="1899-12-30T09:57:00"/>
  </r>
  <r>
    <s v="1360"/>
    <s v="601 Elm St, Cityc"/>
    <d v="2023-09-04T00:00:00"/>
    <s v="September"/>
    <x v="1"/>
    <d v="1899-12-30T09:14:00"/>
    <x v="1"/>
    <x v="1"/>
    <s v="D24"/>
    <x v="0"/>
    <s v="City C"/>
    <n v="171"/>
    <n v="27"/>
    <x v="2"/>
    <x v="1"/>
    <x v="2"/>
    <x v="0"/>
    <x v="2"/>
    <d v="1899-12-30T17:08:00"/>
  </r>
  <r>
    <s v="1391"/>
    <s v="25 Pine St, Citye"/>
    <d v="2023-09-08T00:00:00"/>
    <s v="September"/>
    <x v="3"/>
    <d v="1899-12-30T10:03:00"/>
    <x v="0"/>
    <x v="0"/>
    <s v="D24"/>
    <x v="2"/>
    <s v="City A"/>
    <n v="176"/>
    <n v="14"/>
    <x v="0"/>
    <x v="0"/>
    <x v="0"/>
    <x v="1"/>
    <x v="2"/>
    <d v="1899-12-30T08:47:00"/>
  </r>
  <r>
    <s v="1400"/>
    <s v="273 Cedar St, Cityc"/>
    <d v="2023-09-01T00:00:00"/>
    <s v="September"/>
    <x v="3"/>
    <d v="1899-12-30T13:23:00"/>
    <x v="1"/>
    <x v="1"/>
    <s v="D24"/>
    <x v="1"/>
    <s v="City A"/>
    <n v="63"/>
    <n v="21"/>
    <x v="1"/>
    <x v="1"/>
    <x v="0"/>
    <x v="0"/>
    <x v="2"/>
    <d v="1899-12-30T15:57:00"/>
  </r>
  <r>
    <s v="1417"/>
    <s v="13 Elm St, Cityb"/>
    <d v="2023-09-07T00:00:00"/>
    <s v="September"/>
    <x v="2"/>
    <d v="1899-12-30T13:16:00"/>
    <x v="1"/>
    <x v="1"/>
    <s v="D24"/>
    <x v="1"/>
    <s v="City B"/>
    <n v="216"/>
    <n v="9"/>
    <x v="1"/>
    <x v="1"/>
    <x v="0"/>
    <x v="0"/>
    <x v="0"/>
    <d v="1899-12-30T10:52:00"/>
  </r>
  <r>
    <s v="1423"/>
    <s v="293 Elm St, Citya"/>
    <d v="2023-09-01T00:00:00"/>
    <s v="September"/>
    <x v="3"/>
    <d v="1899-12-30T11:59:00"/>
    <x v="1"/>
    <x v="1"/>
    <s v="D24"/>
    <x v="2"/>
    <s v="City C"/>
    <n v="192"/>
    <n v="16"/>
    <x v="2"/>
    <x v="1"/>
    <x v="3"/>
    <x v="0"/>
    <x v="2"/>
    <d v="1899-12-30T16:15:00"/>
  </r>
  <r>
    <s v="1550"/>
    <s v="286 Pine St, Citye"/>
    <d v="2023-09-07T00:00:00"/>
    <s v="September"/>
    <x v="2"/>
    <d v="1899-12-30T14:34:00"/>
    <x v="1"/>
    <x v="1"/>
    <s v="D24"/>
    <x v="1"/>
    <s v="City B"/>
    <n v="72"/>
    <n v="26"/>
    <x v="1"/>
    <x v="1"/>
    <x v="3"/>
    <x v="2"/>
    <x v="2"/>
    <d v="1899-12-30T08:36:00"/>
  </r>
  <r>
    <s v="1894"/>
    <s v="19 Pine St, Citye"/>
    <d v="2023-09-05T00:00:00"/>
    <s v="September"/>
    <x v="6"/>
    <d v="1899-12-30T10:04:00"/>
    <x v="0"/>
    <x v="0"/>
    <s v="D24"/>
    <x v="1"/>
    <s v="City E"/>
    <n v="107"/>
    <n v="7"/>
    <x v="0"/>
    <x v="0"/>
    <x v="4"/>
    <x v="1"/>
    <x v="1"/>
    <d v="1899-12-30T13:53:00"/>
  </r>
  <r>
    <s v="2026"/>
    <s v="458 Elm St, Cityb"/>
    <d v="2023-09-06T00:00:00"/>
    <s v="September"/>
    <x v="5"/>
    <d v="1899-12-30T12:58:00"/>
    <x v="1"/>
    <x v="1"/>
    <s v="D24"/>
    <x v="1"/>
    <s v="City B"/>
    <n v="224"/>
    <n v="15"/>
    <x v="2"/>
    <x v="1"/>
    <x v="4"/>
    <x v="1"/>
    <x v="2"/>
    <d v="1899-12-30T15:58:00"/>
  </r>
  <r>
    <s v="2037"/>
    <s v="537 Oak St, Cityb"/>
    <d v="2023-09-01T00:00:00"/>
    <s v="September"/>
    <x v="3"/>
    <d v="1899-12-30T14:16:00"/>
    <x v="1"/>
    <x v="1"/>
    <s v="D24"/>
    <x v="2"/>
    <s v="City E"/>
    <n v="153"/>
    <n v="1"/>
    <x v="0"/>
    <x v="1"/>
    <x v="4"/>
    <x v="1"/>
    <x v="2"/>
    <d v="1899-12-30T11:47:00"/>
  </r>
  <r>
    <s v="2193"/>
    <s v="798 Cedar St, Cityb"/>
    <d v="2023-09-05T00:00:00"/>
    <s v="September"/>
    <x v="6"/>
    <d v="1899-12-30T14:11:00"/>
    <x v="0"/>
    <x v="0"/>
    <s v="D24"/>
    <x v="0"/>
    <s v="City D"/>
    <n v="155"/>
    <n v="1"/>
    <x v="0"/>
    <x v="0"/>
    <x v="3"/>
    <x v="2"/>
    <x v="1"/>
    <d v="1899-12-30T14:50:00"/>
  </r>
  <r>
    <s v="2217"/>
    <s v="299 Pine St, Cityb"/>
    <d v="2023-09-08T00:00:00"/>
    <s v="September"/>
    <x v="3"/>
    <d v="1899-12-30T15:40:00"/>
    <x v="0"/>
    <x v="0"/>
    <s v="D24"/>
    <x v="1"/>
    <s v="City E"/>
    <n v="121"/>
    <n v="10"/>
    <x v="1"/>
    <x v="0"/>
    <x v="1"/>
    <x v="0"/>
    <x v="0"/>
    <d v="1899-12-30T11:49:00"/>
  </r>
  <r>
    <s v="2436"/>
    <s v="175 Elm St, Citya"/>
    <d v="2023-09-06T00:00:00"/>
    <s v="September"/>
    <x v="5"/>
    <d v="1899-12-30T15:37:00"/>
    <x v="0"/>
    <x v="0"/>
    <s v="D24"/>
    <x v="0"/>
    <s v="City E"/>
    <n v="185"/>
    <n v="7"/>
    <x v="0"/>
    <x v="0"/>
    <x v="2"/>
    <x v="0"/>
    <x v="0"/>
    <d v="1899-12-30T14:00:00"/>
  </r>
  <r>
    <s v="2446"/>
    <s v="249 Main St, Citye"/>
    <d v="2023-09-05T00:00:00"/>
    <s v="September"/>
    <x v="6"/>
    <d v="1899-12-30T16:19:00"/>
    <x v="0"/>
    <x v="0"/>
    <s v="D24"/>
    <x v="0"/>
    <s v="City D"/>
    <n v="215"/>
    <n v="23"/>
    <x v="1"/>
    <x v="0"/>
    <x v="0"/>
    <x v="1"/>
    <x v="0"/>
    <d v="1899-12-30T12:41:00"/>
  </r>
  <r>
    <s v="2462"/>
    <s v="691 Elm St, Citya"/>
    <d v="2023-09-04T00:00:00"/>
    <s v="September"/>
    <x v="1"/>
    <d v="1899-12-30T14:37:00"/>
    <x v="0"/>
    <x v="0"/>
    <s v="D24"/>
    <x v="0"/>
    <s v="City A"/>
    <n v="72"/>
    <n v="17"/>
    <x v="2"/>
    <x v="0"/>
    <x v="1"/>
    <x v="0"/>
    <x v="1"/>
    <d v="1899-12-30T08:23:00"/>
  </r>
  <r>
    <s v="1044"/>
    <s v="951 Cedar St, Cityd"/>
    <d v="2023-09-05T00:00:00"/>
    <s v="September"/>
    <x v="6"/>
    <d v="1899-12-30T09:20:00"/>
    <x v="1"/>
    <x v="1"/>
    <s v="D25"/>
    <x v="1"/>
    <s v="City D"/>
    <n v="114"/>
    <n v="1"/>
    <x v="2"/>
    <x v="1"/>
    <x v="3"/>
    <x v="1"/>
    <x v="0"/>
    <d v="1899-12-30T14:26:00"/>
  </r>
  <r>
    <s v="1173"/>
    <s v="676 Pine St, Citye"/>
    <d v="2023-09-01T00:00:00"/>
    <s v="September"/>
    <x v="3"/>
    <d v="1899-12-30T10:25:00"/>
    <x v="0"/>
    <x v="0"/>
    <s v="D25"/>
    <x v="2"/>
    <s v="City E"/>
    <n v="121"/>
    <n v="29"/>
    <x v="0"/>
    <x v="0"/>
    <x v="0"/>
    <x v="2"/>
    <x v="0"/>
    <d v="1899-12-30T09:34:00"/>
  </r>
  <r>
    <s v="1276"/>
    <s v="691 Pine St, Citya"/>
    <d v="2023-09-03T00:00:00"/>
    <s v="September"/>
    <x v="0"/>
    <d v="1899-12-30T13:50:00"/>
    <x v="0"/>
    <x v="0"/>
    <s v="D25"/>
    <x v="2"/>
    <s v="City C"/>
    <n v="148"/>
    <n v="29"/>
    <x v="1"/>
    <x v="0"/>
    <x v="4"/>
    <x v="2"/>
    <x v="1"/>
    <d v="1899-12-30T10:31:00"/>
  </r>
  <r>
    <s v="1337"/>
    <s v="373 Main St, Cityd"/>
    <d v="2023-09-07T00:00:00"/>
    <s v="September"/>
    <x v="2"/>
    <d v="1899-12-30T08:56:00"/>
    <x v="1"/>
    <x v="1"/>
    <s v="D25"/>
    <x v="0"/>
    <s v="City B"/>
    <n v="67"/>
    <n v="2"/>
    <x v="1"/>
    <x v="1"/>
    <x v="0"/>
    <x v="1"/>
    <x v="0"/>
    <d v="1899-12-30T16:10:00"/>
  </r>
  <r>
    <s v="1680"/>
    <s v="807 Pine St, Cityb"/>
    <d v="2023-09-01T00:00:00"/>
    <s v="September"/>
    <x v="3"/>
    <d v="1899-12-30T09:03:00"/>
    <x v="0"/>
    <x v="0"/>
    <s v="D25"/>
    <x v="2"/>
    <s v="City E"/>
    <n v="145"/>
    <n v="9"/>
    <x v="0"/>
    <x v="0"/>
    <x v="2"/>
    <x v="1"/>
    <x v="0"/>
    <d v="1899-12-30T12:35:00"/>
  </r>
  <r>
    <s v="1754"/>
    <s v="904 Elm St, Cityd"/>
    <d v="2023-09-04T00:00:00"/>
    <s v="September"/>
    <x v="1"/>
    <d v="1899-12-30T11:30:00"/>
    <x v="1"/>
    <x v="1"/>
    <s v="D25"/>
    <x v="2"/>
    <s v="City C"/>
    <n v="145"/>
    <n v="23"/>
    <x v="2"/>
    <x v="1"/>
    <x v="0"/>
    <x v="0"/>
    <x v="2"/>
    <d v="1899-12-30T12:14:00"/>
  </r>
  <r>
    <s v="2212"/>
    <s v="775 Elm St, Cityc"/>
    <d v="2023-09-01T00:00:00"/>
    <s v="September"/>
    <x v="3"/>
    <d v="1899-12-30T16:34:00"/>
    <x v="0"/>
    <x v="0"/>
    <s v="D25"/>
    <x v="2"/>
    <s v="City B"/>
    <n v="218"/>
    <n v="16"/>
    <x v="1"/>
    <x v="0"/>
    <x v="4"/>
    <x v="2"/>
    <x v="0"/>
    <d v="1899-12-30T13:26:00"/>
  </r>
  <r>
    <s v="1120"/>
    <s v="924 Main St, Cityd"/>
    <d v="2023-09-08T00:00:00"/>
    <s v="September"/>
    <x v="3"/>
    <d v="1899-12-30T11:12:00"/>
    <x v="1"/>
    <x v="1"/>
    <s v="D26"/>
    <x v="0"/>
    <s v="City A"/>
    <n v="152"/>
    <n v="26"/>
    <x v="0"/>
    <x v="1"/>
    <x v="1"/>
    <x v="1"/>
    <x v="1"/>
    <d v="1899-12-30T13:47:00"/>
  </r>
  <r>
    <s v="1135"/>
    <s v="7 Pine St, Citya"/>
    <d v="2023-09-04T00:00:00"/>
    <s v="September"/>
    <x v="1"/>
    <d v="1899-12-30T14:18:00"/>
    <x v="0"/>
    <x v="0"/>
    <s v="D26"/>
    <x v="0"/>
    <s v="City C"/>
    <n v="185"/>
    <n v="5"/>
    <x v="0"/>
    <x v="0"/>
    <x v="4"/>
    <x v="0"/>
    <x v="0"/>
    <d v="1899-12-30T12:16:00"/>
  </r>
  <r>
    <s v="1311"/>
    <s v="647 Elm St, Cityc"/>
    <d v="2023-09-06T00:00:00"/>
    <s v="September"/>
    <x v="5"/>
    <d v="1899-12-30T15:32:00"/>
    <x v="1"/>
    <x v="1"/>
    <s v="D26"/>
    <x v="1"/>
    <s v="City B"/>
    <n v="174"/>
    <n v="29"/>
    <x v="0"/>
    <x v="1"/>
    <x v="3"/>
    <x v="1"/>
    <x v="1"/>
    <d v="1899-12-30T13:07:00"/>
  </r>
  <r>
    <s v="1523"/>
    <s v="629 Pine St, Citya"/>
    <d v="2023-09-01T00:00:00"/>
    <s v="September"/>
    <x v="3"/>
    <d v="1899-12-30T09:18:00"/>
    <x v="0"/>
    <x v="0"/>
    <s v="D26"/>
    <x v="1"/>
    <s v="City B"/>
    <n v="100"/>
    <n v="22"/>
    <x v="1"/>
    <x v="0"/>
    <x v="4"/>
    <x v="2"/>
    <x v="1"/>
    <d v="1899-12-30T13:27:00"/>
  </r>
  <r>
    <s v="1529"/>
    <s v="821 Cedar St, Citya"/>
    <d v="2023-09-05T00:00:00"/>
    <s v="September"/>
    <x v="6"/>
    <d v="1899-12-30T11:20:00"/>
    <x v="0"/>
    <x v="0"/>
    <s v="D26"/>
    <x v="1"/>
    <s v="City E"/>
    <n v="213"/>
    <n v="1"/>
    <x v="0"/>
    <x v="0"/>
    <x v="4"/>
    <x v="1"/>
    <x v="0"/>
    <d v="1899-12-30T12:01:00"/>
  </r>
  <r>
    <s v="1557"/>
    <s v="585 Elm St, Cityb"/>
    <d v="2023-09-08T00:00:00"/>
    <s v="September"/>
    <x v="3"/>
    <d v="1899-12-30T10:23:00"/>
    <x v="0"/>
    <x v="0"/>
    <s v="D26"/>
    <x v="0"/>
    <s v="City B"/>
    <n v="75"/>
    <n v="13"/>
    <x v="0"/>
    <x v="0"/>
    <x v="4"/>
    <x v="2"/>
    <x v="2"/>
    <d v="1899-12-30T13:33:00"/>
  </r>
  <r>
    <s v="1615"/>
    <s v="686 Elm St, Citye"/>
    <d v="2023-09-03T00:00:00"/>
    <s v="September"/>
    <x v="0"/>
    <d v="1899-12-30T12:14:00"/>
    <x v="1"/>
    <x v="1"/>
    <s v="D26"/>
    <x v="2"/>
    <s v="City D"/>
    <n v="121"/>
    <n v="5"/>
    <x v="1"/>
    <x v="1"/>
    <x v="0"/>
    <x v="0"/>
    <x v="0"/>
    <d v="1899-12-30T13:46:00"/>
  </r>
  <r>
    <s v="1816"/>
    <s v="949 Main St, Cityd"/>
    <d v="2023-09-05T00:00:00"/>
    <s v="September"/>
    <x v="6"/>
    <d v="1899-12-30T09:05:00"/>
    <x v="1"/>
    <x v="1"/>
    <s v="D26"/>
    <x v="1"/>
    <s v="City C"/>
    <n v="68"/>
    <n v="21"/>
    <x v="2"/>
    <x v="1"/>
    <x v="1"/>
    <x v="0"/>
    <x v="0"/>
    <d v="1899-12-30T10:06:00"/>
  </r>
  <r>
    <s v="1987"/>
    <s v="674 Oak St, Cityc"/>
    <d v="2023-09-04T00:00:00"/>
    <s v="September"/>
    <x v="1"/>
    <d v="1899-12-30T11:53:00"/>
    <x v="0"/>
    <x v="0"/>
    <s v="D26"/>
    <x v="1"/>
    <s v="City A"/>
    <n v="235"/>
    <n v="6"/>
    <x v="2"/>
    <x v="0"/>
    <x v="2"/>
    <x v="0"/>
    <x v="0"/>
    <d v="1899-12-30T16:47:00"/>
  </r>
  <r>
    <s v="2031"/>
    <s v="212 Pine St, Cityc"/>
    <d v="2023-09-05T00:00:00"/>
    <s v="September"/>
    <x v="6"/>
    <d v="1899-12-30T11:19:00"/>
    <x v="0"/>
    <x v="0"/>
    <s v="D26"/>
    <x v="2"/>
    <s v="City A"/>
    <n v="181"/>
    <n v="19"/>
    <x v="0"/>
    <x v="0"/>
    <x v="0"/>
    <x v="0"/>
    <x v="2"/>
    <d v="1899-12-30T09:26:00"/>
  </r>
  <r>
    <s v="2061"/>
    <s v="4 Elm St, Citya"/>
    <d v="2023-09-07T00:00:00"/>
    <s v="September"/>
    <x v="2"/>
    <d v="1899-12-30T13:54:00"/>
    <x v="0"/>
    <x v="0"/>
    <s v="D26"/>
    <x v="2"/>
    <s v="City A"/>
    <n v="145"/>
    <n v="6"/>
    <x v="2"/>
    <x v="0"/>
    <x v="1"/>
    <x v="2"/>
    <x v="2"/>
    <d v="1899-12-30T17:18:00"/>
  </r>
  <r>
    <s v="2065"/>
    <s v="112 Oak St, Cityd"/>
    <d v="2023-09-04T00:00:00"/>
    <s v="September"/>
    <x v="1"/>
    <d v="1899-12-30T09:59:00"/>
    <x v="0"/>
    <x v="0"/>
    <s v="D26"/>
    <x v="2"/>
    <s v="City B"/>
    <n v="203"/>
    <n v="24"/>
    <x v="1"/>
    <x v="0"/>
    <x v="2"/>
    <x v="1"/>
    <x v="0"/>
    <d v="1899-12-30T10:13:00"/>
  </r>
  <r>
    <s v="2170"/>
    <s v="180 Oak St, Citye"/>
    <d v="2023-09-06T00:00:00"/>
    <s v="September"/>
    <x v="5"/>
    <d v="1899-12-30T08:55:00"/>
    <x v="1"/>
    <x v="1"/>
    <s v="D26"/>
    <x v="0"/>
    <s v="City A"/>
    <n v="164"/>
    <n v="27"/>
    <x v="2"/>
    <x v="1"/>
    <x v="0"/>
    <x v="2"/>
    <x v="1"/>
    <d v="1899-12-30T12:13:00"/>
  </r>
  <r>
    <s v="2183"/>
    <s v="234 Oak St, Cityc"/>
    <d v="2023-09-02T00:00:00"/>
    <s v="September"/>
    <x v="4"/>
    <d v="1899-12-30T13:34:00"/>
    <x v="1"/>
    <x v="1"/>
    <s v="D26"/>
    <x v="2"/>
    <s v="City E"/>
    <n v="72"/>
    <n v="4"/>
    <x v="0"/>
    <x v="1"/>
    <x v="3"/>
    <x v="1"/>
    <x v="2"/>
    <d v="1899-12-30T16:48:00"/>
  </r>
  <r>
    <s v="2266"/>
    <s v="402 Oak St, Citye"/>
    <d v="2023-09-04T00:00:00"/>
    <s v="September"/>
    <x v="1"/>
    <d v="1899-12-30T11:57:00"/>
    <x v="1"/>
    <x v="1"/>
    <s v="D26"/>
    <x v="1"/>
    <s v="City A"/>
    <n v="214"/>
    <n v="24"/>
    <x v="0"/>
    <x v="1"/>
    <x v="0"/>
    <x v="1"/>
    <x v="0"/>
    <d v="1899-12-30T12:54:00"/>
  </r>
  <r>
    <s v="1033"/>
    <s v="384 Cedar St, Cityb"/>
    <d v="2023-09-06T00:00:00"/>
    <s v="September"/>
    <x v="5"/>
    <d v="1899-12-30T08:39:00"/>
    <x v="0"/>
    <x v="0"/>
    <s v="D27"/>
    <x v="0"/>
    <s v="City A"/>
    <n v="172"/>
    <n v="20"/>
    <x v="0"/>
    <x v="0"/>
    <x v="2"/>
    <x v="2"/>
    <x v="1"/>
    <d v="1899-12-30T14:02:00"/>
  </r>
  <r>
    <s v="1057"/>
    <s v="329 Elm St, Cityd"/>
    <d v="2023-09-08T00:00:00"/>
    <s v="September"/>
    <x v="3"/>
    <d v="1899-12-30T16:07:00"/>
    <x v="1"/>
    <x v="1"/>
    <s v="D27"/>
    <x v="2"/>
    <s v="City B"/>
    <n v="87"/>
    <n v="5"/>
    <x v="2"/>
    <x v="1"/>
    <x v="3"/>
    <x v="1"/>
    <x v="1"/>
    <d v="1899-12-30T08:50:00"/>
  </r>
  <r>
    <s v="1137"/>
    <s v="788 Cedar St, Citya"/>
    <d v="2023-09-05T00:00:00"/>
    <s v="September"/>
    <x v="6"/>
    <d v="1899-12-30T12:55:00"/>
    <x v="0"/>
    <x v="0"/>
    <s v="D27"/>
    <x v="2"/>
    <s v="City A"/>
    <n v="132"/>
    <n v="21"/>
    <x v="1"/>
    <x v="0"/>
    <x v="3"/>
    <x v="2"/>
    <x v="2"/>
    <d v="1899-12-30T16:54:00"/>
  </r>
  <r>
    <s v="1145"/>
    <s v="652 Pine St, Cityd"/>
    <d v="2023-09-08T00:00:00"/>
    <s v="September"/>
    <x v="3"/>
    <d v="1899-12-30T09:13:00"/>
    <x v="1"/>
    <x v="1"/>
    <s v="D27"/>
    <x v="2"/>
    <s v="City B"/>
    <n v="221"/>
    <n v="16"/>
    <x v="2"/>
    <x v="1"/>
    <x v="1"/>
    <x v="2"/>
    <x v="0"/>
    <d v="1899-12-30T10:39:00"/>
  </r>
  <r>
    <s v="1252"/>
    <s v="94 Main St, Citya"/>
    <d v="2023-09-02T00:00:00"/>
    <s v="September"/>
    <x v="4"/>
    <d v="1899-12-30T14:11:00"/>
    <x v="1"/>
    <x v="1"/>
    <s v="D27"/>
    <x v="2"/>
    <s v="City E"/>
    <n v="141"/>
    <n v="18"/>
    <x v="0"/>
    <x v="1"/>
    <x v="3"/>
    <x v="0"/>
    <x v="2"/>
    <d v="1899-12-30T16:19:00"/>
  </r>
  <r>
    <s v="1347"/>
    <s v="537 Cedar St, Cityc"/>
    <d v="2023-09-07T00:00:00"/>
    <s v="September"/>
    <x v="2"/>
    <d v="1899-12-30T11:52:00"/>
    <x v="1"/>
    <x v="1"/>
    <s v="D27"/>
    <x v="1"/>
    <s v="City D"/>
    <n v="185"/>
    <n v="12"/>
    <x v="1"/>
    <x v="1"/>
    <x v="2"/>
    <x v="0"/>
    <x v="1"/>
    <d v="1899-12-30T11:42:00"/>
  </r>
  <r>
    <s v="1421"/>
    <s v="772 Elm St, Cityd"/>
    <d v="2023-09-07T00:00:00"/>
    <s v="September"/>
    <x v="2"/>
    <d v="1899-12-30T08:06:00"/>
    <x v="1"/>
    <x v="1"/>
    <s v="D27"/>
    <x v="2"/>
    <s v="City B"/>
    <n v="101"/>
    <n v="25"/>
    <x v="1"/>
    <x v="1"/>
    <x v="4"/>
    <x v="2"/>
    <x v="1"/>
    <d v="1899-12-30T13:52:00"/>
  </r>
  <r>
    <s v="1568"/>
    <s v="544 Main St, Cityc"/>
    <d v="2023-09-08T00:00:00"/>
    <s v="September"/>
    <x v="3"/>
    <d v="1899-12-30T09:29:00"/>
    <x v="0"/>
    <x v="0"/>
    <s v="D27"/>
    <x v="0"/>
    <s v="City E"/>
    <n v="228"/>
    <n v="6"/>
    <x v="2"/>
    <x v="0"/>
    <x v="2"/>
    <x v="1"/>
    <x v="2"/>
    <d v="1899-12-30T13:59:00"/>
  </r>
  <r>
    <s v="1687"/>
    <s v="731 Main St, Cityd"/>
    <d v="2023-09-05T00:00:00"/>
    <s v="September"/>
    <x v="6"/>
    <d v="1899-12-30T09:04:00"/>
    <x v="0"/>
    <x v="0"/>
    <s v="D27"/>
    <x v="2"/>
    <s v="City D"/>
    <n v="100"/>
    <n v="28"/>
    <x v="0"/>
    <x v="0"/>
    <x v="4"/>
    <x v="0"/>
    <x v="0"/>
    <d v="1899-12-30T16:06:00"/>
  </r>
  <r>
    <s v="1870"/>
    <s v="192 Pine St, Cityd"/>
    <d v="2023-09-06T00:00:00"/>
    <s v="September"/>
    <x v="5"/>
    <d v="1899-12-30T15:33:00"/>
    <x v="0"/>
    <x v="0"/>
    <s v="D27"/>
    <x v="2"/>
    <s v="City A"/>
    <n v="119"/>
    <n v="4"/>
    <x v="0"/>
    <x v="0"/>
    <x v="3"/>
    <x v="2"/>
    <x v="2"/>
    <d v="1899-12-30T10:18:00"/>
  </r>
  <r>
    <s v="1927"/>
    <s v="68 Oak St, Cityb"/>
    <d v="2023-09-07T00:00:00"/>
    <s v="September"/>
    <x v="2"/>
    <d v="1899-12-30T09:09:00"/>
    <x v="0"/>
    <x v="0"/>
    <s v="D27"/>
    <x v="0"/>
    <s v="City C"/>
    <n v="72"/>
    <n v="27"/>
    <x v="1"/>
    <x v="0"/>
    <x v="0"/>
    <x v="1"/>
    <x v="0"/>
    <d v="1899-12-30T17:29:00"/>
  </r>
  <r>
    <s v="1944"/>
    <s v="636 Pine St, Citye"/>
    <d v="2023-09-01T00:00:00"/>
    <s v="September"/>
    <x v="3"/>
    <d v="1899-12-30T11:23:00"/>
    <x v="0"/>
    <x v="0"/>
    <s v="D27"/>
    <x v="1"/>
    <s v="City E"/>
    <n v="91"/>
    <n v="19"/>
    <x v="2"/>
    <x v="0"/>
    <x v="2"/>
    <x v="2"/>
    <x v="0"/>
    <d v="1899-12-30T11:19:00"/>
  </r>
  <r>
    <s v="2079"/>
    <s v="757 Main St, Citya"/>
    <d v="2023-09-02T00:00:00"/>
    <s v="September"/>
    <x v="4"/>
    <d v="1899-12-30T14:13:00"/>
    <x v="1"/>
    <x v="1"/>
    <s v="D27"/>
    <x v="1"/>
    <s v="City D"/>
    <n v="232"/>
    <n v="2"/>
    <x v="1"/>
    <x v="1"/>
    <x v="2"/>
    <x v="1"/>
    <x v="0"/>
    <d v="1899-12-30T12:42:00"/>
  </r>
  <r>
    <s v="2127"/>
    <s v="286 Oak St, Cityc"/>
    <d v="2023-09-08T00:00:00"/>
    <s v="September"/>
    <x v="3"/>
    <d v="1899-12-30T09:53:00"/>
    <x v="0"/>
    <x v="0"/>
    <s v="D27"/>
    <x v="1"/>
    <s v="City C"/>
    <n v="206"/>
    <n v="13"/>
    <x v="1"/>
    <x v="0"/>
    <x v="2"/>
    <x v="1"/>
    <x v="2"/>
    <d v="1899-12-30T11:50:00"/>
  </r>
  <r>
    <s v="2408"/>
    <s v="204 Elm St, Cityd"/>
    <d v="2023-09-03T00:00:00"/>
    <s v="September"/>
    <x v="0"/>
    <d v="1899-12-30T16:27:00"/>
    <x v="1"/>
    <x v="1"/>
    <s v="D27"/>
    <x v="0"/>
    <s v="City A"/>
    <n v="175"/>
    <n v="13"/>
    <x v="1"/>
    <x v="1"/>
    <x v="2"/>
    <x v="2"/>
    <x v="2"/>
    <d v="1899-12-30T08:13:00"/>
  </r>
  <r>
    <s v="2477"/>
    <s v="130 Main St, Cityc"/>
    <d v="2023-09-06T00:00:00"/>
    <s v="September"/>
    <x v="5"/>
    <d v="1899-12-30T08:18:00"/>
    <x v="0"/>
    <x v="0"/>
    <s v="D27"/>
    <x v="2"/>
    <s v="City B"/>
    <n v="235"/>
    <n v="13"/>
    <x v="2"/>
    <x v="0"/>
    <x v="1"/>
    <x v="1"/>
    <x v="1"/>
    <d v="1899-12-30T10:56:00"/>
  </r>
  <r>
    <s v="2482"/>
    <s v="306 Cedar St, Cityc"/>
    <d v="2023-09-07T00:00:00"/>
    <s v="September"/>
    <x v="2"/>
    <d v="1899-12-30T11:24:00"/>
    <x v="1"/>
    <x v="1"/>
    <s v="D27"/>
    <x v="1"/>
    <s v="City E"/>
    <n v="176"/>
    <n v="12"/>
    <x v="2"/>
    <x v="1"/>
    <x v="4"/>
    <x v="1"/>
    <x v="2"/>
    <d v="1899-12-30T16:25:00"/>
  </r>
  <r>
    <s v="2484"/>
    <s v="567 Main St, Citya"/>
    <d v="2023-09-06T00:00:00"/>
    <s v="September"/>
    <x v="5"/>
    <d v="1899-12-30T09:13:00"/>
    <x v="1"/>
    <x v="1"/>
    <s v="D27"/>
    <x v="0"/>
    <s v="City D"/>
    <n v="115"/>
    <n v="1"/>
    <x v="1"/>
    <x v="1"/>
    <x v="2"/>
    <x v="2"/>
    <x v="2"/>
    <d v="1899-12-30T10:06:00"/>
  </r>
  <r>
    <s v="1051"/>
    <s v="831 Cedar St, Citya"/>
    <d v="2023-09-06T00:00:00"/>
    <s v="September"/>
    <x v="5"/>
    <d v="1899-12-30T15:54:00"/>
    <x v="1"/>
    <x v="1"/>
    <s v="D28"/>
    <x v="2"/>
    <s v="City E"/>
    <n v="104"/>
    <n v="19"/>
    <x v="2"/>
    <x v="1"/>
    <x v="0"/>
    <x v="0"/>
    <x v="0"/>
    <d v="1899-12-30T14:23:00"/>
  </r>
  <r>
    <s v="1075"/>
    <s v="537 Elm St, Citye"/>
    <d v="2023-09-03T00:00:00"/>
    <s v="September"/>
    <x v="0"/>
    <d v="1899-12-30T13:01:00"/>
    <x v="0"/>
    <x v="0"/>
    <s v="D28"/>
    <x v="2"/>
    <s v="City D"/>
    <n v="200"/>
    <n v="26"/>
    <x v="1"/>
    <x v="0"/>
    <x v="4"/>
    <x v="2"/>
    <x v="0"/>
    <d v="1899-12-30T10:27:00"/>
  </r>
  <r>
    <s v="1156"/>
    <s v="214 Pine St, Cityd"/>
    <d v="2023-09-07T00:00:00"/>
    <s v="September"/>
    <x v="2"/>
    <d v="1899-12-30T10:15:00"/>
    <x v="1"/>
    <x v="1"/>
    <s v="D28"/>
    <x v="1"/>
    <s v="City D"/>
    <n v="108"/>
    <n v="14"/>
    <x v="2"/>
    <x v="1"/>
    <x v="3"/>
    <x v="1"/>
    <x v="1"/>
    <d v="1899-12-30T16:03:00"/>
  </r>
  <r>
    <s v="1217"/>
    <s v="174 Oak St, Cityc"/>
    <d v="2023-09-03T00:00:00"/>
    <s v="September"/>
    <x v="0"/>
    <d v="1899-12-30T14:14:00"/>
    <x v="0"/>
    <x v="0"/>
    <s v="D28"/>
    <x v="2"/>
    <s v="City A"/>
    <n v="221"/>
    <n v="7"/>
    <x v="0"/>
    <x v="0"/>
    <x v="4"/>
    <x v="0"/>
    <x v="2"/>
    <d v="1899-12-30T15:46:00"/>
  </r>
  <r>
    <s v="1267"/>
    <s v="304 Cedar St, Cityd"/>
    <d v="2023-09-02T00:00:00"/>
    <s v="September"/>
    <x v="4"/>
    <d v="1899-12-30T14:27:00"/>
    <x v="1"/>
    <x v="1"/>
    <s v="D28"/>
    <x v="2"/>
    <s v="City B"/>
    <n v="221"/>
    <n v="2"/>
    <x v="0"/>
    <x v="1"/>
    <x v="3"/>
    <x v="1"/>
    <x v="0"/>
    <d v="1899-12-30T14:49:00"/>
  </r>
  <r>
    <s v="1284"/>
    <s v="234 Cedar St, Cityb"/>
    <d v="2023-09-07T00:00:00"/>
    <s v="September"/>
    <x v="2"/>
    <d v="1899-12-30T09:26:00"/>
    <x v="1"/>
    <x v="1"/>
    <s v="D28"/>
    <x v="0"/>
    <s v="City E"/>
    <n v="199"/>
    <n v="29"/>
    <x v="0"/>
    <x v="1"/>
    <x v="0"/>
    <x v="2"/>
    <x v="0"/>
    <d v="1899-12-30T14:36:00"/>
  </r>
  <r>
    <s v="1333"/>
    <s v="503 Pine St, Citye"/>
    <d v="2023-09-04T00:00:00"/>
    <s v="September"/>
    <x v="1"/>
    <d v="1899-12-30T16:35:00"/>
    <x v="1"/>
    <x v="1"/>
    <s v="D28"/>
    <x v="2"/>
    <s v="City C"/>
    <n v="185"/>
    <n v="13"/>
    <x v="2"/>
    <x v="1"/>
    <x v="0"/>
    <x v="1"/>
    <x v="0"/>
    <d v="1899-12-30T08:56:00"/>
  </r>
  <r>
    <s v="1401"/>
    <s v="524 Pine St, Cityb"/>
    <d v="2023-09-01T00:00:00"/>
    <s v="September"/>
    <x v="3"/>
    <d v="1899-12-30T14:31:00"/>
    <x v="1"/>
    <x v="1"/>
    <s v="D28"/>
    <x v="0"/>
    <s v="City C"/>
    <n v="88"/>
    <n v="28"/>
    <x v="0"/>
    <x v="1"/>
    <x v="3"/>
    <x v="0"/>
    <x v="1"/>
    <d v="1899-12-30T13:32:00"/>
  </r>
  <r>
    <s v="1483"/>
    <s v="701 Oak St, Cityd"/>
    <d v="2023-09-03T00:00:00"/>
    <s v="September"/>
    <x v="0"/>
    <d v="1899-12-30T14:22:00"/>
    <x v="0"/>
    <x v="0"/>
    <s v="D28"/>
    <x v="1"/>
    <s v="City E"/>
    <n v="69"/>
    <n v="22"/>
    <x v="0"/>
    <x v="0"/>
    <x v="0"/>
    <x v="0"/>
    <x v="0"/>
    <d v="1899-12-30T11:47:00"/>
  </r>
  <r>
    <s v="1570"/>
    <s v="943 Elm St, Cityd"/>
    <d v="2023-09-05T00:00:00"/>
    <s v="September"/>
    <x v="6"/>
    <d v="1899-12-30T10:31:00"/>
    <x v="0"/>
    <x v="0"/>
    <s v="D28"/>
    <x v="1"/>
    <s v="City B"/>
    <n v="81"/>
    <n v="4"/>
    <x v="0"/>
    <x v="0"/>
    <x v="2"/>
    <x v="1"/>
    <x v="2"/>
    <d v="1899-12-30T16:11:00"/>
  </r>
  <r>
    <s v="2215"/>
    <s v="984 Oak St, Citya"/>
    <d v="2023-09-07T00:00:00"/>
    <s v="September"/>
    <x v="2"/>
    <d v="1899-12-30T08:50:00"/>
    <x v="0"/>
    <x v="0"/>
    <s v="D28"/>
    <x v="2"/>
    <s v="City D"/>
    <n v="148"/>
    <n v="20"/>
    <x v="2"/>
    <x v="0"/>
    <x v="0"/>
    <x v="1"/>
    <x v="2"/>
    <d v="1899-12-30T11:09:00"/>
  </r>
  <r>
    <s v="2265"/>
    <s v="904 Cedar St, Cityb"/>
    <d v="2023-09-03T00:00:00"/>
    <s v="September"/>
    <x v="0"/>
    <d v="1899-12-30T10:42:00"/>
    <x v="0"/>
    <x v="0"/>
    <s v="D28"/>
    <x v="0"/>
    <s v="City E"/>
    <n v="177"/>
    <n v="16"/>
    <x v="1"/>
    <x v="0"/>
    <x v="2"/>
    <x v="0"/>
    <x v="0"/>
    <d v="1899-12-30T09:41:00"/>
  </r>
  <r>
    <s v="2275"/>
    <s v="859 Main St, Citye"/>
    <d v="2023-09-02T00:00:00"/>
    <s v="September"/>
    <x v="4"/>
    <d v="1899-12-30T12:15:00"/>
    <x v="1"/>
    <x v="1"/>
    <s v="D28"/>
    <x v="0"/>
    <s v="City C"/>
    <n v="178"/>
    <n v="29"/>
    <x v="1"/>
    <x v="1"/>
    <x v="1"/>
    <x v="1"/>
    <x v="0"/>
    <d v="1899-12-30T15:38:00"/>
  </r>
  <r>
    <s v="2427"/>
    <s v="331 Main St, Cityb"/>
    <d v="2023-09-01T00:00:00"/>
    <s v="September"/>
    <x v="3"/>
    <d v="1899-12-30T08:07:00"/>
    <x v="1"/>
    <x v="1"/>
    <s v="D28"/>
    <x v="0"/>
    <s v="City A"/>
    <n v="166"/>
    <n v="26"/>
    <x v="0"/>
    <x v="1"/>
    <x v="2"/>
    <x v="2"/>
    <x v="2"/>
    <d v="1899-12-30T16:37:00"/>
  </r>
  <r>
    <s v="2495"/>
    <s v="737 Pine St, Cityd"/>
    <d v="2023-09-06T00:00:00"/>
    <s v="September"/>
    <x v="5"/>
    <d v="1899-12-30T10:22:00"/>
    <x v="1"/>
    <x v="1"/>
    <s v="D28"/>
    <x v="0"/>
    <s v="City D"/>
    <n v="226"/>
    <n v="8"/>
    <x v="1"/>
    <x v="1"/>
    <x v="1"/>
    <x v="0"/>
    <x v="0"/>
    <d v="1899-12-30T15:36:00"/>
  </r>
  <r>
    <s v="1153"/>
    <s v="44 Pine St, Cityd"/>
    <d v="2023-09-08T00:00:00"/>
    <s v="September"/>
    <x v="3"/>
    <d v="1899-12-30T15:33:00"/>
    <x v="1"/>
    <x v="1"/>
    <s v="D29"/>
    <x v="0"/>
    <s v="City B"/>
    <n v="162"/>
    <n v="13"/>
    <x v="1"/>
    <x v="1"/>
    <x v="4"/>
    <x v="0"/>
    <x v="1"/>
    <d v="1899-12-30T17:06:00"/>
  </r>
  <r>
    <s v="1386"/>
    <s v="225 Elm St, Cityb"/>
    <d v="2023-09-07T00:00:00"/>
    <s v="September"/>
    <x v="2"/>
    <d v="1899-12-30T12:59:00"/>
    <x v="0"/>
    <x v="0"/>
    <s v="D29"/>
    <x v="1"/>
    <s v="City E"/>
    <n v="78"/>
    <n v="19"/>
    <x v="1"/>
    <x v="0"/>
    <x v="4"/>
    <x v="1"/>
    <x v="0"/>
    <d v="1899-12-30T12:11:00"/>
  </r>
  <r>
    <s v="1430"/>
    <s v="55 Oak St, Cityb"/>
    <d v="2023-09-06T00:00:00"/>
    <s v="September"/>
    <x v="5"/>
    <d v="1899-12-30T10:48:00"/>
    <x v="0"/>
    <x v="0"/>
    <s v="D29"/>
    <x v="2"/>
    <s v="City C"/>
    <n v="134"/>
    <n v="21"/>
    <x v="2"/>
    <x v="0"/>
    <x v="4"/>
    <x v="2"/>
    <x v="1"/>
    <d v="1899-12-30T15:09:00"/>
  </r>
  <r>
    <s v="1543"/>
    <s v="104 Elm St, Cityb"/>
    <d v="2023-09-08T00:00:00"/>
    <s v="September"/>
    <x v="3"/>
    <d v="1899-12-30T12:00:00"/>
    <x v="1"/>
    <x v="1"/>
    <s v="D29"/>
    <x v="0"/>
    <s v="City A"/>
    <n v="123"/>
    <n v="10"/>
    <x v="2"/>
    <x v="1"/>
    <x v="4"/>
    <x v="1"/>
    <x v="1"/>
    <d v="1899-12-30T08:58:00"/>
  </r>
  <r>
    <s v="1651"/>
    <s v="363 Elm St, Cityb"/>
    <d v="2023-09-01T00:00:00"/>
    <s v="September"/>
    <x v="3"/>
    <d v="1899-12-30T13:06:00"/>
    <x v="0"/>
    <x v="0"/>
    <s v="D29"/>
    <x v="2"/>
    <s v="City C"/>
    <n v="188"/>
    <n v="26"/>
    <x v="2"/>
    <x v="0"/>
    <x v="4"/>
    <x v="2"/>
    <x v="1"/>
    <d v="1899-12-30T11:50:00"/>
  </r>
  <r>
    <s v="1730"/>
    <s v="69 Pine St, Cityb"/>
    <d v="2023-09-07T00:00:00"/>
    <s v="September"/>
    <x v="2"/>
    <d v="1899-12-30T12:10:00"/>
    <x v="1"/>
    <x v="1"/>
    <s v="D29"/>
    <x v="0"/>
    <s v="City D"/>
    <n v="138"/>
    <n v="14"/>
    <x v="1"/>
    <x v="1"/>
    <x v="2"/>
    <x v="1"/>
    <x v="2"/>
    <d v="1899-12-30T13:39:00"/>
  </r>
  <r>
    <s v="1758"/>
    <s v="359 Pine St, Cityd"/>
    <d v="2023-09-05T00:00:00"/>
    <s v="September"/>
    <x v="6"/>
    <d v="1899-12-30T13:56:00"/>
    <x v="0"/>
    <x v="0"/>
    <s v="D29"/>
    <x v="1"/>
    <s v="City E"/>
    <n v="94"/>
    <n v="23"/>
    <x v="2"/>
    <x v="0"/>
    <x v="3"/>
    <x v="0"/>
    <x v="1"/>
    <d v="1899-12-30T11:34:00"/>
  </r>
  <r>
    <s v="1796"/>
    <s v="572 Cedar St, Cityc"/>
    <d v="2023-09-03T00:00:00"/>
    <s v="September"/>
    <x v="0"/>
    <d v="1899-12-30T14:10:00"/>
    <x v="1"/>
    <x v="1"/>
    <s v="D29"/>
    <x v="2"/>
    <s v="City A"/>
    <n v="151"/>
    <n v="2"/>
    <x v="2"/>
    <x v="1"/>
    <x v="1"/>
    <x v="1"/>
    <x v="0"/>
    <d v="1899-12-30T11:35:00"/>
  </r>
  <r>
    <s v="1839"/>
    <s v="809 Elm St, Cityd"/>
    <d v="2023-09-08T00:00:00"/>
    <s v="September"/>
    <x v="3"/>
    <d v="1899-12-30T15:21:00"/>
    <x v="1"/>
    <x v="1"/>
    <s v="D29"/>
    <x v="2"/>
    <s v="City C"/>
    <n v="140"/>
    <n v="18"/>
    <x v="1"/>
    <x v="1"/>
    <x v="1"/>
    <x v="1"/>
    <x v="0"/>
    <d v="1899-12-30T13:43:00"/>
  </r>
  <r>
    <s v="1854"/>
    <s v="683 Oak St, Cityb"/>
    <d v="2023-09-02T00:00:00"/>
    <s v="September"/>
    <x v="4"/>
    <d v="1899-12-30T15:11:00"/>
    <x v="0"/>
    <x v="0"/>
    <s v="D29"/>
    <x v="0"/>
    <s v="City D"/>
    <n v="173"/>
    <n v="29"/>
    <x v="0"/>
    <x v="0"/>
    <x v="4"/>
    <x v="0"/>
    <x v="2"/>
    <d v="1899-12-30T15:13:00"/>
  </r>
  <r>
    <s v="2000"/>
    <s v="418 Main St, Citye"/>
    <d v="2023-09-08T00:00:00"/>
    <s v="September"/>
    <x v="3"/>
    <d v="1899-12-30T14:35:00"/>
    <x v="1"/>
    <x v="1"/>
    <s v="D29"/>
    <x v="2"/>
    <s v="City A"/>
    <n v="138"/>
    <n v="25"/>
    <x v="0"/>
    <x v="1"/>
    <x v="1"/>
    <x v="1"/>
    <x v="0"/>
    <d v="1899-12-30T12:09:00"/>
  </r>
  <r>
    <s v="2130"/>
    <s v="385 Cedar St, Cityd"/>
    <d v="2023-09-07T00:00:00"/>
    <s v="September"/>
    <x v="2"/>
    <d v="1899-12-30T12:03:00"/>
    <x v="0"/>
    <x v="0"/>
    <s v="D29"/>
    <x v="1"/>
    <s v="City C"/>
    <n v="167"/>
    <n v="22"/>
    <x v="2"/>
    <x v="0"/>
    <x v="4"/>
    <x v="2"/>
    <x v="1"/>
    <d v="1899-12-30T11:46:00"/>
  </r>
  <r>
    <s v="2282"/>
    <s v="95 Oak St, Citya"/>
    <d v="2023-09-08T00:00:00"/>
    <s v="September"/>
    <x v="3"/>
    <d v="1899-12-30T13:42:00"/>
    <x v="0"/>
    <x v="0"/>
    <s v="D29"/>
    <x v="1"/>
    <s v="City E"/>
    <n v="144"/>
    <n v="19"/>
    <x v="1"/>
    <x v="0"/>
    <x v="3"/>
    <x v="1"/>
    <x v="2"/>
    <d v="1899-12-30T16:30:00"/>
  </r>
  <r>
    <s v="2290"/>
    <s v="765 Elm St, Cityd"/>
    <d v="2023-09-04T00:00:00"/>
    <s v="September"/>
    <x v="1"/>
    <d v="1899-12-30T13:20:00"/>
    <x v="0"/>
    <x v="0"/>
    <s v="D29"/>
    <x v="1"/>
    <s v="City C"/>
    <n v="189"/>
    <n v="24"/>
    <x v="1"/>
    <x v="0"/>
    <x v="3"/>
    <x v="2"/>
    <x v="0"/>
    <d v="1899-12-30T15:12:00"/>
  </r>
  <r>
    <s v="1076"/>
    <s v="380 Main St, Cityb"/>
    <d v="2023-09-01T00:00:00"/>
    <s v="September"/>
    <x v="3"/>
    <d v="1899-12-30T08:56:00"/>
    <x v="1"/>
    <x v="1"/>
    <s v="D3"/>
    <x v="1"/>
    <s v="City D"/>
    <n v="126"/>
    <n v="7"/>
    <x v="0"/>
    <x v="1"/>
    <x v="2"/>
    <x v="0"/>
    <x v="2"/>
    <d v="1899-12-30T09:24:00"/>
  </r>
  <r>
    <s v="1121"/>
    <s v="390 Elm St, Cityc"/>
    <d v="2023-09-03T00:00:00"/>
    <s v="September"/>
    <x v="0"/>
    <d v="1899-12-30T11:59:00"/>
    <x v="0"/>
    <x v="0"/>
    <s v="D3"/>
    <x v="2"/>
    <s v="City A"/>
    <n v="123"/>
    <n v="22"/>
    <x v="2"/>
    <x v="0"/>
    <x v="4"/>
    <x v="1"/>
    <x v="0"/>
    <d v="1899-12-30T12:48:00"/>
  </r>
  <r>
    <s v="1177"/>
    <s v="764 Cedar St, Cityb"/>
    <d v="2023-09-03T00:00:00"/>
    <s v="September"/>
    <x v="0"/>
    <d v="1899-12-30T14:29:00"/>
    <x v="1"/>
    <x v="1"/>
    <s v="D3"/>
    <x v="1"/>
    <s v="City B"/>
    <n v="213"/>
    <n v="10"/>
    <x v="0"/>
    <x v="1"/>
    <x v="4"/>
    <x v="1"/>
    <x v="2"/>
    <d v="1899-12-30T14:05:00"/>
  </r>
  <r>
    <s v="1206"/>
    <s v="599 Cedar St, Cityb"/>
    <d v="2023-09-06T00:00:00"/>
    <s v="September"/>
    <x v="5"/>
    <d v="1899-12-30T16:20:00"/>
    <x v="0"/>
    <x v="0"/>
    <s v="D3"/>
    <x v="1"/>
    <s v="City B"/>
    <n v="161"/>
    <n v="14"/>
    <x v="2"/>
    <x v="0"/>
    <x v="3"/>
    <x v="1"/>
    <x v="2"/>
    <d v="1899-12-30T12:44:00"/>
  </r>
  <r>
    <s v="1410"/>
    <s v="761 Elm St, Cityb"/>
    <d v="2023-09-07T00:00:00"/>
    <s v="September"/>
    <x v="2"/>
    <d v="1899-12-30T12:20:00"/>
    <x v="1"/>
    <x v="1"/>
    <s v="D3"/>
    <x v="0"/>
    <s v="City B"/>
    <n v="199"/>
    <n v="3"/>
    <x v="1"/>
    <x v="1"/>
    <x v="2"/>
    <x v="1"/>
    <x v="0"/>
    <d v="1899-12-30T14:35:00"/>
  </r>
  <r>
    <s v="1420"/>
    <s v="469 Pine St, Citye"/>
    <d v="2023-09-05T00:00:00"/>
    <s v="September"/>
    <x v="6"/>
    <d v="1899-12-30T13:44:00"/>
    <x v="1"/>
    <x v="1"/>
    <s v="D3"/>
    <x v="0"/>
    <s v="City E"/>
    <n v="228"/>
    <n v="21"/>
    <x v="2"/>
    <x v="1"/>
    <x v="1"/>
    <x v="2"/>
    <x v="2"/>
    <d v="1899-12-30T09:34:00"/>
  </r>
  <r>
    <s v="1573"/>
    <s v="491 Elm St, Citya"/>
    <d v="2023-09-07T00:00:00"/>
    <s v="September"/>
    <x v="2"/>
    <d v="1899-12-30T12:05:00"/>
    <x v="1"/>
    <x v="1"/>
    <s v="D3"/>
    <x v="2"/>
    <s v="City D"/>
    <n v="162"/>
    <n v="20"/>
    <x v="2"/>
    <x v="1"/>
    <x v="2"/>
    <x v="1"/>
    <x v="0"/>
    <d v="1899-12-30T12:40:00"/>
  </r>
  <r>
    <s v="1574"/>
    <s v="177 Pine St, Citye"/>
    <d v="2023-09-05T00:00:00"/>
    <s v="September"/>
    <x v="6"/>
    <d v="1899-12-30T10:27:00"/>
    <x v="0"/>
    <x v="0"/>
    <s v="D3"/>
    <x v="1"/>
    <s v="City A"/>
    <n v="170"/>
    <n v="8"/>
    <x v="0"/>
    <x v="0"/>
    <x v="3"/>
    <x v="1"/>
    <x v="1"/>
    <d v="1899-12-30T09:12:00"/>
  </r>
  <r>
    <s v="1602"/>
    <s v="481 Oak St, Citya"/>
    <d v="2023-09-06T00:00:00"/>
    <s v="September"/>
    <x v="5"/>
    <d v="1899-12-30T09:07:00"/>
    <x v="0"/>
    <x v="0"/>
    <s v="D3"/>
    <x v="0"/>
    <s v="City C"/>
    <n v="60"/>
    <n v="18"/>
    <x v="2"/>
    <x v="0"/>
    <x v="0"/>
    <x v="1"/>
    <x v="1"/>
    <d v="1899-12-30T16:06:00"/>
  </r>
  <r>
    <s v="1645"/>
    <s v="41 Cedar St, Citya"/>
    <d v="2023-09-06T00:00:00"/>
    <s v="September"/>
    <x v="5"/>
    <d v="1899-12-30T08:25:00"/>
    <x v="0"/>
    <x v="0"/>
    <s v="D3"/>
    <x v="2"/>
    <s v="City C"/>
    <n v="185"/>
    <n v="27"/>
    <x v="1"/>
    <x v="0"/>
    <x v="1"/>
    <x v="1"/>
    <x v="2"/>
    <d v="1899-12-30T10:26:00"/>
  </r>
  <r>
    <s v="1679"/>
    <s v="858 Pine St, Cityb"/>
    <d v="2023-09-04T00:00:00"/>
    <s v="September"/>
    <x v="1"/>
    <d v="1899-12-30T08:58:00"/>
    <x v="1"/>
    <x v="1"/>
    <s v="D3"/>
    <x v="1"/>
    <s v="City C"/>
    <n v="158"/>
    <n v="3"/>
    <x v="2"/>
    <x v="1"/>
    <x v="1"/>
    <x v="1"/>
    <x v="1"/>
    <d v="1899-12-30T14:33:00"/>
  </r>
  <r>
    <s v="1719"/>
    <s v="252 Main St, Cityc"/>
    <d v="2023-09-07T00:00:00"/>
    <s v="September"/>
    <x v="2"/>
    <d v="1899-12-30T08:41:00"/>
    <x v="1"/>
    <x v="1"/>
    <s v="D3"/>
    <x v="2"/>
    <s v="City D"/>
    <n v="209"/>
    <n v="21"/>
    <x v="1"/>
    <x v="1"/>
    <x v="1"/>
    <x v="0"/>
    <x v="1"/>
    <d v="1899-12-30T14:33:00"/>
  </r>
  <r>
    <s v="1761"/>
    <s v="841 Cedar St, Citye"/>
    <d v="2023-09-01T00:00:00"/>
    <s v="September"/>
    <x v="3"/>
    <d v="1899-12-30T15:10:00"/>
    <x v="1"/>
    <x v="1"/>
    <s v="D3"/>
    <x v="0"/>
    <s v="City B"/>
    <n v="207"/>
    <n v="6"/>
    <x v="0"/>
    <x v="1"/>
    <x v="0"/>
    <x v="1"/>
    <x v="0"/>
    <d v="1899-12-30T12:00:00"/>
  </r>
  <r>
    <s v="1786"/>
    <s v="428 Elm St, Cityd"/>
    <d v="2023-09-03T00:00:00"/>
    <s v="September"/>
    <x v="0"/>
    <d v="1899-12-30T16:14:00"/>
    <x v="1"/>
    <x v="1"/>
    <s v="D3"/>
    <x v="1"/>
    <s v="City E"/>
    <n v="237"/>
    <n v="10"/>
    <x v="2"/>
    <x v="1"/>
    <x v="4"/>
    <x v="0"/>
    <x v="1"/>
    <d v="1899-12-30T08:33:00"/>
  </r>
  <r>
    <s v="1971"/>
    <s v="24 Main St, Cityc"/>
    <d v="2023-09-05T00:00:00"/>
    <s v="September"/>
    <x v="6"/>
    <d v="1899-12-30T10:01:00"/>
    <x v="0"/>
    <x v="0"/>
    <s v="D3"/>
    <x v="2"/>
    <s v="City A"/>
    <n v="202"/>
    <n v="15"/>
    <x v="0"/>
    <x v="0"/>
    <x v="3"/>
    <x v="0"/>
    <x v="2"/>
    <d v="1899-12-30T14:14:00"/>
  </r>
  <r>
    <s v="2016"/>
    <s v="189 Cedar St, Citya"/>
    <d v="2023-09-06T00:00:00"/>
    <s v="September"/>
    <x v="5"/>
    <d v="1899-12-30T09:07:00"/>
    <x v="1"/>
    <x v="1"/>
    <s v="D3"/>
    <x v="0"/>
    <s v="City A"/>
    <n v="111"/>
    <n v="8"/>
    <x v="1"/>
    <x v="1"/>
    <x v="2"/>
    <x v="2"/>
    <x v="1"/>
    <d v="1899-12-30T11:29:00"/>
  </r>
  <r>
    <s v="2021"/>
    <s v="989 Elm St, Cityc"/>
    <d v="2023-09-06T00:00:00"/>
    <s v="September"/>
    <x v="5"/>
    <d v="1899-12-30T10:23:00"/>
    <x v="1"/>
    <x v="1"/>
    <s v="D3"/>
    <x v="0"/>
    <s v="City E"/>
    <n v="78"/>
    <n v="17"/>
    <x v="0"/>
    <x v="1"/>
    <x v="0"/>
    <x v="1"/>
    <x v="1"/>
    <d v="1899-12-30T13:08:00"/>
  </r>
  <r>
    <s v="2136"/>
    <s v="55 Cedar St, Cityb"/>
    <d v="2023-09-06T00:00:00"/>
    <s v="September"/>
    <x v="5"/>
    <d v="1899-12-30T08:51:00"/>
    <x v="0"/>
    <x v="0"/>
    <s v="D3"/>
    <x v="1"/>
    <s v="City C"/>
    <n v="179"/>
    <n v="16"/>
    <x v="1"/>
    <x v="0"/>
    <x v="4"/>
    <x v="1"/>
    <x v="2"/>
    <d v="1899-12-30T16:26:00"/>
  </r>
  <r>
    <s v="2235"/>
    <s v="210 Elm St, Cityb"/>
    <d v="2023-09-02T00:00:00"/>
    <s v="September"/>
    <x v="4"/>
    <d v="1899-12-30T12:36:00"/>
    <x v="0"/>
    <x v="0"/>
    <s v="D3"/>
    <x v="2"/>
    <s v="City C"/>
    <n v="93"/>
    <n v="28"/>
    <x v="0"/>
    <x v="0"/>
    <x v="0"/>
    <x v="2"/>
    <x v="2"/>
    <d v="1899-12-30T10:03:00"/>
  </r>
  <r>
    <s v="2331"/>
    <s v="594 Pine St, Citye"/>
    <d v="2023-09-06T00:00:00"/>
    <s v="September"/>
    <x v="5"/>
    <d v="1899-12-30T09:37:00"/>
    <x v="1"/>
    <x v="1"/>
    <s v="D3"/>
    <x v="1"/>
    <s v="City A"/>
    <n v="112"/>
    <n v="17"/>
    <x v="0"/>
    <x v="1"/>
    <x v="4"/>
    <x v="1"/>
    <x v="1"/>
    <d v="1899-12-30T12:59:00"/>
  </r>
  <r>
    <s v="2386"/>
    <s v="301 Cedar St, Citya"/>
    <d v="2023-09-01T00:00:00"/>
    <s v="September"/>
    <x v="3"/>
    <d v="1899-12-30T16:54:00"/>
    <x v="0"/>
    <x v="0"/>
    <s v="D3"/>
    <x v="1"/>
    <s v="City A"/>
    <n v="72"/>
    <n v="25"/>
    <x v="0"/>
    <x v="0"/>
    <x v="4"/>
    <x v="1"/>
    <x v="0"/>
    <d v="1899-12-30T08:21:00"/>
  </r>
  <r>
    <s v="2434"/>
    <s v="111 Elm St, Cityd"/>
    <d v="2023-09-05T00:00:00"/>
    <s v="September"/>
    <x v="6"/>
    <d v="1899-12-30T10:41:00"/>
    <x v="1"/>
    <x v="1"/>
    <s v="D3"/>
    <x v="0"/>
    <s v="City E"/>
    <n v="171"/>
    <n v="12"/>
    <x v="2"/>
    <x v="1"/>
    <x v="0"/>
    <x v="0"/>
    <x v="2"/>
    <d v="1899-12-30T15:31:00"/>
  </r>
  <r>
    <s v="1072"/>
    <s v="395 Elm St, Cityc"/>
    <d v="2023-09-03T00:00:00"/>
    <s v="September"/>
    <x v="0"/>
    <d v="1899-12-30T12:11:00"/>
    <x v="1"/>
    <x v="1"/>
    <s v="D30"/>
    <x v="2"/>
    <s v="City A"/>
    <n v="67"/>
    <n v="23"/>
    <x v="1"/>
    <x v="1"/>
    <x v="3"/>
    <x v="2"/>
    <x v="2"/>
    <d v="1899-12-30T14:05:00"/>
  </r>
  <r>
    <s v="1155"/>
    <s v="412 Elm St, Cityc"/>
    <d v="2023-09-06T00:00:00"/>
    <s v="September"/>
    <x v="5"/>
    <d v="1899-12-30T13:42:00"/>
    <x v="0"/>
    <x v="0"/>
    <s v="D30"/>
    <x v="1"/>
    <s v="City C"/>
    <n v="165"/>
    <n v="15"/>
    <x v="2"/>
    <x v="0"/>
    <x v="2"/>
    <x v="2"/>
    <x v="1"/>
    <d v="1899-12-30T11:17:00"/>
  </r>
  <r>
    <s v="1165"/>
    <s v="373 Pine St, Citye"/>
    <d v="2023-09-06T00:00:00"/>
    <s v="September"/>
    <x v="5"/>
    <d v="1899-12-30T10:49:00"/>
    <x v="0"/>
    <x v="0"/>
    <s v="D30"/>
    <x v="0"/>
    <s v="City D"/>
    <n v="79"/>
    <n v="15"/>
    <x v="0"/>
    <x v="0"/>
    <x v="2"/>
    <x v="0"/>
    <x v="1"/>
    <d v="1899-12-30T12:44:00"/>
  </r>
  <r>
    <s v="1191"/>
    <s v="927 Pine St, Cityd"/>
    <d v="2023-09-01T00:00:00"/>
    <s v="September"/>
    <x v="3"/>
    <d v="1899-12-30T09:18:00"/>
    <x v="1"/>
    <x v="1"/>
    <s v="D30"/>
    <x v="2"/>
    <s v="City B"/>
    <n v="147"/>
    <n v="6"/>
    <x v="0"/>
    <x v="1"/>
    <x v="0"/>
    <x v="2"/>
    <x v="2"/>
    <d v="1899-12-30T16:46:00"/>
  </r>
  <r>
    <s v="1497"/>
    <s v="25 Main St, Citya"/>
    <d v="2023-09-03T00:00:00"/>
    <s v="September"/>
    <x v="0"/>
    <d v="1899-12-30T15:37:00"/>
    <x v="1"/>
    <x v="1"/>
    <s v="D30"/>
    <x v="0"/>
    <s v="City D"/>
    <n v="182"/>
    <n v="14"/>
    <x v="0"/>
    <x v="1"/>
    <x v="2"/>
    <x v="0"/>
    <x v="1"/>
    <d v="1899-12-30T12:51:00"/>
  </r>
  <r>
    <s v="1531"/>
    <s v="715 Cedar St, Cityd"/>
    <d v="2023-09-01T00:00:00"/>
    <s v="September"/>
    <x v="3"/>
    <d v="1899-12-30T09:02:00"/>
    <x v="0"/>
    <x v="0"/>
    <s v="D30"/>
    <x v="0"/>
    <s v="City E"/>
    <n v="193"/>
    <n v="10"/>
    <x v="0"/>
    <x v="0"/>
    <x v="2"/>
    <x v="2"/>
    <x v="2"/>
    <d v="1899-12-30T15:34:00"/>
  </r>
  <r>
    <s v="1751"/>
    <s v="923 Elm St, Cityd"/>
    <d v="2023-09-02T00:00:00"/>
    <s v="September"/>
    <x v="4"/>
    <d v="1899-12-30T15:10:00"/>
    <x v="0"/>
    <x v="0"/>
    <s v="D30"/>
    <x v="0"/>
    <s v="City D"/>
    <n v="169"/>
    <n v="8"/>
    <x v="1"/>
    <x v="0"/>
    <x v="2"/>
    <x v="1"/>
    <x v="0"/>
    <d v="1899-12-30T14:16:00"/>
  </r>
  <r>
    <s v="1998"/>
    <s v="224 Elm St, Cityb"/>
    <d v="2023-09-01T00:00:00"/>
    <s v="September"/>
    <x v="3"/>
    <d v="1899-12-30T12:30:00"/>
    <x v="0"/>
    <x v="0"/>
    <s v="D30"/>
    <x v="2"/>
    <s v="City D"/>
    <n v="159"/>
    <n v="12"/>
    <x v="1"/>
    <x v="0"/>
    <x v="0"/>
    <x v="2"/>
    <x v="2"/>
    <d v="1899-12-30T11:56:00"/>
  </r>
  <r>
    <s v="2154"/>
    <s v="799 Main St, Citya"/>
    <d v="2023-09-05T00:00:00"/>
    <s v="September"/>
    <x v="6"/>
    <d v="1899-12-30T15:24:00"/>
    <x v="1"/>
    <x v="1"/>
    <s v="D30"/>
    <x v="2"/>
    <s v="City D"/>
    <n v="188"/>
    <n v="26"/>
    <x v="1"/>
    <x v="1"/>
    <x v="4"/>
    <x v="1"/>
    <x v="0"/>
    <d v="1899-12-30T10:34:00"/>
  </r>
  <r>
    <s v="2186"/>
    <s v="385 Main St, Citye"/>
    <d v="2023-09-05T00:00:00"/>
    <s v="September"/>
    <x v="6"/>
    <d v="1899-12-30T10:09:00"/>
    <x v="1"/>
    <x v="1"/>
    <s v="D30"/>
    <x v="1"/>
    <s v="City B"/>
    <n v="105"/>
    <n v="14"/>
    <x v="1"/>
    <x v="1"/>
    <x v="0"/>
    <x v="2"/>
    <x v="2"/>
    <d v="1899-12-30T12:14:00"/>
  </r>
  <r>
    <s v="2301"/>
    <s v="564 Elm St, Cityd"/>
    <d v="2023-09-06T00:00:00"/>
    <s v="September"/>
    <x v="5"/>
    <d v="1899-12-30T12:35:00"/>
    <x v="1"/>
    <x v="1"/>
    <s v="D30"/>
    <x v="0"/>
    <s v="City A"/>
    <n v="144"/>
    <n v="23"/>
    <x v="0"/>
    <x v="1"/>
    <x v="1"/>
    <x v="2"/>
    <x v="0"/>
    <d v="1899-12-30T11:17:00"/>
  </r>
  <r>
    <s v="2320"/>
    <s v="725 Main St, Cityc"/>
    <d v="2023-09-02T00:00:00"/>
    <s v="September"/>
    <x v="4"/>
    <d v="1899-12-30T13:33:00"/>
    <x v="0"/>
    <x v="0"/>
    <s v="D30"/>
    <x v="0"/>
    <s v="City B"/>
    <n v="73"/>
    <n v="21"/>
    <x v="0"/>
    <x v="0"/>
    <x v="3"/>
    <x v="0"/>
    <x v="1"/>
    <d v="1899-12-30T09:25:00"/>
  </r>
  <r>
    <s v="2324"/>
    <s v="413 Cedar St, Citye"/>
    <d v="2023-09-02T00:00:00"/>
    <s v="September"/>
    <x v="4"/>
    <d v="1899-12-30T15:16:00"/>
    <x v="0"/>
    <x v="0"/>
    <s v="D30"/>
    <x v="1"/>
    <s v="City C"/>
    <n v="160"/>
    <n v="7"/>
    <x v="1"/>
    <x v="0"/>
    <x v="0"/>
    <x v="2"/>
    <x v="0"/>
    <d v="1899-12-30T16:13:00"/>
  </r>
  <r>
    <s v="2363"/>
    <s v="417 Main St, Cityb"/>
    <d v="2023-09-04T00:00:00"/>
    <s v="September"/>
    <x v="1"/>
    <d v="1899-12-30T09:54:00"/>
    <x v="0"/>
    <x v="0"/>
    <s v="D30"/>
    <x v="2"/>
    <s v="City A"/>
    <n v="123"/>
    <n v="25"/>
    <x v="0"/>
    <x v="0"/>
    <x v="1"/>
    <x v="2"/>
    <x v="2"/>
    <d v="1899-12-30T13:06:00"/>
  </r>
  <r>
    <s v="2383"/>
    <s v="969 Main St, Cityd"/>
    <d v="2023-09-02T00:00:00"/>
    <s v="September"/>
    <x v="4"/>
    <d v="1899-12-30T13:39:00"/>
    <x v="1"/>
    <x v="1"/>
    <s v="D30"/>
    <x v="2"/>
    <s v="City B"/>
    <n v="228"/>
    <n v="20"/>
    <x v="1"/>
    <x v="1"/>
    <x v="0"/>
    <x v="0"/>
    <x v="1"/>
    <d v="1899-12-30T09:28:00"/>
  </r>
  <r>
    <s v="2422"/>
    <s v="386 Main St, Cityb"/>
    <d v="2023-09-07T00:00:00"/>
    <s v="September"/>
    <x v="2"/>
    <d v="1899-12-30T11:52:00"/>
    <x v="1"/>
    <x v="1"/>
    <s v="D30"/>
    <x v="1"/>
    <s v="City B"/>
    <n v="97"/>
    <n v="0"/>
    <x v="0"/>
    <x v="1"/>
    <x v="3"/>
    <x v="1"/>
    <x v="1"/>
    <d v="1899-12-30T11:09:00"/>
  </r>
  <r>
    <s v="2432"/>
    <s v="210 Oak St, Citya"/>
    <d v="2023-09-07T00:00:00"/>
    <s v="September"/>
    <x v="2"/>
    <d v="1899-12-30T09:34:00"/>
    <x v="1"/>
    <x v="1"/>
    <s v="D30"/>
    <x v="2"/>
    <s v="City C"/>
    <n v="151"/>
    <n v="3"/>
    <x v="0"/>
    <x v="1"/>
    <x v="2"/>
    <x v="0"/>
    <x v="2"/>
    <d v="1899-12-30T14:23:00"/>
  </r>
  <r>
    <s v="1109"/>
    <s v="115 Elm St, Citya"/>
    <d v="2023-09-06T00:00:00"/>
    <s v="September"/>
    <x v="5"/>
    <d v="1899-12-30T13:16:00"/>
    <x v="1"/>
    <x v="1"/>
    <s v="D31"/>
    <x v="1"/>
    <s v="City B"/>
    <n v="219"/>
    <n v="19"/>
    <x v="0"/>
    <x v="1"/>
    <x v="4"/>
    <x v="0"/>
    <x v="2"/>
    <d v="1899-12-30T13:05:00"/>
  </r>
  <r>
    <s v="1222"/>
    <s v="270 Pine St, Cityd"/>
    <d v="2023-09-05T00:00:00"/>
    <s v="September"/>
    <x v="6"/>
    <d v="1899-12-30T11:44:00"/>
    <x v="1"/>
    <x v="1"/>
    <s v="D31"/>
    <x v="1"/>
    <s v="City D"/>
    <n v="194"/>
    <n v="24"/>
    <x v="1"/>
    <x v="1"/>
    <x v="2"/>
    <x v="1"/>
    <x v="1"/>
    <d v="1899-12-30T11:39:00"/>
  </r>
  <r>
    <s v="1303"/>
    <s v="446 Elm St, Cityd"/>
    <d v="2023-09-01T00:00:00"/>
    <s v="September"/>
    <x v="3"/>
    <d v="1899-12-30T09:28:00"/>
    <x v="0"/>
    <x v="0"/>
    <s v="D31"/>
    <x v="1"/>
    <s v="City E"/>
    <n v="115"/>
    <n v="17"/>
    <x v="2"/>
    <x v="0"/>
    <x v="3"/>
    <x v="1"/>
    <x v="0"/>
    <d v="1899-12-30T15:32:00"/>
  </r>
  <r>
    <s v="1584"/>
    <s v="29 Elm St, Cityc"/>
    <d v="2023-09-01T00:00:00"/>
    <s v="September"/>
    <x v="3"/>
    <d v="1899-12-30T15:53:00"/>
    <x v="0"/>
    <x v="0"/>
    <s v="D31"/>
    <x v="1"/>
    <s v="City B"/>
    <n v="239"/>
    <n v="22"/>
    <x v="1"/>
    <x v="0"/>
    <x v="3"/>
    <x v="1"/>
    <x v="1"/>
    <d v="1899-12-30T08:49:00"/>
  </r>
  <r>
    <s v="1611"/>
    <s v="996 Oak St, Cityb"/>
    <d v="2023-09-01T00:00:00"/>
    <s v="September"/>
    <x v="3"/>
    <d v="1899-12-30T13:43:00"/>
    <x v="1"/>
    <x v="1"/>
    <s v="D31"/>
    <x v="2"/>
    <s v="City C"/>
    <n v="180"/>
    <n v="5"/>
    <x v="1"/>
    <x v="1"/>
    <x v="3"/>
    <x v="1"/>
    <x v="1"/>
    <d v="1899-12-30T16:26:00"/>
  </r>
  <r>
    <s v="1690"/>
    <s v="447 Pine St, Cityd"/>
    <d v="2023-09-04T00:00:00"/>
    <s v="September"/>
    <x v="1"/>
    <d v="1899-12-30T13:48:00"/>
    <x v="1"/>
    <x v="1"/>
    <s v="D31"/>
    <x v="0"/>
    <s v="City C"/>
    <n v="90"/>
    <n v="4"/>
    <x v="2"/>
    <x v="1"/>
    <x v="0"/>
    <x v="2"/>
    <x v="1"/>
    <d v="1899-12-30T13:48:00"/>
  </r>
  <r>
    <s v="1863"/>
    <s v="446 Pine St, Citya"/>
    <d v="2023-09-02T00:00:00"/>
    <s v="September"/>
    <x v="4"/>
    <d v="1899-12-30T14:52:00"/>
    <x v="1"/>
    <x v="1"/>
    <s v="D31"/>
    <x v="1"/>
    <s v="City E"/>
    <n v="108"/>
    <n v="12"/>
    <x v="2"/>
    <x v="1"/>
    <x v="1"/>
    <x v="0"/>
    <x v="2"/>
    <d v="1899-12-30T16:09:00"/>
  </r>
  <r>
    <s v="1876"/>
    <s v="426 Main St, Cityd"/>
    <d v="2023-09-08T00:00:00"/>
    <s v="September"/>
    <x v="3"/>
    <d v="1899-12-30T10:27:00"/>
    <x v="0"/>
    <x v="0"/>
    <s v="D31"/>
    <x v="2"/>
    <s v="City D"/>
    <n v="192"/>
    <n v="15"/>
    <x v="0"/>
    <x v="0"/>
    <x v="1"/>
    <x v="1"/>
    <x v="2"/>
    <d v="1899-12-30T16:45:00"/>
  </r>
  <r>
    <s v="1941"/>
    <s v="349 Pine St, Cityd"/>
    <d v="2023-09-06T00:00:00"/>
    <s v="September"/>
    <x v="5"/>
    <d v="1899-12-30T10:11:00"/>
    <x v="1"/>
    <x v="1"/>
    <s v="D31"/>
    <x v="1"/>
    <s v="City C"/>
    <n v="115"/>
    <n v="16"/>
    <x v="1"/>
    <x v="1"/>
    <x v="2"/>
    <x v="2"/>
    <x v="1"/>
    <d v="1899-12-30T08:49:00"/>
  </r>
  <r>
    <s v="2050"/>
    <s v="522 Elm St, Citya"/>
    <d v="2023-09-08T00:00:00"/>
    <s v="September"/>
    <x v="3"/>
    <d v="1899-12-30T13:21:00"/>
    <x v="0"/>
    <x v="0"/>
    <s v="D31"/>
    <x v="1"/>
    <s v="City A"/>
    <n v="123"/>
    <n v="26"/>
    <x v="0"/>
    <x v="0"/>
    <x v="4"/>
    <x v="0"/>
    <x v="1"/>
    <d v="1899-12-30T12:29:00"/>
  </r>
  <r>
    <s v="2083"/>
    <s v="380 Main St, Citya"/>
    <d v="2023-09-01T00:00:00"/>
    <s v="September"/>
    <x v="3"/>
    <d v="1899-12-30T16:53:00"/>
    <x v="1"/>
    <x v="1"/>
    <s v="D31"/>
    <x v="2"/>
    <s v="City E"/>
    <n v="86"/>
    <n v="15"/>
    <x v="2"/>
    <x v="1"/>
    <x v="1"/>
    <x v="0"/>
    <x v="0"/>
    <d v="1899-12-30T14:47:00"/>
  </r>
  <r>
    <s v="1013"/>
    <s v="868 Oak St, Cityb"/>
    <d v="2023-09-03T00:00:00"/>
    <s v="September"/>
    <x v="0"/>
    <d v="1899-12-30T12:16:00"/>
    <x v="1"/>
    <x v="1"/>
    <s v="D32"/>
    <x v="0"/>
    <s v="City C"/>
    <n v="127"/>
    <n v="17"/>
    <x v="2"/>
    <x v="1"/>
    <x v="1"/>
    <x v="1"/>
    <x v="2"/>
    <d v="1899-12-30T17:24:00"/>
  </r>
  <r>
    <s v="1326"/>
    <s v="995 Elm St, Citye"/>
    <d v="2023-09-06T00:00:00"/>
    <s v="September"/>
    <x v="5"/>
    <d v="1899-12-30T12:02:00"/>
    <x v="1"/>
    <x v="1"/>
    <s v="D32"/>
    <x v="1"/>
    <s v="City B"/>
    <n v="122"/>
    <n v="8"/>
    <x v="2"/>
    <x v="1"/>
    <x v="3"/>
    <x v="0"/>
    <x v="1"/>
    <d v="1899-12-30T11:47:00"/>
  </r>
  <r>
    <s v="1382"/>
    <s v="782 Oak St, Cityb"/>
    <d v="2023-09-07T00:00:00"/>
    <s v="September"/>
    <x v="2"/>
    <d v="1899-12-30T10:58:00"/>
    <x v="1"/>
    <x v="1"/>
    <s v="D32"/>
    <x v="1"/>
    <s v="City A"/>
    <n v="90"/>
    <n v="3"/>
    <x v="1"/>
    <x v="1"/>
    <x v="4"/>
    <x v="0"/>
    <x v="1"/>
    <d v="1899-12-30T17:30:00"/>
  </r>
  <r>
    <s v="1578"/>
    <s v="526 Main St, Citye"/>
    <d v="2023-09-03T00:00:00"/>
    <s v="September"/>
    <x v="0"/>
    <d v="1899-12-30T13:17:00"/>
    <x v="1"/>
    <x v="1"/>
    <s v="D32"/>
    <x v="2"/>
    <s v="City D"/>
    <n v="77"/>
    <n v="21"/>
    <x v="1"/>
    <x v="1"/>
    <x v="2"/>
    <x v="1"/>
    <x v="1"/>
    <d v="1899-12-30T12:52:00"/>
  </r>
  <r>
    <s v="1642"/>
    <s v="111 Cedar St, Citye"/>
    <d v="2023-09-06T00:00:00"/>
    <s v="September"/>
    <x v="5"/>
    <d v="1899-12-30T16:03:00"/>
    <x v="0"/>
    <x v="0"/>
    <s v="D32"/>
    <x v="0"/>
    <s v="City D"/>
    <n v="73"/>
    <n v="8"/>
    <x v="0"/>
    <x v="0"/>
    <x v="3"/>
    <x v="0"/>
    <x v="1"/>
    <d v="1899-12-30T12:04:00"/>
  </r>
  <r>
    <s v="1652"/>
    <s v="24 Cedar St, Citye"/>
    <d v="2023-09-05T00:00:00"/>
    <s v="September"/>
    <x v="6"/>
    <d v="1899-12-30T15:40:00"/>
    <x v="1"/>
    <x v="1"/>
    <s v="D32"/>
    <x v="0"/>
    <s v="City E"/>
    <n v="110"/>
    <n v="10"/>
    <x v="1"/>
    <x v="1"/>
    <x v="2"/>
    <x v="2"/>
    <x v="0"/>
    <d v="1899-12-30T09:26:00"/>
  </r>
  <r>
    <s v="1657"/>
    <s v="585 Cedar St, Cityc"/>
    <d v="2023-09-05T00:00:00"/>
    <s v="September"/>
    <x v="6"/>
    <d v="1899-12-30T10:21:00"/>
    <x v="0"/>
    <x v="0"/>
    <s v="D32"/>
    <x v="0"/>
    <s v="City C"/>
    <n v="110"/>
    <n v="4"/>
    <x v="1"/>
    <x v="0"/>
    <x v="3"/>
    <x v="0"/>
    <x v="1"/>
    <d v="1899-12-30T15:01:00"/>
  </r>
  <r>
    <s v="1806"/>
    <s v="821 Oak St, Citya"/>
    <d v="2023-09-05T00:00:00"/>
    <s v="September"/>
    <x v="6"/>
    <d v="1899-12-30T12:37:00"/>
    <x v="0"/>
    <x v="0"/>
    <s v="D32"/>
    <x v="2"/>
    <s v="City B"/>
    <n v="110"/>
    <n v="22"/>
    <x v="2"/>
    <x v="0"/>
    <x v="1"/>
    <x v="2"/>
    <x v="0"/>
    <d v="1899-12-30T12:28:00"/>
  </r>
  <r>
    <s v="1994"/>
    <s v="963 Cedar St, Cityb"/>
    <d v="2023-09-02T00:00:00"/>
    <s v="September"/>
    <x v="4"/>
    <d v="1899-12-30T09:37:00"/>
    <x v="1"/>
    <x v="1"/>
    <s v="D32"/>
    <x v="2"/>
    <s v="City A"/>
    <n v="162"/>
    <n v="25"/>
    <x v="2"/>
    <x v="1"/>
    <x v="1"/>
    <x v="1"/>
    <x v="2"/>
    <d v="1899-12-30T13:11:00"/>
  </r>
  <r>
    <s v="2038"/>
    <s v="424 Main St, Cityc"/>
    <d v="2023-09-03T00:00:00"/>
    <s v="September"/>
    <x v="0"/>
    <d v="1899-12-30T16:48:00"/>
    <x v="1"/>
    <x v="1"/>
    <s v="D32"/>
    <x v="0"/>
    <s v="City C"/>
    <n v="173"/>
    <n v="21"/>
    <x v="2"/>
    <x v="1"/>
    <x v="3"/>
    <x v="1"/>
    <x v="1"/>
    <d v="1899-12-30T09:55:00"/>
  </r>
  <r>
    <s v="2246"/>
    <s v="505 Elm St, Cityb"/>
    <d v="2023-09-03T00:00:00"/>
    <s v="September"/>
    <x v="0"/>
    <d v="1899-12-30T08:20:00"/>
    <x v="0"/>
    <x v="0"/>
    <s v="D32"/>
    <x v="2"/>
    <s v="City B"/>
    <n v="223"/>
    <n v="27"/>
    <x v="1"/>
    <x v="0"/>
    <x v="3"/>
    <x v="2"/>
    <x v="1"/>
    <d v="1899-12-30T09:09:00"/>
  </r>
  <r>
    <s v="2319"/>
    <s v="378 Cedar St, Citye"/>
    <d v="2023-09-05T00:00:00"/>
    <s v="September"/>
    <x v="6"/>
    <d v="1899-12-30T12:34:00"/>
    <x v="1"/>
    <x v="1"/>
    <s v="D32"/>
    <x v="2"/>
    <s v="City E"/>
    <n v="71"/>
    <n v="1"/>
    <x v="0"/>
    <x v="1"/>
    <x v="2"/>
    <x v="1"/>
    <x v="0"/>
    <d v="1899-12-30T08:48:00"/>
  </r>
  <r>
    <s v="2347"/>
    <s v="576 Elm St, Citye"/>
    <d v="2023-09-07T00:00:00"/>
    <s v="September"/>
    <x v="2"/>
    <d v="1899-12-30T13:27:00"/>
    <x v="1"/>
    <x v="1"/>
    <s v="D32"/>
    <x v="2"/>
    <s v="City C"/>
    <n v="102"/>
    <n v="23"/>
    <x v="1"/>
    <x v="1"/>
    <x v="0"/>
    <x v="0"/>
    <x v="1"/>
    <d v="1899-12-30T15:30:00"/>
  </r>
  <r>
    <s v="1019"/>
    <s v="348 Pine St, Citya"/>
    <d v="2023-09-04T00:00:00"/>
    <s v="September"/>
    <x v="1"/>
    <d v="1899-12-30T14:53:00"/>
    <x v="0"/>
    <x v="0"/>
    <s v="D33"/>
    <x v="0"/>
    <s v="City A"/>
    <n v="219"/>
    <n v="13"/>
    <x v="1"/>
    <x v="0"/>
    <x v="4"/>
    <x v="0"/>
    <x v="2"/>
    <d v="1899-12-30T09:17:00"/>
  </r>
  <r>
    <s v="1020"/>
    <s v="537 Oak St, Citya"/>
    <d v="2023-09-02T00:00:00"/>
    <s v="September"/>
    <x v="4"/>
    <d v="1899-12-30T11:34:00"/>
    <x v="0"/>
    <x v="0"/>
    <s v="D33"/>
    <x v="0"/>
    <s v="City E"/>
    <n v="213"/>
    <n v="24"/>
    <x v="0"/>
    <x v="0"/>
    <x v="0"/>
    <x v="0"/>
    <x v="0"/>
    <d v="1899-12-30T11:15:00"/>
  </r>
  <r>
    <s v="1163"/>
    <s v="252 Elm St, Cityb"/>
    <d v="2023-09-02T00:00:00"/>
    <s v="September"/>
    <x v="4"/>
    <d v="1899-12-30T11:55:00"/>
    <x v="0"/>
    <x v="0"/>
    <s v="D33"/>
    <x v="0"/>
    <s v="City E"/>
    <n v="78"/>
    <n v="0"/>
    <x v="1"/>
    <x v="0"/>
    <x v="3"/>
    <x v="0"/>
    <x v="2"/>
    <d v="1899-12-30T11:54:00"/>
  </r>
  <r>
    <s v="1249"/>
    <s v="628 Main St, Citya"/>
    <d v="2023-09-01T00:00:00"/>
    <s v="September"/>
    <x v="3"/>
    <d v="1899-12-30T13:05:00"/>
    <x v="0"/>
    <x v="0"/>
    <s v="D33"/>
    <x v="0"/>
    <s v="City E"/>
    <n v="180"/>
    <n v="25"/>
    <x v="0"/>
    <x v="0"/>
    <x v="2"/>
    <x v="2"/>
    <x v="1"/>
    <d v="1899-12-30T12:50:00"/>
  </r>
  <r>
    <s v="1363"/>
    <s v="489 Oak St, Cityb"/>
    <d v="2023-09-05T00:00:00"/>
    <s v="September"/>
    <x v="6"/>
    <d v="1899-12-30T11:02:00"/>
    <x v="1"/>
    <x v="1"/>
    <s v="D33"/>
    <x v="1"/>
    <s v="City B"/>
    <n v="67"/>
    <n v="20"/>
    <x v="2"/>
    <x v="1"/>
    <x v="1"/>
    <x v="1"/>
    <x v="1"/>
    <d v="1899-12-30T12:07:00"/>
  </r>
  <r>
    <s v="1380"/>
    <s v="843 Main St, Cityb"/>
    <d v="2023-09-02T00:00:00"/>
    <s v="September"/>
    <x v="4"/>
    <d v="1899-12-30T16:54:00"/>
    <x v="0"/>
    <x v="0"/>
    <s v="D33"/>
    <x v="1"/>
    <s v="City B"/>
    <n v="162"/>
    <n v="28"/>
    <x v="0"/>
    <x v="0"/>
    <x v="1"/>
    <x v="2"/>
    <x v="2"/>
    <d v="1899-12-30T14:13:00"/>
  </r>
  <r>
    <s v="1475"/>
    <s v="350 Cedar St, Cityb"/>
    <d v="2023-09-04T00:00:00"/>
    <s v="September"/>
    <x v="1"/>
    <d v="1899-12-30T08:24:00"/>
    <x v="1"/>
    <x v="1"/>
    <s v="D33"/>
    <x v="0"/>
    <s v="City B"/>
    <n v="79"/>
    <n v="10"/>
    <x v="0"/>
    <x v="1"/>
    <x v="4"/>
    <x v="1"/>
    <x v="0"/>
    <d v="1899-12-30T12:49:00"/>
  </r>
  <r>
    <s v="1598"/>
    <s v="524 Pine St, Cityd"/>
    <d v="2023-09-06T00:00:00"/>
    <s v="September"/>
    <x v="5"/>
    <d v="1899-12-30T14:59:00"/>
    <x v="0"/>
    <x v="0"/>
    <s v="D33"/>
    <x v="2"/>
    <s v="City D"/>
    <n v="173"/>
    <n v="16"/>
    <x v="0"/>
    <x v="0"/>
    <x v="4"/>
    <x v="0"/>
    <x v="0"/>
    <d v="1899-12-30T16:12:00"/>
  </r>
  <r>
    <s v="1701"/>
    <s v="257 Main St, Citye"/>
    <d v="2023-09-04T00:00:00"/>
    <s v="September"/>
    <x v="1"/>
    <d v="1899-12-30T10:45:00"/>
    <x v="0"/>
    <x v="0"/>
    <s v="D33"/>
    <x v="1"/>
    <s v="City A"/>
    <n v="201"/>
    <n v="3"/>
    <x v="0"/>
    <x v="0"/>
    <x v="1"/>
    <x v="2"/>
    <x v="1"/>
    <d v="1899-12-30T13:30:00"/>
  </r>
  <r>
    <s v="1961"/>
    <s v="252 Oak St, Citye"/>
    <d v="2023-09-02T00:00:00"/>
    <s v="September"/>
    <x v="4"/>
    <d v="1899-12-30T13:16:00"/>
    <x v="1"/>
    <x v="1"/>
    <s v="D33"/>
    <x v="1"/>
    <s v="City E"/>
    <n v="208"/>
    <n v="20"/>
    <x v="2"/>
    <x v="1"/>
    <x v="0"/>
    <x v="2"/>
    <x v="0"/>
    <d v="1899-12-30T08:35:00"/>
  </r>
  <r>
    <s v="1968"/>
    <s v="999 Cedar St, Cityc"/>
    <d v="2023-09-08T00:00:00"/>
    <s v="September"/>
    <x v="3"/>
    <d v="1899-12-30T13:28:00"/>
    <x v="1"/>
    <x v="1"/>
    <s v="D33"/>
    <x v="1"/>
    <s v="City B"/>
    <n v="141"/>
    <n v="2"/>
    <x v="0"/>
    <x v="1"/>
    <x v="4"/>
    <x v="2"/>
    <x v="1"/>
    <d v="1899-12-30T14:21:00"/>
  </r>
  <r>
    <s v="2177"/>
    <s v="354 Oak St, Citya"/>
    <d v="2023-09-05T00:00:00"/>
    <s v="September"/>
    <x v="6"/>
    <d v="1899-12-30T14:14:00"/>
    <x v="1"/>
    <x v="1"/>
    <s v="D33"/>
    <x v="0"/>
    <s v="City B"/>
    <n v="107"/>
    <n v="28"/>
    <x v="0"/>
    <x v="1"/>
    <x v="2"/>
    <x v="2"/>
    <x v="0"/>
    <d v="1899-12-30T15:32:00"/>
  </r>
  <r>
    <s v="2209"/>
    <s v="535 Cedar St, Cityc"/>
    <d v="2023-09-01T00:00:00"/>
    <s v="September"/>
    <x v="3"/>
    <d v="1899-12-30T12:57:00"/>
    <x v="1"/>
    <x v="1"/>
    <s v="D33"/>
    <x v="1"/>
    <s v="City E"/>
    <n v="176"/>
    <n v="2"/>
    <x v="2"/>
    <x v="1"/>
    <x v="3"/>
    <x v="2"/>
    <x v="2"/>
    <d v="1899-12-30T15:56:00"/>
  </r>
  <r>
    <s v="2470"/>
    <s v="582 Pine St, Cityd"/>
    <d v="2023-09-04T00:00:00"/>
    <s v="September"/>
    <x v="1"/>
    <d v="1899-12-30T09:00:00"/>
    <x v="0"/>
    <x v="0"/>
    <s v="D33"/>
    <x v="1"/>
    <s v="City E"/>
    <n v="128"/>
    <n v="2"/>
    <x v="2"/>
    <x v="0"/>
    <x v="3"/>
    <x v="0"/>
    <x v="1"/>
    <d v="1899-12-30T11:38:00"/>
  </r>
  <r>
    <s v="1039"/>
    <s v="111 Oak St, Cityb"/>
    <d v="2023-09-01T00:00:00"/>
    <s v="September"/>
    <x v="3"/>
    <d v="1899-12-30T15:10:00"/>
    <x v="1"/>
    <x v="1"/>
    <s v="D34"/>
    <x v="0"/>
    <s v="City A"/>
    <n v="110"/>
    <n v="7"/>
    <x v="0"/>
    <x v="1"/>
    <x v="0"/>
    <x v="1"/>
    <x v="1"/>
    <d v="1899-12-30T10:31:00"/>
  </r>
  <r>
    <s v="1053"/>
    <s v="680 Oak St, Citye"/>
    <d v="2023-09-02T00:00:00"/>
    <s v="September"/>
    <x v="4"/>
    <d v="1899-12-30T10:44:00"/>
    <x v="0"/>
    <x v="0"/>
    <s v="D34"/>
    <x v="2"/>
    <s v="City B"/>
    <n v="66"/>
    <n v="13"/>
    <x v="0"/>
    <x v="0"/>
    <x v="0"/>
    <x v="2"/>
    <x v="2"/>
    <d v="1899-12-30T09:11:00"/>
  </r>
  <r>
    <s v="1062"/>
    <s v="107 Oak St, Citye"/>
    <d v="2023-09-03T00:00:00"/>
    <s v="September"/>
    <x v="0"/>
    <d v="1899-12-30T14:10:00"/>
    <x v="0"/>
    <x v="0"/>
    <s v="D34"/>
    <x v="1"/>
    <s v="City D"/>
    <n v="76"/>
    <n v="4"/>
    <x v="0"/>
    <x v="0"/>
    <x v="1"/>
    <x v="0"/>
    <x v="1"/>
    <d v="1899-12-30T15:10:00"/>
  </r>
  <r>
    <s v="1064"/>
    <s v="314 Pine St, Cityc"/>
    <d v="2023-09-06T00:00:00"/>
    <s v="September"/>
    <x v="5"/>
    <d v="1899-12-30T14:03:00"/>
    <x v="1"/>
    <x v="1"/>
    <s v="D34"/>
    <x v="1"/>
    <s v="City B"/>
    <n v="129"/>
    <n v="2"/>
    <x v="0"/>
    <x v="1"/>
    <x v="3"/>
    <x v="2"/>
    <x v="0"/>
    <d v="1899-12-30T09:55:00"/>
  </r>
  <r>
    <s v="1084"/>
    <s v="182 Pine St, Cityb"/>
    <d v="2023-09-04T00:00:00"/>
    <s v="September"/>
    <x v="1"/>
    <d v="1899-12-30T08:33:00"/>
    <x v="0"/>
    <x v="0"/>
    <s v="D34"/>
    <x v="1"/>
    <s v="City C"/>
    <n v="179"/>
    <n v="23"/>
    <x v="0"/>
    <x v="0"/>
    <x v="0"/>
    <x v="2"/>
    <x v="2"/>
    <d v="1899-12-30T13:22:00"/>
  </r>
  <r>
    <s v="1184"/>
    <s v="806 Main St, Citya"/>
    <d v="2023-09-04T00:00:00"/>
    <s v="September"/>
    <x v="1"/>
    <d v="1899-12-30T11:12:00"/>
    <x v="1"/>
    <x v="1"/>
    <s v="D34"/>
    <x v="0"/>
    <s v="City B"/>
    <n v="171"/>
    <n v="4"/>
    <x v="1"/>
    <x v="1"/>
    <x v="0"/>
    <x v="0"/>
    <x v="2"/>
    <d v="1899-12-30T11:56:00"/>
  </r>
  <r>
    <s v="1187"/>
    <s v="954 Oak St, Cityb"/>
    <d v="2023-09-01T00:00:00"/>
    <s v="September"/>
    <x v="3"/>
    <d v="1899-12-30T11:34:00"/>
    <x v="0"/>
    <x v="0"/>
    <s v="D34"/>
    <x v="1"/>
    <s v="City B"/>
    <n v="219"/>
    <n v="25"/>
    <x v="1"/>
    <x v="0"/>
    <x v="4"/>
    <x v="2"/>
    <x v="1"/>
    <d v="1899-12-30T11:06:00"/>
  </r>
  <r>
    <s v="1263"/>
    <s v="997 Elm St, Citya"/>
    <d v="2023-09-02T00:00:00"/>
    <s v="September"/>
    <x v="4"/>
    <d v="1899-12-30T09:22:00"/>
    <x v="0"/>
    <x v="0"/>
    <s v="D34"/>
    <x v="0"/>
    <s v="City B"/>
    <n v="75"/>
    <n v="15"/>
    <x v="2"/>
    <x v="0"/>
    <x v="3"/>
    <x v="1"/>
    <x v="1"/>
    <d v="1899-12-30T13:17:00"/>
  </r>
  <r>
    <s v="1493"/>
    <s v="712 Oak St, Cityb"/>
    <d v="2023-09-05T00:00:00"/>
    <s v="September"/>
    <x v="6"/>
    <d v="1899-12-30T16:32:00"/>
    <x v="1"/>
    <x v="1"/>
    <s v="D34"/>
    <x v="0"/>
    <s v="City C"/>
    <n v="218"/>
    <n v="4"/>
    <x v="1"/>
    <x v="1"/>
    <x v="2"/>
    <x v="0"/>
    <x v="2"/>
    <d v="1899-12-30T11:47:00"/>
  </r>
  <r>
    <s v="1640"/>
    <s v="371 Main St, Citya"/>
    <d v="2023-09-05T00:00:00"/>
    <s v="September"/>
    <x v="6"/>
    <d v="1899-12-30T14:58:00"/>
    <x v="0"/>
    <x v="0"/>
    <s v="D34"/>
    <x v="2"/>
    <s v="City B"/>
    <n v="213"/>
    <n v="21"/>
    <x v="1"/>
    <x v="0"/>
    <x v="4"/>
    <x v="1"/>
    <x v="2"/>
    <d v="1899-12-30T16:17:00"/>
  </r>
  <r>
    <s v="1671"/>
    <s v="555 Oak St, Cityb"/>
    <d v="2023-09-05T00:00:00"/>
    <s v="September"/>
    <x v="6"/>
    <d v="1899-12-30T13:51:00"/>
    <x v="1"/>
    <x v="1"/>
    <s v="D34"/>
    <x v="2"/>
    <s v="City E"/>
    <n v="230"/>
    <n v="24"/>
    <x v="0"/>
    <x v="1"/>
    <x v="4"/>
    <x v="2"/>
    <x v="0"/>
    <d v="1899-12-30T17:20:00"/>
  </r>
  <r>
    <s v="1682"/>
    <s v="415 Oak St, Cityb"/>
    <d v="2023-09-01T00:00:00"/>
    <s v="September"/>
    <x v="3"/>
    <d v="1899-12-30T12:49:00"/>
    <x v="0"/>
    <x v="0"/>
    <s v="D34"/>
    <x v="1"/>
    <s v="City D"/>
    <n v="197"/>
    <n v="3"/>
    <x v="2"/>
    <x v="0"/>
    <x v="3"/>
    <x v="1"/>
    <x v="1"/>
    <d v="1899-12-30T14:45:00"/>
  </r>
  <r>
    <s v="1746"/>
    <s v="204 Main St, Cityb"/>
    <d v="2023-09-02T00:00:00"/>
    <s v="September"/>
    <x v="4"/>
    <d v="1899-12-30T09:27:00"/>
    <x v="1"/>
    <x v="1"/>
    <s v="D34"/>
    <x v="1"/>
    <s v="City A"/>
    <n v="233"/>
    <n v="10"/>
    <x v="2"/>
    <x v="1"/>
    <x v="0"/>
    <x v="0"/>
    <x v="0"/>
    <d v="1899-12-30T15:11:00"/>
  </r>
  <r>
    <s v="1798"/>
    <s v="160 Cedar St, Citye"/>
    <d v="2023-09-08T00:00:00"/>
    <s v="September"/>
    <x v="3"/>
    <d v="1899-12-30T09:26:00"/>
    <x v="0"/>
    <x v="0"/>
    <s v="D34"/>
    <x v="2"/>
    <s v="City C"/>
    <n v="201"/>
    <n v="10"/>
    <x v="2"/>
    <x v="0"/>
    <x v="4"/>
    <x v="1"/>
    <x v="0"/>
    <d v="1899-12-30T13:53:00"/>
  </r>
  <r>
    <s v="1828"/>
    <s v="85 Main St, Citya"/>
    <d v="2023-09-03T00:00:00"/>
    <s v="September"/>
    <x v="0"/>
    <d v="1899-12-30T11:56:00"/>
    <x v="1"/>
    <x v="1"/>
    <s v="D34"/>
    <x v="2"/>
    <s v="City D"/>
    <n v="68"/>
    <n v="4"/>
    <x v="2"/>
    <x v="1"/>
    <x v="1"/>
    <x v="1"/>
    <x v="0"/>
    <d v="1899-12-30T13:31:00"/>
  </r>
  <r>
    <s v="1843"/>
    <s v="852 Cedar St, Cityc"/>
    <d v="2023-09-05T00:00:00"/>
    <s v="September"/>
    <x v="6"/>
    <d v="1899-12-30T15:54:00"/>
    <x v="1"/>
    <x v="1"/>
    <s v="D34"/>
    <x v="0"/>
    <s v="City E"/>
    <n v="131"/>
    <n v="22"/>
    <x v="1"/>
    <x v="1"/>
    <x v="1"/>
    <x v="0"/>
    <x v="1"/>
    <d v="1899-12-30T14:21:00"/>
  </r>
  <r>
    <s v="1875"/>
    <s v="8 Elm St, Cityc"/>
    <d v="2023-09-05T00:00:00"/>
    <s v="September"/>
    <x v="6"/>
    <d v="1899-12-30T13:52:00"/>
    <x v="0"/>
    <x v="0"/>
    <s v="D34"/>
    <x v="1"/>
    <s v="City A"/>
    <n v="188"/>
    <n v="8"/>
    <x v="1"/>
    <x v="0"/>
    <x v="2"/>
    <x v="2"/>
    <x v="1"/>
    <d v="1899-12-30T12:07:00"/>
  </r>
  <r>
    <s v="2019"/>
    <s v="256 Main St, Citya"/>
    <d v="2023-09-06T00:00:00"/>
    <s v="September"/>
    <x v="5"/>
    <d v="1899-12-30T08:44:00"/>
    <x v="1"/>
    <x v="1"/>
    <s v="D34"/>
    <x v="1"/>
    <s v="City D"/>
    <n v="84"/>
    <n v="13"/>
    <x v="2"/>
    <x v="1"/>
    <x v="0"/>
    <x v="1"/>
    <x v="0"/>
    <d v="1899-12-30T12:45:00"/>
  </r>
  <r>
    <s v="2113"/>
    <s v="176 Oak St, Citya"/>
    <d v="2023-09-06T00:00:00"/>
    <s v="September"/>
    <x v="5"/>
    <d v="1899-12-30T10:17:00"/>
    <x v="0"/>
    <x v="0"/>
    <s v="D34"/>
    <x v="0"/>
    <s v="City B"/>
    <n v="110"/>
    <n v="14"/>
    <x v="1"/>
    <x v="0"/>
    <x v="1"/>
    <x v="2"/>
    <x v="1"/>
    <d v="1899-12-30T16:50:00"/>
  </r>
  <r>
    <s v="2231"/>
    <s v="340 Elm St, Cityd"/>
    <d v="2023-09-08T00:00:00"/>
    <s v="September"/>
    <x v="3"/>
    <d v="1899-12-30T12:46:00"/>
    <x v="0"/>
    <x v="0"/>
    <s v="D34"/>
    <x v="1"/>
    <s v="City E"/>
    <n v="75"/>
    <n v="24"/>
    <x v="0"/>
    <x v="0"/>
    <x v="1"/>
    <x v="2"/>
    <x v="0"/>
    <d v="1899-12-30T09:09:00"/>
  </r>
  <r>
    <s v="2272"/>
    <s v="112 Cedar St, Cityc"/>
    <d v="2023-09-02T00:00:00"/>
    <s v="September"/>
    <x v="4"/>
    <d v="1899-12-30T15:24:00"/>
    <x v="0"/>
    <x v="0"/>
    <s v="D34"/>
    <x v="2"/>
    <s v="City E"/>
    <n v="238"/>
    <n v="21"/>
    <x v="2"/>
    <x v="0"/>
    <x v="4"/>
    <x v="2"/>
    <x v="0"/>
    <d v="1899-12-30T10:03:00"/>
  </r>
  <r>
    <s v="2337"/>
    <s v="111 Elm St, Cityb"/>
    <d v="2023-09-08T00:00:00"/>
    <s v="September"/>
    <x v="3"/>
    <d v="1899-12-30T16:48:00"/>
    <x v="1"/>
    <x v="1"/>
    <s v="D34"/>
    <x v="0"/>
    <s v="City B"/>
    <n v="78"/>
    <n v="23"/>
    <x v="0"/>
    <x v="1"/>
    <x v="4"/>
    <x v="1"/>
    <x v="0"/>
    <d v="1899-12-30T09:16:00"/>
  </r>
  <r>
    <s v="2373"/>
    <s v="642 Main St, Citya"/>
    <d v="2023-09-03T00:00:00"/>
    <s v="September"/>
    <x v="0"/>
    <d v="1899-12-30T15:31:00"/>
    <x v="0"/>
    <x v="0"/>
    <s v="D34"/>
    <x v="2"/>
    <s v="City B"/>
    <n v="207"/>
    <n v="22"/>
    <x v="0"/>
    <x v="0"/>
    <x v="2"/>
    <x v="1"/>
    <x v="0"/>
    <d v="1899-12-30T13:21:00"/>
  </r>
  <r>
    <s v="2415"/>
    <s v="870 Elm St, Citya"/>
    <d v="2023-09-02T00:00:00"/>
    <s v="September"/>
    <x v="4"/>
    <d v="1899-12-30T09:32:00"/>
    <x v="0"/>
    <x v="0"/>
    <s v="D34"/>
    <x v="0"/>
    <s v="City A"/>
    <n v="198"/>
    <n v="20"/>
    <x v="0"/>
    <x v="0"/>
    <x v="2"/>
    <x v="2"/>
    <x v="2"/>
    <d v="1899-12-30T13:20:00"/>
  </r>
  <r>
    <s v="2453"/>
    <s v="698 Main St, Cityd"/>
    <d v="2023-09-02T00:00:00"/>
    <s v="September"/>
    <x v="4"/>
    <d v="1899-12-30T14:54:00"/>
    <x v="0"/>
    <x v="0"/>
    <s v="D34"/>
    <x v="1"/>
    <s v="City E"/>
    <n v="77"/>
    <n v="12"/>
    <x v="2"/>
    <x v="0"/>
    <x v="2"/>
    <x v="0"/>
    <x v="0"/>
    <d v="1899-12-30T15:53:00"/>
  </r>
  <r>
    <s v="1066"/>
    <s v="852 Main St, Cityb"/>
    <d v="2023-09-05T00:00:00"/>
    <s v="September"/>
    <x v="6"/>
    <d v="1899-12-30T16:28:00"/>
    <x v="0"/>
    <x v="0"/>
    <s v="D35"/>
    <x v="1"/>
    <s v="City B"/>
    <n v="203"/>
    <n v="20"/>
    <x v="1"/>
    <x v="0"/>
    <x v="0"/>
    <x v="2"/>
    <x v="0"/>
    <d v="1899-12-30T09:13:00"/>
  </r>
  <r>
    <s v="1103"/>
    <s v="292 Cedar St, Cityc"/>
    <d v="2023-09-03T00:00:00"/>
    <s v="September"/>
    <x v="0"/>
    <d v="1899-12-30T12:31:00"/>
    <x v="1"/>
    <x v="1"/>
    <s v="D35"/>
    <x v="1"/>
    <s v="City A"/>
    <n v="173"/>
    <n v="4"/>
    <x v="2"/>
    <x v="1"/>
    <x v="3"/>
    <x v="1"/>
    <x v="0"/>
    <d v="1899-12-30T14:29:00"/>
  </r>
  <r>
    <s v="1119"/>
    <s v="359 Pine St, Cityb"/>
    <d v="2023-09-08T00:00:00"/>
    <s v="September"/>
    <x v="3"/>
    <d v="1899-12-30T10:04:00"/>
    <x v="1"/>
    <x v="1"/>
    <s v="D35"/>
    <x v="2"/>
    <s v="City D"/>
    <n v="149"/>
    <n v="17"/>
    <x v="2"/>
    <x v="1"/>
    <x v="2"/>
    <x v="0"/>
    <x v="2"/>
    <d v="1899-12-30T11:52:00"/>
  </r>
  <r>
    <s v="1130"/>
    <s v="115 Main St, Cityd"/>
    <d v="2023-09-04T00:00:00"/>
    <s v="September"/>
    <x v="1"/>
    <d v="1899-12-30T11:50:00"/>
    <x v="1"/>
    <x v="1"/>
    <s v="D35"/>
    <x v="1"/>
    <s v="City A"/>
    <n v="93"/>
    <n v="20"/>
    <x v="2"/>
    <x v="1"/>
    <x v="1"/>
    <x v="2"/>
    <x v="2"/>
    <d v="1899-12-30T16:52:00"/>
  </r>
  <r>
    <s v="1202"/>
    <s v="902 Pine St, Cityd"/>
    <d v="2023-09-02T00:00:00"/>
    <s v="September"/>
    <x v="4"/>
    <d v="1899-12-30T08:49:00"/>
    <x v="0"/>
    <x v="0"/>
    <s v="D35"/>
    <x v="0"/>
    <s v="City D"/>
    <n v="63"/>
    <n v="0"/>
    <x v="1"/>
    <x v="0"/>
    <x v="0"/>
    <x v="2"/>
    <x v="1"/>
    <d v="1899-12-30T10:38:00"/>
  </r>
  <r>
    <s v="1214"/>
    <s v="300 Main St, Cityc"/>
    <d v="2023-09-03T00:00:00"/>
    <s v="September"/>
    <x v="0"/>
    <d v="1899-12-30T12:03:00"/>
    <x v="1"/>
    <x v="1"/>
    <s v="D35"/>
    <x v="1"/>
    <s v="City E"/>
    <n v="168"/>
    <n v="12"/>
    <x v="2"/>
    <x v="1"/>
    <x v="3"/>
    <x v="1"/>
    <x v="2"/>
    <d v="1899-12-30T12:10:00"/>
  </r>
  <r>
    <s v="1219"/>
    <s v="533 Main St, Cityd"/>
    <d v="2023-09-02T00:00:00"/>
    <s v="September"/>
    <x v="4"/>
    <d v="1899-12-30T16:41:00"/>
    <x v="1"/>
    <x v="1"/>
    <s v="D35"/>
    <x v="0"/>
    <s v="City A"/>
    <n v="223"/>
    <n v="13"/>
    <x v="1"/>
    <x v="1"/>
    <x v="1"/>
    <x v="2"/>
    <x v="2"/>
    <d v="1899-12-30T09:54:00"/>
  </r>
  <r>
    <s v="1403"/>
    <s v="263 Oak St, Cityb"/>
    <d v="2023-09-05T00:00:00"/>
    <s v="September"/>
    <x v="6"/>
    <d v="1899-12-30T10:19:00"/>
    <x v="0"/>
    <x v="0"/>
    <s v="D35"/>
    <x v="2"/>
    <s v="City C"/>
    <n v="186"/>
    <n v="26"/>
    <x v="0"/>
    <x v="0"/>
    <x v="1"/>
    <x v="0"/>
    <x v="1"/>
    <d v="1899-12-30T17:13:00"/>
  </r>
  <r>
    <s v="1412"/>
    <s v="853 Elm St, Citye"/>
    <d v="2023-09-01T00:00:00"/>
    <s v="September"/>
    <x v="3"/>
    <d v="1899-12-30T13:34:00"/>
    <x v="1"/>
    <x v="1"/>
    <s v="D35"/>
    <x v="1"/>
    <s v="City E"/>
    <n v="183"/>
    <n v="21"/>
    <x v="1"/>
    <x v="1"/>
    <x v="3"/>
    <x v="0"/>
    <x v="1"/>
    <d v="1899-12-30T13:07:00"/>
  </r>
  <r>
    <s v="1444"/>
    <s v="67 Pine St, Cityd"/>
    <d v="2023-09-07T00:00:00"/>
    <s v="September"/>
    <x v="2"/>
    <d v="1899-12-30T10:40:00"/>
    <x v="1"/>
    <x v="1"/>
    <s v="D35"/>
    <x v="2"/>
    <s v="City D"/>
    <n v="167"/>
    <n v="8"/>
    <x v="0"/>
    <x v="1"/>
    <x v="1"/>
    <x v="1"/>
    <x v="1"/>
    <d v="1899-12-30T11:33:00"/>
  </r>
  <r>
    <s v="1490"/>
    <s v="855 Elm St, Citya"/>
    <d v="2023-09-06T00:00:00"/>
    <s v="September"/>
    <x v="5"/>
    <d v="1899-12-30T08:41:00"/>
    <x v="1"/>
    <x v="1"/>
    <s v="D35"/>
    <x v="1"/>
    <s v="City C"/>
    <n v="190"/>
    <n v="12"/>
    <x v="1"/>
    <x v="1"/>
    <x v="2"/>
    <x v="2"/>
    <x v="1"/>
    <d v="1899-12-30T11:10:00"/>
  </r>
  <r>
    <s v="1534"/>
    <s v="298 Cedar St, Cityc"/>
    <d v="2023-09-06T00:00:00"/>
    <s v="September"/>
    <x v="5"/>
    <d v="1899-12-30T10:00:00"/>
    <x v="1"/>
    <x v="1"/>
    <s v="D35"/>
    <x v="0"/>
    <s v="City E"/>
    <n v="205"/>
    <n v="12"/>
    <x v="0"/>
    <x v="1"/>
    <x v="3"/>
    <x v="1"/>
    <x v="0"/>
    <d v="1899-12-30T15:37:00"/>
  </r>
  <r>
    <s v="1537"/>
    <s v="494 Pine St, Cityb"/>
    <d v="2023-09-01T00:00:00"/>
    <s v="September"/>
    <x v="3"/>
    <d v="1899-12-30T13:01:00"/>
    <x v="1"/>
    <x v="1"/>
    <s v="D35"/>
    <x v="1"/>
    <s v="City B"/>
    <n v="195"/>
    <n v="23"/>
    <x v="0"/>
    <x v="1"/>
    <x v="2"/>
    <x v="2"/>
    <x v="0"/>
    <d v="1899-12-30T15:36:00"/>
  </r>
  <r>
    <s v="1705"/>
    <s v="892 Elm St, Cityb"/>
    <d v="2023-09-08T00:00:00"/>
    <s v="September"/>
    <x v="3"/>
    <d v="1899-12-30T14:31:00"/>
    <x v="1"/>
    <x v="1"/>
    <s v="D35"/>
    <x v="0"/>
    <s v="City E"/>
    <n v="181"/>
    <n v="25"/>
    <x v="1"/>
    <x v="1"/>
    <x v="0"/>
    <x v="1"/>
    <x v="1"/>
    <d v="1899-12-30T09:16:00"/>
  </r>
  <r>
    <s v="1716"/>
    <s v="128 Pine St, Citye"/>
    <d v="2023-09-04T00:00:00"/>
    <s v="September"/>
    <x v="1"/>
    <d v="1899-12-30T11:50:00"/>
    <x v="1"/>
    <x v="1"/>
    <s v="D35"/>
    <x v="2"/>
    <s v="City B"/>
    <n v="218"/>
    <n v="2"/>
    <x v="1"/>
    <x v="1"/>
    <x v="4"/>
    <x v="2"/>
    <x v="1"/>
    <d v="1899-12-30T15:06:00"/>
  </r>
  <r>
    <s v="1916"/>
    <s v="702 Pine St, Citya"/>
    <d v="2023-09-03T00:00:00"/>
    <s v="September"/>
    <x v="0"/>
    <d v="1899-12-30T13:14:00"/>
    <x v="0"/>
    <x v="0"/>
    <s v="D35"/>
    <x v="1"/>
    <s v="City A"/>
    <n v="194"/>
    <n v="12"/>
    <x v="1"/>
    <x v="0"/>
    <x v="1"/>
    <x v="2"/>
    <x v="0"/>
    <d v="1899-12-30T09:12:00"/>
  </r>
  <r>
    <s v="1943"/>
    <s v="218 Elm St, Cityb"/>
    <d v="2023-09-06T00:00:00"/>
    <s v="September"/>
    <x v="5"/>
    <d v="1899-12-30T10:52:00"/>
    <x v="1"/>
    <x v="1"/>
    <s v="D35"/>
    <x v="2"/>
    <s v="City E"/>
    <n v="200"/>
    <n v="21"/>
    <x v="2"/>
    <x v="1"/>
    <x v="0"/>
    <x v="2"/>
    <x v="1"/>
    <d v="1899-12-30T15:18:00"/>
  </r>
  <r>
    <s v="1098"/>
    <s v="653 Main St, Citya"/>
    <d v="2023-09-03T00:00:00"/>
    <s v="September"/>
    <x v="0"/>
    <d v="1899-12-30T10:12:00"/>
    <x v="0"/>
    <x v="0"/>
    <s v="D36"/>
    <x v="1"/>
    <s v="City C"/>
    <n v="194"/>
    <n v="22"/>
    <x v="1"/>
    <x v="0"/>
    <x v="4"/>
    <x v="2"/>
    <x v="0"/>
    <d v="1899-12-30T09:04:00"/>
  </r>
  <r>
    <s v="1204"/>
    <s v="786 Main St, Citye"/>
    <d v="2023-09-04T00:00:00"/>
    <s v="September"/>
    <x v="1"/>
    <d v="1899-12-30T10:17:00"/>
    <x v="1"/>
    <x v="1"/>
    <s v="D36"/>
    <x v="2"/>
    <s v="City B"/>
    <n v="101"/>
    <n v="24"/>
    <x v="1"/>
    <x v="1"/>
    <x v="1"/>
    <x v="2"/>
    <x v="2"/>
    <d v="1899-12-30T12:49:00"/>
  </r>
  <r>
    <s v="1237"/>
    <s v="936 Pine St, Citya"/>
    <d v="2023-09-07T00:00:00"/>
    <s v="September"/>
    <x v="2"/>
    <d v="1899-12-30T09:28:00"/>
    <x v="0"/>
    <x v="0"/>
    <s v="D36"/>
    <x v="1"/>
    <s v="City E"/>
    <n v="79"/>
    <n v="19"/>
    <x v="1"/>
    <x v="0"/>
    <x v="0"/>
    <x v="0"/>
    <x v="0"/>
    <d v="1899-12-30T17:22:00"/>
  </r>
  <r>
    <s v="1367"/>
    <s v="628 Main St, Cityc"/>
    <d v="2023-09-03T00:00:00"/>
    <s v="September"/>
    <x v="0"/>
    <d v="1899-12-30T12:31:00"/>
    <x v="1"/>
    <x v="1"/>
    <s v="D36"/>
    <x v="0"/>
    <s v="City C"/>
    <n v="222"/>
    <n v="5"/>
    <x v="0"/>
    <x v="1"/>
    <x v="0"/>
    <x v="0"/>
    <x v="0"/>
    <d v="1899-12-30T12:39:00"/>
  </r>
  <r>
    <s v="1532"/>
    <s v="179 Pine St, Cityc"/>
    <d v="2023-09-01T00:00:00"/>
    <s v="September"/>
    <x v="3"/>
    <d v="1899-12-30T11:46:00"/>
    <x v="0"/>
    <x v="0"/>
    <s v="D36"/>
    <x v="1"/>
    <s v="City A"/>
    <n v="78"/>
    <n v="7"/>
    <x v="1"/>
    <x v="0"/>
    <x v="4"/>
    <x v="2"/>
    <x v="1"/>
    <d v="1899-12-30T14:46:00"/>
  </r>
  <r>
    <s v="1548"/>
    <s v="651 Cedar St, Citya"/>
    <d v="2023-09-04T00:00:00"/>
    <s v="September"/>
    <x v="1"/>
    <d v="1899-12-30T14:26:00"/>
    <x v="1"/>
    <x v="1"/>
    <s v="D36"/>
    <x v="1"/>
    <s v="City C"/>
    <n v="62"/>
    <n v="25"/>
    <x v="2"/>
    <x v="1"/>
    <x v="1"/>
    <x v="0"/>
    <x v="1"/>
    <d v="1899-12-30T14:49:00"/>
  </r>
  <r>
    <s v="1649"/>
    <s v="226 Cedar St, Citye"/>
    <d v="2023-09-01T00:00:00"/>
    <s v="September"/>
    <x v="3"/>
    <d v="1899-12-30T10:46:00"/>
    <x v="0"/>
    <x v="0"/>
    <s v="D36"/>
    <x v="1"/>
    <s v="City D"/>
    <n v="156"/>
    <n v="22"/>
    <x v="0"/>
    <x v="0"/>
    <x v="0"/>
    <x v="2"/>
    <x v="1"/>
    <d v="1899-12-30T10:01:00"/>
  </r>
  <r>
    <s v="1691"/>
    <s v="92 Pine St, Cityc"/>
    <d v="2023-09-06T00:00:00"/>
    <s v="September"/>
    <x v="5"/>
    <d v="1899-12-30T13:43:00"/>
    <x v="1"/>
    <x v="1"/>
    <s v="D36"/>
    <x v="2"/>
    <s v="City C"/>
    <n v="195"/>
    <n v="10"/>
    <x v="2"/>
    <x v="1"/>
    <x v="4"/>
    <x v="1"/>
    <x v="0"/>
    <d v="1899-12-30T14:56:00"/>
  </r>
  <r>
    <s v="1908"/>
    <s v="17 Cedar St, Cityc"/>
    <d v="2023-09-03T00:00:00"/>
    <s v="September"/>
    <x v="0"/>
    <d v="1899-12-30T11:22:00"/>
    <x v="1"/>
    <x v="1"/>
    <s v="D36"/>
    <x v="1"/>
    <s v="City A"/>
    <n v="205"/>
    <n v="2"/>
    <x v="1"/>
    <x v="1"/>
    <x v="3"/>
    <x v="1"/>
    <x v="0"/>
    <d v="1899-12-30T16:33:00"/>
  </r>
  <r>
    <s v="1975"/>
    <s v="372 Main St, Citya"/>
    <d v="2023-09-02T00:00:00"/>
    <s v="September"/>
    <x v="4"/>
    <d v="1899-12-30T10:19:00"/>
    <x v="1"/>
    <x v="1"/>
    <s v="D36"/>
    <x v="2"/>
    <s v="City D"/>
    <n v="114"/>
    <n v="17"/>
    <x v="0"/>
    <x v="1"/>
    <x v="0"/>
    <x v="0"/>
    <x v="2"/>
    <d v="1899-12-30T11:05:00"/>
  </r>
  <r>
    <s v="2012"/>
    <s v="262 Cedar St, Cityd"/>
    <d v="2023-09-04T00:00:00"/>
    <s v="September"/>
    <x v="1"/>
    <d v="1899-12-30T11:30:00"/>
    <x v="0"/>
    <x v="0"/>
    <s v="D36"/>
    <x v="0"/>
    <s v="City E"/>
    <n v="192"/>
    <n v="8"/>
    <x v="2"/>
    <x v="0"/>
    <x v="1"/>
    <x v="0"/>
    <x v="2"/>
    <d v="1899-12-30T10:14:00"/>
  </r>
  <r>
    <s v="2034"/>
    <s v="51 Oak St, Citya"/>
    <d v="2023-09-05T00:00:00"/>
    <s v="September"/>
    <x v="6"/>
    <d v="1899-12-30T11:53:00"/>
    <x v="1"/>
    <x v="1"/>
    <s v="D36"/>
    <x v="1"/>
    <s v="City B"/>
    <n v="91"/>
    <n v="22"/>
    <x v="1"/>
    <x v="1"/>
    <x v="4"/>
    <x v="1"/>
    <x v="2"/>
    <d v="1899-12-30T09:08:00"/>
  </r>
  <r>
    <s v="2076"/>
    <s v="579 Elm St, Cityb"/>
    <d v="2023-09-04T00:00:00"/>
    <s v="September"/>
    <x v="1"/>
    <d v="1899-12-30T08:54:00"/>
    <x v="0"/>
    <x v="0"/>
    <s v="D36"/>
    <x v="1"/>
    <s v="City B"/>
    <n v="209"/>
    <n v="11"/>
    <x v="0"/>
    <x v="0"/>
    <x v="2"/>
    <x v="0"/>
    <x v="1"/>
    <d v="1899-12-30T12:51:00"/>
  </r>
  <r>
    <s v="2334"/>
    <s v="22 Cedar St, Cityc"/>
    <d v="2023-09-04T00:00:00"/>
    <s v="September"/>
    <x v="1"/>
    <d v="1899-12-30T16:16:00"/>
    <x v="0"/>
    <x v="0"/>
    <s v="D36"/>
    <x v="1"/>
    <s v="City E"/>
    <n v="73"/>
    <n v="11"/>
    <x v="2"/>
    <x v="0"/>
    <x v="0"/>
    <x v="0"/>
    <x v="1"/>
    <d v="1899-12-30T14:35:00"/>
  </r>
  <r>
    <s v="2395"/>
    <s v="454 Cedar St, Cityc"/>
    <d v="2023-09-05T00:00:00"/>
    <s v="September"/>
    <x v="6"/>
    <d v="1899-12-30T15:12:00"/>
    <x v="1"/>
    <x v="1"/>
    <s v="D36"/>
    <x v="1"/>
    <s v="City E"/>
    <n v="157"/>
    <n v="9"/>
    <x v="1"/>
    <x v="1"/>
    <x v="4"/>
    <x v="0"/>
    <x v="1"/>
    <d v="1899-12-30T17:02:00"/>
  </r>
  <r>
    <s v="1158"/>
    <s v="752 Pine St, Cityd"/>
    <d v="2023-09-05T00:00:00"/>
    <s v="September"/>
    <x v="6"/>
    <d v="1899-12-30T11:01:00"/>
    <x v="0"/>
    <x v="0"/>
    <s v="D37"/>
    <x v="2"/>
    <s v="City B"/>
    <n v="83"/>
    <n v="8"/>
    <x v="1"/>
    <x v="0"/>
    <x v="1"/>
    <x v="1"/>
    <x v="2"/>
    <d v="1899-12-30T16:28:00"/>
  </r>
  <r>
    <s v="1470"/>
    <s v="907 Elm St, Cityc"/>
    <d v="2023-09-02T00:00:00"/>
    <s v="September"/>
    <x v="4"/>
    <d v="1899-12-30T10:52:00"/>
    <x v="1"/>
    <x v="1"/>
    <s v="D37"/>
    <x v="1"/>
    <s v="City C"/>
    <n v="86"/>
    <n v="18"/>
    <x v="1"/>
    <x v="1"/>
    <x v="0"/>
    <x v="0"/>
    <x v="2"/>
    <d v="1899-12-30T16:51:00"/>
  </r>
  <r>
    <s v="1702"/>
    <s v="955 Oak St, Cityd"/>
    <d v="2023-09-05T00:00:00"/>
    <s v="September"/>
    <x v="6"/>
    <d v="1899-12-30T11:36:00"/>
    <x v="1"/>
    <x v="1"/>
    <s v="D37"/>
    <x v="0"/>
    <s v="City B"/>
    <n v="69"/>
    <n v="2"/>
    <x v="1"/>
    <x v="1"/>
    <x v="2"/>
    <x v="0"/>
    <x v="1"/>
    <d v="1899-12-30T13:01:00"/>
  </r>
  <r>
    <s v="1735"/>
    <s v="986 Cedar St, Cityc"/>
    <d v="2023-09-02T00:00:00"/>
    <s v="September"/>
    <x v="4"/>
    <d v="1899-12-30T16:11:00"/>
    <x v="0"/>
    <x v="0"/>
    <s v="D37"/>
    <x v="0"/>
    <s v="City C"/>
    <n v="228"/>
    <n v="1"/>
    <x v="0"/>
    <x v="0"/>
    <x v="4"/>
    <x v="0"/>
    <x v="1"/>
    <d v="1899-12-30T13:10:00"/>
  </r>
  <r>
    <s v="1787"/>
    <s v="561 Cedar St, Cityc"/>
    <d v="2023-09-01T00:00:00"/>
    <s v="September"/>
    <x v="3"/>
    <d v="1899-12-30T09:43:00"/>
    <x v="0"/>
    <x v="0"/>
    <s v="D37"/>
    <x v="0"/>
    <s v="City E"/>
    <n v="115"/>
    <n v="20"/>
    <x v="0"/>
    <x v="0"/>
    <x v="2"/>
    <x v="2"/>
    <x v="1"/>
    <d v="1899-12-30T11:31:00"/>
  </r>
  <r>
    <s v="1976"/>
    <s v="999 Oak St, Cityc"/>
    <d v="2023-09-04T00:00:00"/>
    <s v="September"/>
    <x v="1"/>
    <d v="1899-12-30T11:36:00"/>
    <x v="0"/>
    <x v="0"/>
    <s v="D37"/>
    <x v="2"/>
    <s v="City D"/>
    <n v="150"/>
    <n v="6"/>
    <x v="2"/>
    <x v="0"/>
    <x v="1"/>
    <x v="1"/>
    <x v="1"/>
    <d v="1899-12-30T15:08:00"/>
  </r>
  <r>
    <s v="2004"/>
    <s v="441 Elm St, Citye"/>
    <d v="2023-09-08T00:00:00"/>
    <s v="September"/>
    <x v="3"/>
    <d v="1899-12-30T15:37:00"/>
    <x v="1"/>
    <x v="1"/>
    <s v="D37"/>
    <x v="0"/>
    <s v="City B"/>
    <n v="147"/>
    <n v="9"/>
    <x v="0"/>
    <x v="1"/>
    <x v="0"/>
    <x v="1"/>
    <x v="2"/>
    <d v="1899-12-30T13:33:00"/>
  </r>
  <r>
    <s v="2117"/>
    <s v="426 Main St, Cityd"/>
    <d v="2023-09-04T00:00:00"/>
    <s v="September"/>
    <x v="1"/>
    <d v="1899-12-30T15:10:00"/>
    <x v="1"/>
    <x v="1"/>
    <s v="D37"/>
    <x v="0"/>
    <s v="City A"/>
    <n v="184"/>
    <n v="18"/>
    <x v="0"/>
    <x v="1"/>
    <x v="4"/>
    <x v="1"/>
    <x v="0"/>
    <d v="1899-12-30T11:55:00"/>
  </r>
  <r>
    <s v="2194"/>
    <s v="129 Main St, Citya"/>
    <d v="2023-09-07T00:00:00"/>
    <s v="September"/>
    <x v="2"/>
    <d v="1899-12-30T10:02:00"/>
    <x v="0"/>
    <x v="0"/>
    <s v="D37"/>
    <x v="0"/>
    <s v="City D"/>
    <n v="138"/>
    <n v="20"/>
    <x v="1"/>
    <x v="0"/>
    <x v="4"/>
    <x v="0"/>
    <x v="1"/>
    <d v="1899-12-30T16:54:00"/>
  </r>
  <r>
    <s v="2274"/>
    <s v="543 Pine St, Cityc"/>
    <d v="2023-09-02T00:00:00"/>
    <s v="September"/>
    <x v="4"/>
    <d v="1899-12-30T10:00:00"/>
    <x v="0"/>
    <x v="0"/>
    <s v="D37"/>
    <x v="1"/>
    <s v="City D"/>
    <n v="168"/>
    <n v="29"/>
    <x v="2"/>
    <x v="0"/>
    <x v="1"/>
    <x v="1"/>
    <x v="2"/>
    <d v="1899-12-30T09:06:00"/>
  </r>
  <r>
    <s v="2285"/>
    <s v="964 Main St, Cityc"/>
    <d v="2023-09-07T00:00:00"/>
    <s v="September"/>
    <x v="2"/>
    <d v="1899-12-30T14:23:00"/>
    <x v="1"/>
    <x v="1"/>
    <s v="D37"/>
    <x v="1"/>
    <s v="City C"/>
    <n v="111"/>
    <n v="0"/>
    <x v="1"/>
    <x v="1"/>
    <x v="3"/>
    <x v="1"/>
    <x v="1"/>
    <d v="1899-12-30T11:53:00"/>
  </r>
  <r>
    <s v="1014"/>
    <s v="99 Oak St, Cityc"/>
    <d v="2023-09-08T00:00:00"/>
    <s v="September"/>
    <x v="3"/>
    <d v="1899-12-30T16:25:00"/>
    <x v="1"/>
    <x v="1"/>
    <s v="D38"/>
    <x v="2"/>
    <s v="City C"/>
    <n v="66"/>
    <n v="11"/>
    <x v="0"/>
    <x v="1"/>
    <x v="0"/>
    <x v="1"/>
    <x v="2"/>
    <d v="1899-12-30T16:32:00"/>
  </r>
  <r>
    <s v="1261"/>
    <s v="998 Elm St, Cityc"/>
    <d v="2023-09-07T00:00:00"/>
    <s v="September"/>
    <x v="2"/>
    <d v="1899-12-30T12:53:00"/>
    <x v="1"/>
    <x v="1"/>
    <s v="D38"/>
    <x v="2"/>
    <s v="City A"/>
    <n v="91"/>
    <n v="10"/>
    <x v="2"/>
    <x v="1"/>
    <x v="3"/>
    <x v="1"/>
    <x v="2"/>
    <d v="1899-12-30T09:08:00"/>
  </r>
  <r>
    <s v="1389"/>
    <s v="775 Pine St, Citya"/>
    <d v="2023-09-01T00:00:00"/>
    <s v="September"/>
    <x v="3"/>
    <d v="1899-12-30T13:51:00"/>
    <x v="0"/>
    <x v="0"/>
    <s v="D38"/>
    <x v="1"/>
    <s v="City B"/>
    <n v="127"/>
    <n v="28"/>
    <x v="2"/>
    <x v="0"/>
    <x v="2"/>
    <x v="0"/>
    <x v="1"/>
    <d v="1899-12-30T11:06:00"/>
  </r>
  <r>
    <s v="1507"/>
    <s v="43 Pine St, Citya"/>
    <d v="2023-09-02T00:00:00"/>
    <s v="September"/>
    <x v="4"/>
    <d v="1899-12-30T11:36:00"/>
    <x v="0"/>
    <x v="0"/>
    <s v="D38"/>
    <x v="2"/>
    <s v="City B"/>
    <n v="221"/>
    <n v="24"/>
    <x v="1"/>
    <x v="0"/>
    <x v="3"/>
    <x v="0"/>
    <x v="2"/>
    <d v="1899-12-30T12:35:00"/>
  </r>
  <r>
    <s v="1579"/>
    <s v="169 Elm St, Cityd"/>
    <d v="2023-09-06T00:00:00"/>
    <s v="September"/>
    <x v="5"/>
    <d v="1899-12-30T09:52:00"/>
    <x v="1"/>
    <x v="1"/>
    <s v="D38"/>
    <x v="2"/>
    <s v="City A"/>
    <n v="138"/>
    <n v="0"/>
    <x v="2"/>
    <x v="1"/>
    <x v="3"/>
    <x v="1"/>
    <x v="2"/>
    <d v="1899-12-30T13:07:00"/>
  </r>
  <r>
    <s v="1763"/>
    <s v="70 Oak St, Cityc"/>
    <d v="2023-09-03T00:00:00"/>
    <s v="September"/>
    <x v="0"/>
    <d v="1899-12-30T12:34:00"/>
    <x v="1"/>
    <x v="1"/>
    <s v="D38"/>
    <x v="1"/>
    <s v="City A"/>
    <n v="124"/>
    <n v="10"/>
    <x v="1"/>
    <x v="1"/>
    <x v="4"/>
    <x v="0"/>
    <x v="0"/>
    <d v="1899-12-30T12:54:00"/>
  </r>
  <r>
    <s v="1918"/>
    <s v="22 Main St, Cityb"/>
    <d v="2023-09-06T00:00:00"/>
    <s v="September"/>
    <x v="5"/>
    <d v="1899-12-30T09:32:00"/>
    <x v="1"/>
    <x v="1"/>
    <s v="D38"/>
    <x v="0"/>
    <s v="City A"/>
    <n v="106"/>
    <n v="14"/>
    <x v="2"/>
    <x v="1"/>
    <x v="4"/>
    <x v="0"/>
    <x v="0"/>
    <d v="1899-12-30T14:29:00"/>
  </r>
  <r>
    <s v="2211"/>
    <s v="22 Elm St, Cityd"/>
    <d v="2023-09-05T00:00:00"/>
    <s v="September"/>
    <x v="6"/>
    <d v="1899-12-30T16:20:00"/>
    <x v="1"/>
    <x v="1"/>
    <s v="D38"/>
    <x v="0"/>
    <s v="City B"/>
    <n v="64"/>
    <n v="0"/>
    <x v="1"/>
    <x v="1"/>
    <x v="0"/>
    <x v="2"/>
    <x v="0"/>
    <d v="1899-12-30T14:26:00"/>
  </r>
  <r>
    <s v="2287"/>
    <s v="244 Pine St, Cityd"/>
    <d v="2023-09-02T00:00:00"/>
    <s v="September"/>
    <x v="4"/>
    <d v="1899-12-30T13:36:00"/>
    <x v="1"/>
    <x v="1"/>
    <s v="D38"/>
    <x v="2"/>
    <s v="City C"/>
    <n v="77"/>
    <n v="22"/>
    <x v="2"/>
    <x v="1"/>
    <x v="1"/>
    <x v="1"/>
    <x v="0"/>
    <d v="1899-12-30T09:54:00"/>
  </r>
  <r>
    <s v="2316"/>
    <s v="105 Oak St, Cityd"/>
    <d v="2023-09-07T00:00:00"/>
    <s v="September"/>
    <x v="2"/>
    <d v="1899-12-30T15:02:00"/>
    <x v="0"/>
    <x v="0"/>
    <s v="D38"/>
    <x v="0"/>
    <s v="City A"/>
    <n v="99"/>
    <n v="17"/>
    <x v="2"/>
    <x v="0"/>
    <x v="3"/>
    <x v="2"/>
    <x v="1"/>
    <d v="1899-12-30T12:02:00"/>
  </r>
  <r>
    <s v="2388"/>
    <s v="465 Pine St, Cityb"/>
    <d v="2023-09-08T00:00:00"/>
    <s v="September"/>
    <x v="3"/>
    <d v="1899-12-30T12:28:00"/>
    <x v="1"/>
    <x v="1"/>
    <s v="D38"/>
    <x v="1"/>
    <s v="City C"/>
    <n v="201"/>
    <n v="15"/>
    <x v="0"/>
    <x v="1"/>
    <x v="3"/>
    <x v="0"/>
    <x v="0"/>
    <d v="1899-12-30T12:56:00"/>
  </r>
  <r>
    <s v="2389"/>
    <s v="884 Cedar St, Cityb"/>
    <d v="2023-09-08T00:00:00"/>
    <s v="September"/>
    <x v="3"/>
    <d v="1899-12-30T12:17:00"/>
    <x v="0"/>
    <x v="0"/>
    <s v="D38"/>
    <x v="1"/>
    <s v="City B"/>
    <n v="97"/>
    <n v="20"/>
    <x v="0"/>
    <x v="0"/>
    <x v="3"/>
    <x v="1"/>
    <x v="1"/>
    <d v="1899-12-30T16:03:00"/>
  </r>
  <r>
    <s v="2438"/>
    <s v="900 Pine St, Citye"/>
    <d v="2023-09-06T00:00:00"/>
    <s v="September"/>
    <x v="5"/>
    <d v="1899-12-30T15:21:00"/>
    <x v="1"/>
    <x v="1"/>
    <s v="D38"/>
    <x v="2"/>
    <s v="City E"/>
    <n v="72"/>
    <n v="17"/>
    <x v="1"/>
    <x v="1"/>
    <x v="2"/>
    <x v="0"/>
    <x v="1"/>
    <d v="1899-12-30T13:07:00"/>
  </r>
  <r>
    <s v="1037"/>
    <s v="958 Cedar St, Citya"/>
    <d v="2023-09-02T00:00:00"/>
    <s v="September"/>
    <x v="4"/>
    <d v="1899-12-30T16:52:00"/>
    <x v="0"/>
    <x v="0"/>
    <s v="D39"/>
    <x v="2"/>
    <s v="City D"/>
    <n v="134"/>
    <n v="18"/>
    <x v="2"/>
    <x v="0"/>
    <x v="0"/>
    <x v="1"/>
    <x v="0"/>
    <d v="1899-12-30T11:33:00"/>
  </r>
  <r>
    <s v="1258"/>
    <s v="295 Cedar St, Citya"/>
    <d v="2023-09-01T00:00:00"/>
    <s v="September"/>
    <x v="3"/>
    <d v="1899-12-30T11:07:00"/>
    <x v="0"/>
    <x v="0"/>
    <s v="D39"/>
    <x v="0"/>
    <s v="City B"/>
    <n v="75"/>
    <n v="22"/>
    <x v="1"/>
    <x v="0"/>
    <x v="0"/>
    <x v="1"/>
    <x v="1"/>
    <d v="1899-12-30T15:24:00"/>
  </r>
  <r>
    <s v="1388"/>
    <s v="328 Oak St, Cityd"/>
    <d v="2023-09-05T00:00:00"/>
    <s v="September"/>
    <x v="6"/>
    <d v="1899-12-30T13:21:00"/>
    <x v="0"/>
    <x v="0"/>
    <s v="D39"/>
    <x v="0"/>
    <s v="City C"/>
    <n v="143"/>
    <n v="17"/>
    <x v="2"/>
    <x v="0"/>
    <x v="0"/>
    <x v="2"/>
    <x v="1"/>
    <d v="1899-12-30T16:38:00"/>
  </r>
  <r>
    <s v="1438"/>
    <s v="179 Main St, Citya"/>
    <d v="2023-09-08T00:00:00"/>
    <s v="September"/>
    <x v="3"/>
    <d v="1899-12-30T15:45:00"/>
    <x v="1"/>
    <x v="1"/>
    <s v="D39"/>
    <x v="2"/>
    <s v="City E"/>
    <n v="178"/>
    <n v="12"/>
    <x v="1"/>
    <x v="1"/>
    <x v="4"/>
    <x v="2"/>
    <x v="2"/>
    <d v="1899-12-30T15:01:00"/>
  </r>
  <r>
    <s v="1513"/>
    <s v="902 Oak St, Cityd"/>
    <d v="2023-09-02T00:00:00"/>
    <s v="September"/>
    <x v="4"/>
    <d v="1899-12-30T08:52:00"/>
    <x v="1"/>
    <x v="1"/>
    <s v="D39"/>
    <x v="1"/>
    <s v="City B"/>
    <n v="133"/>
    <n v="22"/>
    <x v="0"/>
    <x v="1"/>
    <x v="0"/>
    <x v="1"/>
    <x v="0"/>
    <d v="1899-12-30T15:21:00"/>
  </r>
  <r>
    <s v="1634"/>
    <s v="582 Pine St, Cityb"/>
    <d v="2023-09-01T00:00:00"/>
    <s v="September"/>
    <x v="3"/>
    <d v="1899-12-30T16:27:00"/>
    <x v="0"/>
    <x v="0"/>
    <s v="D39"/>
    <x v="1"/>
    <s v="City C"/>
    <n v="88"/>
    <n v="14"/>
    <x v="2"/>
    <x v="0"/>
    <x v="2"/>
    <x v="1"/>
    <x v="0"/>
    <d v="1899-12-30T14:32:00"/>
  </r>
  <r>
    <s v="1856"/>
    <s v="721 Elm St, Citya"/>
    <d v="2023-09-04T00:00:00"/>
    <s v="September"/>
    <x v="1"/>
    <d v="1899-12-30T12:08:00"/>
    <x v="0"/>
    <x v="0"/>
    <s v="D39"/>
    <x v="2"/>
    <s v="City B"/>
    <n v="122"/>
    <n v="5"/>
    <x v="2"/>
    <x v="0"/>
    <x v="1"/>
    <x v="0"/>
    <x v="2"/>
    <d v="1899-12-30T12:52:00"/>
  </r>
  <r>
    <s v="1934"/>
    <s v="181 Pine St, Cityb"/>
    <d v="2023-09-05T00:00:00"/>
    <s v="September"/>
    <x v="6"/>
    <d v="1899-12-30T13:28:00"/>
    <x v="1"/>
    <x v="1"/>
    <s v="D39"/>
    <x v="0"/>
    <s v="City A"/>
    <n v="206"/>
    <n v="13"/>
    <x v="2"/>
    <x v="1"/>
    <x v="3"/>
    <x v="1"/>
    <x v="1"/>
    <d v="1899-12-30T08:30:00"/>
  </r>
  <r>
    <s v="1938"/>
    <s v="351 Elm St, Citye"/>
    <d v="2023-09-05T00:00:00"/>
    <s v="September"/>
    <x v="6"/>
    <d v="1899-12-30T09:48:00"/>
    <x v="0"/>
    <x v="0"/>
    <s v="D39"/>
    <x v="1"/>
    <s v="City E"/>
    <n v="73"/>
    <n v="21"/>
    <x v="0"/>
    <x v="0"/>
    <x v="2"/>
    <x v="1"/>
    <x v="0"/>
    <d v="1899-12-30T16:23:00"/>
  </r>
  <r>
    <s v="2080"/>
    <s v="698 Cedar St, Cityd"/>
    <d v="2023-09-04T00:00:00"/>
    <s v="September"/>
    <x v="1"/>
    <d v="1899-12-30T08:19:00"/>
    <x v="0"/>
    <x v="0"/>
    <s v="D39"/>
    <x v="0"/>
    <s v="City B"/>
    <n v="239"/>
    <n v="21"/>
    <x v="0"/>
    <x v="0"/>
    <x v="3"/>
    <x v="1"/>
    <x v="1"/>
    <d v="1899-12-30T12:49:00"/>
  </r>
  <r>
    <s v="2258"/>
    <s v="798 Pine St, Citya"/>
    <d v="2023-09-02T00:00:00"/>
    <s v="September"/>
    <x v="4"/>
    <d v="1899-12-30T14:57:00"/>
    <x v="0"/>
    <x v="0"/>
    <s v="D39"/>
    <x v="1"/>
    <s v="City B"/>
    <n v="67"/>
    <n v="29"/>
    <x v="0"/>
    <x v="0"/>
    <x v="3"/>
    <x v="0"/>
    <x v="2"/>
    <d v="1899-12-30T12:02:00"/>
  </r>
  <r>
    <s v="2293"/>
    <s v="533 Elm St, Cityc"/>
    <d v="2023-09-03T00:00:00"/>
    <s v="September"/>
    <x v="0"/>
    <d v="1899-12-30T12:56:00"/>
    <x v="0"/>
    <x v="0"/>
    <s v="D39"/>
    <x v="1"/>
    <s v="City E"/>
    <n v="66"/>
    <n v="28"/>
    <x v="1"/>
    <x v="0"/>
    <x v="0"/>
    <x v="0"/>
    <x v="2"/>
    <d v="1899-12-30T12:00:00"/>
  </r>
  <r>
    <s v="2440"/>
    <s v="644 Elm St, Cityc"/>
    <d v="2023-09-03T00:00:00"/>
    <s v="September"/>
    <x v="0"/>
    <d v="1899-12-30T08:11:00"/>
    <x v="0"/>
    <x v="0"/>
    <s v="D39"/>
    <x v="2"/>
    <s v="City C"/>
    <n v="233"/>
    <n v="18"/>
    <x v="1"/>
    <x v="0"/>
    <x v="0"/>
    <x v="2"/>
    <x v="2"/>
    <d v="1899-12-30T15:32:00"/>
  </r>
  <r>
    <s v="2465"/>
    <s v="459 Main St, Cityc"/>
    <d v="2023-09-01T00:00:00"/>
    <s v="September"/>
    <x v="3"/>
    <d v="1899-12-30T16:34:00"/>
    <x v="0"/>
    <x v="0"/>
    <s v="D39"/>
    <x v="2"/>
    <s v="City A"/>
    <n v="152"/>
    <n v="23"/>
    <x v="0"/>
    <x v="0"/>
    <x v="4"/>
    <x v="2"/>
    <x v="1"/>
    <d v="1899-12-30T08:49:00"/>
  </r>
  <r>
    <s v="1002"/>
    <s v="55 Oak St, Citye"/>
    <d v="2023-09-01T00:00:00"/>
    <s v="September"/>
    <x v="3"/>
    <d v="1899-12-30T15:47:00"/>
    <x v="1"/>
    <x v="1"/>
    <s v="D4"/>
    <x v="2"/>
    <s v="City A"/>
    <n v="163"/>
    <n v="19"/>
    <x v="1"/>
    <x v="1"/>
    <x v="4"/>
    <x v="0"/>
    <x v="0"/>
    <d v="1899-12-30T14:02:00"/>
  </r>
  <r>
    <s v="1240"/>
    <s v="831 Elm St, Citya"/>
    <d v="2023-09-01T00:00:00"/>
    <s v="September"/>
    <x v="3"/>
    <d v="1899-12-30T16:02:00"/>
    <x v="0"/>
    <x v="0"/>
    <s v="D4"/>
    <x v="0"/>
    <s v="City B"/>
    <n v="201"/>
    <n v="14"/>
    <x v="0"/>
    <x v="0"/>
    <x v="3"/>
    <x v="1"/>
    <x v="2"/>
    <d v="1899-12-30T10:00:00"/>
  </r>
  <r>
    <s v="1315"/>
    <s v="289 Oak St, Cityc"/>
    <d v="2023-09-06T00:00:00"/>
    <s v="September"/>
    <x v="5"/>
    <d v="1899-12-30T14:30:00"/>
    <x v="1"/>
    <x v="1"/>
    <s v="D4"/>
    <x v="0"/>
    <s v="City C"/>
    <n v="171"/>
    <n v="2"/>
    <x v="0"/>
    <x v="1"/>
    <x v="0"/>
    <x v="2"/>
    <x v="0"/>
    <d v="1899-12-30T13:49:00"/>
  </r>
  <r>
    <s v="1322"/>
    <s v="806 Oak St, Citye"/>
    <d v="2023-09-03T00:00:00"/>
    <s v="September"/>
    <x v="0"/>
    <d v="1899-12-30T12:50:00"/>
    <x v="1"/>
    <x v="1"/>
    <s v="D4"/>
    <x v="1"/>
    <s v="City B"/>
    <n v="76"/>
    <n v="26"/>
    <x v="1"/>
    <x v="1"/>
    <x v="4"/>
    <x v="2"/>
    <x v="1"/>
    <d v="1899-12-30T16:09:00"/>
  </r>
  <r>
    <s v="1331"/>
    <s v="769 Elm St, Citye"/>
    <d v="2023-09-04T00:00:00"/>
    <s v="September"/>
    <x v="1"/>
    <d v="1899-12-30T16:41:00"/>
    <x v="0"/>
    <x v="0"/>
    <s v="D4"/>
    <x v="2"/>
    <s v="City D"/>
    <n v="91"/>
    <n v="17"/>
    <x v="0"/>
    <x v="0"/>
    <x v="2"/>
    <x v="2"/>
    <x v="1"/>
    <d v="1899-12-30T15:32:00"/>
  </r>
  <r>
    <s v="1362"/>
    <s v="54 Oak St, Citye"/>
    <d v="2023-09-03T00:00:00"/>
    <s v="September"/>
    <x v="0"/>
    <d v="1899-12-30T08:21:00"/>
    <x v="1"/>
    <x v="1"/>
    <s v="D4"/>
    <x v="0"/>
    <s v="City D"/>
    <n v="136"/>
    <n v="14"/>
    <x v="2"/>
    <x v="1"/>
    <x v="3"/>
    <x v="0"/>
    <x v="0"/>
    <d v="1899-12-30T10:56:00"/>
  </r>
  <r>
    <s v="1441"/>
    <s v="280 Oak St, Citya"/>
    <d v="2023-09-01T00:00:00"/>
    <s v="September"/>
    <x v="3"/>
    <d v="1899-12-30T15:59:00"/>
    <x v="1"/>
    <x v="1"/>
    <s v="D4"/>
    <x v="2"/>
    <s v="City A"/>
    <n v="170"/>
    <n v="1"/>
    <x v="0"/>
    <x v="1"/>
    <x v="2"/>
    <x v="1"/>
    <x v="1"/>
    <d v="1899-12-30T08:57:00"/>
  </r>
  <r>
    <s v="1494"/>
    <s v="774 Pine St, Cityc"/>
    <d v="2023-09-07T00:00:00"/>
    <s v="September"/>
    <x v="2"/>
    <d v="1899-12-30T16:47:00"/>
    <x v="0"/>
    <x v="0"/>
    <s v="D4"/>
    <x v="0"/>
    <s v="City C"/>
    <n v="67"/>
    <n v="24"/>
    <x v="0"/>
    <x v="0"/>
    <x v="3"/>
    <x v="2"/>
    <x v="2"/>
    <d v="1899-12-30T11:29:00"/>
  </r>
  <r>
    <s v="1694"/>
    <s v="162 Elm St, Cityb"/>
    <d v="2023-09-08T00:00:00"/>
    <s v="September"/>
    <x v="3"/>
    <d v="1899-12-30T08:26:00"/>
    <x v="0"/>
    <x v="0"/>
    <s v="D4"/>
    <x v="0"/>
    <s v="City B"/>
    <n v="173"/>
    <n v="15"/>
    <x v="0"/>
    <x v="0"/>
    <x v="4"/>
    <x v="1"/>
    <x v="2"/>
    <d v="1899-12-30T12:54:00"/>
  </r>
  <r>
    <s v="1801"/>
    <s v="835 Main St, Cityd"/>
    <d v="2023-09-07T00:00:00"/>
    <s v="September"/>
    <x v="2"/>
    <d v="1899-12-30T14:53:00"/>
    <x v="0"/>
    <x v="0"/>
    <s v="D4"/>
    <x v="0"/>
    <s v="City D"/>
    <n v="121"/>
    <n v="16"/>
    <x v="0"/>
    <x v="0"/>
    <x v="1"/>
    <x v="0"/>
    <x v="1"/>
    <d v="1899-12-30T09:09:00"/>
  </r>
  <r>
    <s v="1811"/>
    <s v="372 Pine St, Cityd"/>
    <d v="2023-09-01T00:00:00"/>
    <s v="September"/>
    <x v="3"/>
    <d v="1899-12-30T14:22:00"/>
    <x v="0"/>
    <x v="0"/>
    <s v="D4"/>
    <x v="2"/>
    <s v="City C"/>
    <n v="176"/>
    <n v="24"/>
    <x v="1"/>
    <x v="0"/>
    <x v="2"/>
    <x v="0"/>
    <x v="2"/>
    <d v="1899-12-30T15:13:00"/>
  </r>
  <r>
    <s v="1826"/>
    <s v="335 Cedar St, Cityd"/>
    <d v="2023-09-04T00:00:00"/>
    <s v="September"/>
    <x v="1"/>
    <d v="1899-12-30T14:16:00"/>
    <x v="0"/>
    <x v="0"/>
    <s v="D4"/>
    <x v="1"/>
    <s v="City B"/>
    <n v="74"/>
    <n v="22"/>
    <x v="2"/>
    <x v="0"/>
    <x v="1"/>
    <x v="2"/>
    <x v="2"/>
    <d v="1899-12-30T14:30:00"/>
  </r>
  <r>
    <s v="1858"/>
    <s v="897 Main St, Cityb"/>
    <d v="2023-09-07T00:00:00"/>
    <s v="September"/>
    <x v="2"/>
    <d v="1899-12-30T12:11:00"/>
    <x v="1"/>
    <x v="1"/>
    <s v="D4"/>
    <x v="2"/>
    <s v="City D"/>
    <n v="153"/>
    <n v="20"/>
    <x v="1"/>
    <x v="1"/>
    <x v="3"/>
    <x v="0"/>
    <x v="0"/>
    <d v="1899-12-30T09:56:00"/>
  </r>
  <r>
    <s v="2039"/>
    <s v="145 Oak St, Cityc"/>
    <d v="2023-09-01T00:00:00"/>
    <s v="September"/>
    <x v="3"/>
    <d v="1899-12-30T10:14:00"/>
    <x v="1"/>
    <x v="1"/>
    <s v="D4"/>
    <x v="2"/>
    <s v="City E"/>
    <n v="179"/>
    <n v="14"/>
    <x v="0"/>
    <x v="1"/>
    <x v="1"/>
    <x v="1"/>
    <x v="2"/>
    <d v="1899-12-30T17:42:00"/>
  </r>
  <r>
    <s v="2160"/>
    <s v="59 Cedar St, Citya"/>
    <d v="2023-09-05T00:00:00"/>
    <s v="September"/>
    <x v="6"/>
    <d v="1899-12-30T13:43:00"/>
    <x v="0"/>
    <x v="0"/>
    <s v="D4"/>
    <x v="2"/>
    <s v="City A"/>
    <n v="217"/>
    <n v="7"/>
    <x v="2"/>
    <x v="0"/>
    <x v="2"/>
    <x v="1"/>
    <x v="2"/>
    <d v="1899-12-30T09:30:00"/>
  </r>
  <r>
    <s v="2291"/>
    <s v="800 Main St, Citya"/>
    <d v="2023-09-07T00:00:00"/>
    <s v="September"/>
    <x v="2"/>
    <d v="1899-12-30T12:42:00"/>
    <x v="0"/>
    <x v="0"/>
    <s v="D4"/>
    <x v="1"/>
    <s v="City A"/>
    <n v="95"/>
    <n v="1"/>
    <x v="2"/>
    <x v="0"/>
    <x v="0"/>
    <x v="2"/>
    <x v="1"/>
    <d v="1899-12-30T17:25:00"/>
  </r>
  <r>
    <s v="2406"/>
    <s v="407 Cedar St, Citye"/>
    <d v="2023-09-08T00:00:00"/>
    <s v="September"/>
    <x v="3"/>
    <d v="1899-12-30T10:30:00"/>
    <x v="1"/>
    <x v="1"/>
    <s v="D4"/>
    <x v="0"/>
    <s v="City B"/>
    <n v="212"/>
    <n v="0"/>
    <x v="2"/>
    <x v="1"/>
    <x v="3"/>
    <x v="0"/>
    <x v="1"/>
    <d v="1899-12-30T11:42:00"/>
  </r>
  <r>
    <s v="1136"/>
    <s v="577 Main St, Cityd"/>
    <d v="2023-09-06T00:00:00"/>
    <s v="September"/>
    <x v="5"/>
    <d v="1899-12-30T08:36:00"/>
    <x v="0"/>
    <x v="0"/>
    <s v="D40"/>
    <x v="0"/>
    <s v="City A"/>
    <n v="217"/>
    <n v="27"/>
    <x v="2"/>
    <x v="0"/>
    <x v="0"/>
    <x v="2"/>
    <x v="2"/>
    <d v="1899-12-30T15:56:00"/>
  </r>
  <r>
    <s v="1231"/>
    <s v="714 Pine St, Cityc"/>
    <d v="2023-09-05T00:00:00"/>
    <s v="September"/>
    <x v="6"/>
    <d v="1899-12-30T09:08:00"/>
    <x v="0"/>
    <x v="0"/>
    <s v="D40"/>
    <x v="2"/>
    <s v="City A"/>
    <n v="237"/>
    <n v="8"/>
    <x v="2"/>
    <x v="0"/>
    <x v="4"/>
    <x v="2"/>
    <x v="2"/>
    <d v="1899-12-30T15:44:00"/>
  </r>
  <r>
    <s v="1277"/>
    <s v="763 Main St, Cityc"/>
    <d v="2023-09-01T00:00:00"/>
    <s v="September"/>
    <x v="3"/>
    <d v="1899-12-30T08:16:00"/>
    <x v="1"/>
    <x v="1"/>
    <s v="D40"/>
    <x v="1"/>
    <s v="City C"/>
    <n v="149"/>
    <n v="26"/>
    <x v="2"/>
    <x v="1"/>
    <x v="3"/>
    <x v="2"/>
    <x v="0"/>
    <d v="1899-12-30T14:33:00"/>
  </r>
  <r>
    <s v="1381"/>
    <s v="460 Elm St, Citya"/>
    <d v="2023-09-06T00:00:00"/>
    <s v="September"/>
    <x v="5"/>
    <d v="1899-12-30T11:53:00"/>
    <x v="0"/>
    <x v="0"/>
    <s v="D40"/>
    <x v="2"/>
    <s v="City A"/>
    <n v="181"/>
    <n v="27"/>
    <x v="1"/>
    <x v="0"/>
    <x v="3"/>
    <x v="2"/>
    <x v="2"/>
    <d v="1899-12-30T13:05:00"/>
  </r>
  <r>
    <s v="1413"/>
    <s v="838 Oak St, Cityc"/>
    <d v="2023-09-05T00:00:00"/>
    <s v="September"/>
    <x v="6"/>
    <d v="1899-12-30T15:50:00"/>
    <x v="0"/>
    <x v="0"/>
    <s v="D40"/>
    <x v="1"/>
    <s v="City D"/>
    <n v="125"/>
    <n v="21"/>
    <x v="0"/>
    <x v="0"/>
    <x v="4"/>
    <x v="1"/>
    <x v="0"/>
    <d v="1899-12-30T15:39:00"/>
  </r>
  <r>
    <s v="1491"/>
    <s v="915 Cedar St, Citya"/>
    <d v="2023-09-02T00:00:00"/>
    <s v="September"/>
    <x v="4"/>
    <d v="1899-12-30T11:41:00"/>
    <x v="0"/>
    <x v="0"/>
    <s v="D40"/>
    <x v="2"/>
    <s v="City C"/>
    <n v="211"/>
    <n v="22"/>
    <x v="2"/>
    <x v="0"/>
    <x v="0"/>
    <x v="0"/>
    <x v="0"/>
    <d v="1899-12-30T11:38:00"/>
  </r>
  <r>
    <s v="1677"/>
    <s v="211 Oak St, Cityb"/>
    <d v="2023-09-01T00:00:00"/>
    <s v="September"/>
    <x v="3"/>
    <d v="1899-12-30T15:38:00"/>
    <x v="0"/>
    <x v="0"/>
    <s v="D40"/>
    <x v="0"/>
    <s v="City A"/>
    <n v="87"/>
    <n v="16"/>
    <x v="0"/>
    <x v="0"/>
    <x v="4"/>
    <x v="0"/>
    <x v="0"/>
    <d v="1899-12-30T14:13:00"/>
  </r>
  <r>
    <s v="1756"/>
    <s v="252 Elm St, Citya"/>
    <d v="2023-09-08T00:00:00"/>
    <s v="September"/>
    <x v="3"/>
    <d v="1899-12-30T10:32:00"/>
    <x v="0"/>
    <x v="0"/>
    <s v="D40"/>
    <x v="0"/>
    <s v="City D"/>
    <n v="100"/>
    <n v="12"/>
    <x v="1"/>
    <x v="0"/>
    <x v="2"/>
    <x v="0"/>
    <x v="1"/>
    <d v="1899-12-30T09:36:00"/>
  </r>
  <r>
    <s v="1844"/>
    <s v="142 Main St, Cityd"/>
    <d v="2023-09-07T00:00:00"/>
    <s v="September"/>
    <x v="2"/>
    <d v="1899-12-30T14:24:00"/>
    <x v="1"/>
    <x v="1"/>
    <s v="D40"/>
    <x v="0"/>
    <s v="City D"/>
    <n v="95"/>
    <n v="4"/>
    <x v="1"/>
    <x v="1"/>
    <x v="0"/>
    <x v="1"/>
    <x v="2"/>
    <d v="1899-12-30T13:05:00"/>
  </r>
  <r>
    <s v="1848"/>
    <s v="706 Oak St, Citya"/>
    <d v="2023-09-01T00:00:00"/>
    <s v="September"/>
    <x v="3"/>
    <d v="1899-12-30T13:01:00"/>
    <x v="0"/>
    <x v="0"/>
    <s v="D40"/>
    <x v="1"/>
    <s v="City C"/>
    <n v="188"/>
    <n v="8"/>
    <x v="0"/>
    <x v="0"/>
    <x v="3"/>
    <x v="1"/>
    <x v="0"/>
    <d v="1899-12-30T13:48:00"/>
  </r>
  <r>
    <s v="1872"/>
    <s v="461 Elm St, Cityc"/>
    <d v="2023-09-08T00:00:00"/>
    <s v="September"/>
    <x v="3"/>
    <d v="1899-12-30T09:23:00"/>
    <x v="0"/>
    <x v="0"/>
    <s v="D40"/>
    <x v="0"/>
    <s v="City E"/>
    <n v="184"/>
    <n v="16"/>
    <x v="2"/>
    <x v="0"/>
    <x v="4"/>
    <x v="2"/>
    <x v="1"/>
    <d v="1899-12-30T14:04:00"/>
  </r>
  <r>
    <s v="1945"/>
    <s v="766 Main St, Cityb"/>
    <d v="2023-09-08T00:00:00"/>
    <s v="September"/>
    <x v="3"/>
    <d v="1899-12-30T14:15:00"/>
    <x v="0"/>
    <x v="0"/>
    <s v="D40"/>
    <x v="1"/>
    <s v="City D"/>
    <n v="177"/>
    <n v="17"/>
    <x v="2"/>
    <x v="0"/>
    <x v="1"/>
    <x v="1"/>
    <x v="0"/>
    <d v="1899-12-30T14:35:00"/>
  </r>
  <r>
    <s v="1947"/>
    <s v="790 Pine St, Cityd"/>
    <d v="2023-09-05T00:00:00"/>
    <s v="September"/>
    <x v="6"/>
    <d v="1899-12-30T16:03:00"/>
    <x v="0"/>
    <x v="0"/>
    <s v="D40"/>
    <x v="2"/>
    <s v="City A"/>
    <n v="109"/>
    <n v="12"/>
    <x v="0"/>
    <x v="0"/>
    <x v="1"/>
    <x v="1"/>
    <x v="1"/>
    <d v="1899-12-30T16:53:00"/>
  </r>
  <r>
    <s v="1999"/>
    <s v="756 Cedar St, Cityb"/>
    <d v="2023-09-03T00:00:00"/>
    <s v="September"/>
    <x v="0"/>
    <d v="1899-12-30T08:00:00"/>
    <x v="0"/>
    <x v="0"/>
    <s v="D40"/>
    <x v="1"/>
    <s v="City A"/>
    <n v="239"/>
    <n v="10"/>
    <x v="1"/>
    <x v="0"/>
    <x v="2"/>
    <x v="0"/>
    <x v="1"/>
    <d v="1899-12-30T12:02:00"/>
  </r>
  <r>
    <s v="2030"/>
    <s v="455 Elm St, Cityb"/>
    <d v="2023-09-05T00:00:00"/>
    <s v="September"/>
    <x v="6"/>
    <d v="1899-12-30T12:55:00"/>
    <x v="0"/>
    <x v="0"/>
    <s v="D40"/>
    <x v="2"/>
    <s v="City C"/>
    <n v="201"/>
    <n v="14"/>
    <x v="1"/>
    <x v="0"/>
    <x v="4"/>
    <x v="0"/>
    <x v="1"/>
    <d v="1899-12-30T14:12:00"/>
  </r>
  <r>
    <s v="2044"/>
    <s v="206 Oak St, Cityd"/>
    <d v="2023-09-08T00:00:00"/>
    <s v="September"/>
    <x v="3"/>
    <d v="1899-12-30T09:00:00"/>
    <x v="1"/>
    <x v="1"/>
    <s v="D40"/>
    <x v="0"/>
    <s v="City A"/>
    <n v="182"/>
    <n v="17"/>
    <x v="2"/>
    <x v="1"/>
    <x v="2"/>
    <x v="1"/>
    <x v="2"/>
    <d v="1899-12-30T15:41:00"/>
  </r>
  <r>
    <s v="2325"/>
    <s v="639 Pine St, Citye"/>
    <d v="2023-09-07T00:00:00"/>
    <s v="September"/>
    <x v="2"/>
    <d v="1899-12-30T16:22:00"/>
    <x v="0"/>
    <x v="0"/>
    <s v="D40"/>
    <x v="1"/>
    <s v="City B"/>
    <n v="144"/>
    <n v="16"/>
    <x v="1"/>
    <x v="0"/>
    <x v="2"/>
    <x v="1"/>
    <x v="0"/>
    <d v="1899-12-30T16:55:00"/>
  </r>
  <r>
    <s v="2431"/>
    <s v="55 Elm St, Cityd"/>
    <d v="2023-09-02T00:00:00"/>
    <s v="September"/>
    <x v="4"/>
    <d v="1899-12-30T13:10:00"/>
    <x v="0"/>
    <x v="0"/>
    <s v="D40"/>
    <x v="0"/>
    <s v="City B"/>
    <n v="137"/>
    <n v="8"/>
    <x v="2"/>
    <x v="0"/>
    <x v="1"/>
    <x v="2"/>
    <x v="1"/>
    <d v="1899-12-30T12:44:00"/>
  </r>
  <r>
    <s v="1074"/>
    <s v="844 Pine St, Citye"/>
    <d v="2023-09-07T00:00:00"/>
    <s v="September"/>
    <x v="2"/>
    <d v="1899-12-30T09:51:00"/>
    <x v="0"/>
    <x v="0"/>
    <s v="D41"/>
    <x v="2"/>
    <s v="City C"/>
    <n v="144"/>
    <n v="8"/>
    <x v="0"/>
    <x v="0"/>
    <x v="3"/>
    <x v="2"/>
    <x v="2"/>
    <d v="1899-12-30T10:17:00"/>
  </r>
  <r>
    <s v="1104"/>
    <s v="112 Main St, Cityd"/>
    <d v="2023-09-08T00:00:00"/>
    <s v="September"/>
    <x v="3"/>
    <d v="1899-12-30T11:45:00"/>
    <x v="0"/>
    <x v="0"/>
    <s v="D41"/>
    <x v="0"/>
    <s v="City B"/>
    <n v="162"/>
    <n v="24"/>
    <x v="0"/>
    <x v="0"/>
    <x v="4"/>
    <x v="2"/>
    <x v="0"/>
    <d v="1899-12-30T08:46:00"/>
  </r>
  <r>
    <s v="1321"/>
    <s v="932 Oak St, Cityd"/>
    <d v="2023-09-08T00:00:00"/>
    <s v="September"/>
    <x v="3"/>
    <d v="1899-12-30T10:32:00"/>
    <x v="0"/>
    <x v="0"/>
    <s v="D41"/>
    <x v="0"/>
    <s v="City E"/>
    <n v="196"/>
    <n v="23"/>
    <x v="2"/>
    <x v="0"/>
    <x v="1"/>
    <x v="1"/>
    <x v="2"/>
    <d v="1899-12-30T14:44:00"/>
  </r>
  <r>
    <s v="1364"/>
    <s v="323 Pine St, Citye"/>
    <d v="2023-09-02T00:00:00"/>
    <s v="September"/>
    <x v="4"/>
    <d v="1899-12-30T13:35:00"/>
    <x v="1"/>
    <x v="1"/>
    <s v="D41"/>
    <x v="0"/>
    <s v="City D"/>
    <n v="171"/>
    <n v="20"/>
    <x v="2"/>
    <x v="1"/>
    <x v="4"/>
    <x v="0"/>
    <x v="2"/>
    <d v="1899-12-30T14:48:00"/>
  </r>
  <r>
    <s v="1428"/>
    <s v="456 Pine St, Citye"/>
    <d v="2023-09-08T00:00:00"/>
    <s v="September"/>
    <x v="3"/>
    <d v="1899-12-30T14:56:00"/>
    <x v="1"/>
    <x v="1"/>
    <s v="D41"/>
    <x v="0"/>
    <s v="City E"/>
    <n v="166"/>
    <n v="10"/>
    <x v="1"/>
    <x v="1"/>
    <x v="0"/>
    <x v="2"/>
    <x v="0"/>
    <d v="1899-12-30T09:33:00"/>
  </r>
  <r>
    <s v="1460"/>
    <s v="558 Elm St, Cityc"/>
    <d v="2023-09-03T00:00:00"/>
    <s v="September"/>
    <x v="0"/>
    <d v="1899-12-30T13:47:00"/>
    <x v="1"/>
    <x v="1"/>
    <s v="D41"/>
    <x v="1"/>
    <s v="City C"/>
    <n v="60"/>
    <n v="21"/>
    <x v="0"/>
    <x v="1"/>
    <x v="0"/>
    <x v="2"/>
    <x v="0"/>
    <d v="1899-12-30T13:26:00"/>
  </r>
  <r>
    <s v="1547"/>
    <s v="726 Cedar St, Cityc"/>
    <d v="2023-09-04T00:00:00"/>
    <s v="September"/>
    <x v="1"/>
    <d v="1899-12-30T13:49:00"/>
    <x v="1"/>
    <x v="1"/>
    <s v="D41"/>
    <x v="1"/>
    <s v="City E"/>
    <n v="205"/>
    <n v="29"/>
    <x v="0"/>
    <x v="1"/>
    <x v="0"/>
    <x v="1"/>
    <x v="0"/>
    <d v="1899-12-30T12:14:00"/>
  </r>
  <r>
    <s v="1663"/>
    <s v="110 Main St, Cityb"/>
    <d v="2023-09-03T00:00:00"/>
    <s v="September"/>
    <x v="0"/>
    <d v="1899-12-30T09:43:00"/>
    <x v="0"/>
    <x v="0"/>
    <s v="D41"/>
    <x v="1"/>
    <s v="City A"/>
    <n v="101"/>
    <n v="11"/>
    <x v="0"/>
    <x v="0"/>
    <x v="4"/>
    <x v="1"/>
    <x v="2"/>
    <d v="1899-12-30T10:53:00"/>
  </r>
  <r>
    <s v="1886"/>
    <s v="207 Elm St, Cityb"/>
    <d v="2023-09-02T00:00:00"/>
    <s v="September"/>
    <x v="4"/>
    <d v="1899-12-30T15:00:00"/>
    <x v="0"/>
    <x v="0"/>
    <s v="D41"/>
    <x v="0"/>
    <s v="City D"/>
    <n v="71"/>
    <n v="25"/>
    <x v="1"/>
    <x v="0"/>
    <x v="1"/>
    <x v="2"/>
    <x v="0"/>
    <d v="1899-12-30T14:25:00"/>
  </r>
  <r>
    <s v="1942"/>
    <s v="107 Cedar St, Cityd"/>
    <d v="2023-09-07T00:00:00"/>
    <s v="September"/>
    <x v="2"/>
    <d v="1899-12-30T14:03:00"/>
    <x v="1"/>
    <x v="1"/>
    <s v="D41"/>
    <x v="2"/>
    <s v="City C"/>
    <n v="161"/>
    <n v="6"/>
    <x v="0"/>
    <x v="1"/>
    <x v="2"/>
    <x v="1"/>
    <x v="0"/>
    <d v="1899-12-30T12:16:00"/>
  </r>
  <r>
    <s v="2300"/>
    <s v="54 Pine St, Citye"/>
    <d v="2023-09-08T00:00:00"/>
    <s v="September"/>
    <x v="3"/>
    <d v="1899-12-30T12:43:00"/>
    <x v="1"/>
    <x v="1"/>
    <s v="D41"/>
    <x v="2"/>
    <s v="City B"/>
    <n v="104"/>
    <n v="12"/>
    <x v="2"/>
    <x v="1"/>
    <x v="2"/>
    <x v="2"/>
    <x v="2"/>
    <d v="1899-12-30T16:37:00"/>
  </r>
  <r>
    <s v="2345"/>
    <s v="658 Pine St, Cityb"/>
    <d v="2023-09-01T00:00:00"/>
    <s v="September"/>
    <x v="3"/>
    <d v="1899-12-30T10:38:00"/>
    <x v="1"/>
    <x v="1"/>
    <s v="D41"/>
    <x v="1"/>
    <s v="City A"/>
    <n v="229"/>
    <n v="9"/>
    <x v="0"/>
    <x v="1"/>
    <x v="0"/>
    <x v="2"/>
    <x v="1"/>
    <d v="1899-12-30T16:56:00"/>
  </r>
  <r>
    <s v="2430"/>
    <s v="442 Oak St, Cityc"/>
    <d v="2023-09-04T00:00:00"/>
    <s v="September"/>
    <x v="1"/>
    <d v="1899-12-30T16:57:00"/>
    <x v="0"/>
    <x v="0"/>
    <s v="D41"/>
    <x v="1"/>
    <s v="City D"/>
    <n v="149"/>
    <n v="28"/>
    <x v="0"/>
    <x v="0"/>
    <x v="1"/>
    <x v="0"/>
    <x v="1"/>
    <d v="1899-12-30T10:32:00"/>
  </r>
  <r>
    <s v="1031"/>
    <s v="1000 Oak St, Citya"/>
    <d v="2023-09-05T00:00:00"/>
    <s v="September"/>
    <x v="6"/>
    <d v="1899-12-30T15:33:00"/>
    <x v="0"/>
    <x v="0"/>
    <s v="D42"/>
    <x v="1"/>
    <s v="City D"/>
    <n v="126"/>
    <n v="2"/>
    <x v="1"/>
    <x v="0"/>
    <x v="0"/>
    <x v="1"/>
    <x v="2"/>
    <d v="1899-12-30T15:43:00"/>
  </r>
  <r>
    <s v="1530"/>
    <s v="260 Cedar St, Citya"/>
    <d v="2023-09-06T00:00:00"/>
    <s v="September"/>
    <x v="5"/>
    <d v="1899-12-30T14:55:00"/>
    <x v="0"/>
    <x v="0"/>
    <s v="D42"/>
    <x v="2"/>
    <s v="City B"/>
    <n v="72"/>
    <n v="22"/>
    <x v="1"/>
    <x v="0"/>
    <x v="1"/>
    <x v="2"/>
    <x v="0"/>
    <d v="1899-12-30T09:00:00"/>
  </r>
  <r>
    <s v="1688"/>
    <s v="586 Oak St, Cityc"/>
    <d v="2023-09-06T00:00:00"/>
    <s v="September"/>
    <x v="5"/>
    <d v="1899-12-30T09:14:00"/>
    <x v="0"/>
    <x v="0"/>
    <s v="D42"/>
    <x v="2"/>
    <s v="City B"/>
    <n v="202"/>
    <n v="14"/>
    <x v="1"/>
    <x v="0"/>
    <x v="1"/>
    <x v="1"/>
    <x v="0"/>
    <d v="1899-12-30T15:13:00"/>
  </r>
  <r>
    <s v="1696"/>
    <s v="614 Cedar St, Cityb"/>
    <d v="2023-09-07T00:00:00"/>
    <s v="September"/>
    <x v="2"/>
    <d v="1899-12-30T14:36:00"/>
    <x v="0"/>
    <x v="0"/>
    <s v="D42"/>
    <x v="1"/>
    <s v="City D"/>
    <n v="125"/>
    <n v="29"/>
    <x v="2"/>
    <x v="0"/>
    <x v="1"/>
    <x v="1"/>
    <x v="0"/>
    <d v="1899-12-30T10:25:00"/>
  </r>
  <r>
    <s v="1748"/>
    <s v="886 Cedar St, Cityb"/>
    <d v="2023-09-06T00:00:00"/>
    <s v="September"/>
    <x v="5"/>
    <d v="1899-12-30T11:34:00"/>
    <x v="0"/>
    <x v="0"/>
    <s v="D42"/>
    <x v="1"/>
    <s v="City D"/>
    <n v="114"/>
    <n v="25"/>
    <x v="2"/>
    <x v="0"/>
    <x v="2"/>
    <x v="0"/>
    <x v="1"/>
    <d v="1899-12-30T16:27:00"/>
  </r>
  <r>
    <s v="1783"/>
    <s v="43 Main St, Cityc"/>
    <d v="2023-09-04T00:00:00"/>
    <s v="September"/>
    <x v="1"/>
    <d v="1899-12-30T13:45:00"/>
    <x v="0"/>
    <x v="0"/>
    <s v="D42"/>
    <x v="1"/>
    <s v="City E"/>
    <n v="149"/>
    <n v="8"/>
    <x v="1"/>
    <x v="0"/>
    <x v="2"/>
    <x v="1"/>
    <x v="2"/>
    <d v="1899-12-30T11:48:00"/>
  </r>
  <r>
    <s v="1838"/>
    <s v="630 Main St, Cityb"/>
    <d v="2023-09-05T00:00:00"/>
    <s v="September"/>
    <x v="6"/>
    <d v="1899-12-30T14:58:00"/>
    <x v="0"/>
    <x v="0"/>
    <s v="D42"/>
    <x v="2"/>
    <s v="City E"/>
    <n v="206"/>
    <n v="20"/>
    <x v="2"/>
    <x v="0"/>
    <x v="4"/>
    <x v="1"/>
    <x v="1"/>
    <d v="1899-12-30T11:04:00"/>
  </r>
  <r>
    <s v="2253"/>
    <s v="879 Pine St, Citye"/>
    <d v="2023-09-08T00:00:00"/>
    <s v="September"/>
    <x v="3"/>
    <d v="1899-12-30T10:52:00"/>
    <x v="1"/>
    <x v="1"/>
    <s v="D42"/>
    <x v="2"/>
    <s v="City C"/>
    <n v="216"/>
    <n v="24"/>
    <x v="2"/>
    <x v="1"/>
    <x v="3"/>
    <x v="1"/>
    <x v="1"/>
    <d v="1899-12-30T15:14:00"/>
  </r>
  <r>
    <s v="2330"/>
    <s v="149 Cedar St, Cityc"/>
    <d v="2023-09-07T00:00:00"/>
    <s v="September"/>
    <x v="2"/>
    <d v="1899-12-30T14:48:00"/>
    <x v="0"/>
    <x v="0"/>
    <s v="D42"/>
    <x v="2"/>
    <s v="City D"/>
    <n v="108"/>
    <n v="0"/>
    <x v="1"/>
    <x v="0"/>
    <x v="3"/>
    <x v="0"/>
    <x v="1"/>
    <d v="1899-12-30T12:02:00"/>
  </r>
  <r>
    <s v="2350"/>
    <s v="666 Elm St, Citye"/>
    <d v="2023-09-06T00:00:00"/>
    <s v="September"/>
    <x v="5"/>
    <d v="1899-12-30T10:07:00"/>
    <x v="0"/>
    <x v="0"/>
    <s v="D42"/>
    <x v="2"/>
    <s v="City B"/>
    <n v="107"/>
    <n v="15"/>
    <x v="0"/>
    <x v="0"/>
    <x v="0"/>
    <x v="0"/>
    <x v="1"/>
    <d v="1899-12-30T10:12:00"/>
  </r>
  <r>
    <s v="2442"/>
    <s v="587 Cedar St, Cityc"/>
    <d v="2023-09-02T00:00:00"/>
    <s v="September"/>
    <x v="4"/>
    <d v="1899-12-30T16:38:00"/>
    <x v="0"/>
    <x v="0"/>
    <s v="D42"/>
    <x v="0"/>
    <s v="City E"/>
    <n v="79"/>
    <n v="6"/>
    <x v="2"/>
    <x v="0"/>
    <x v="2"/>
    <x v="1"/>
    <x v="0"/>
    <d v="1899-12-30T15:21:00"/>
  </r>
  <r>
    <s v="1034"/>
    <s v="913 Pine St, Cityb"/>
    <d v="2023-09-05T00:00:00"/>
    <s v="September"/>
    <x v="6"/>
    <d v="1899-12-30T15:49:00"/>
    <x v="0"/>
    <x v="0"/>
    <s v="D43"/>
    <x v="1"/>
    <s v="City C"/>
    <n v="215"/>
    <n v="26"/>
    <x v="1"/>
    <x v="0"/>
    <x v="2"/>
    <x v="0"/>
    <x v="2"/>
    <d v="1899-12-30T13:16:00"/>
  </r>
  <r>
    <s v="1111"/>
    <s v="86 Main St, Cityb"/>
    <d v="2023-09-07T00:00:00"/>
    <s v="September"/>
    <x v="2"/>
    <d v="1899-12-30T15:08:00"/>
    <x v="0"/>
    <x v="0"/>
    <s v="D43"/>
    <x v="1"/>
    <s v="City E"/>
    <n v="130"/>
    <n v="2"/>
    <x v="2"/>
    <x v="0"/>
    <x v="3"/>
    <x v="2"/>
    <x v="1"/>
    <d v="1899-12-30T08:32:00"/>
  </r>
  <r>
    <s v="1301"/>
    <s v="234 Elm St, Cityd"/>
    <d v="2023-09-08T00:00:00"/>
    <s v="September"/>
    <x v="3"/>
    <d v="1899-12-30T11:23:00"/>
    <x v="1"/>
    <x v="1"/>
    <s v="D43"/>
    <x v="2"/>
    <s v="City A"/>
    <n v="178"/>
    <n v="11"/>
    <x v="1"/>
    <x v="1"/>
    <x v="4"/>
    <x v="2"/>
    <x v="0"/>
    <d v="1899-12-30T09:00:00"/>
  </r>
  <r>
    <s v="1328"/>
    <s v="501 Cedar St, Cityd"/>
    <d v="2023-09-02T00:00:00"/>
    <s v="September"/>
    <x v="4"/>
    <d v="1899-12-30T12:57:00"/>
    <x v="0"/>
    <x v="0"/>
    <s v="D43"/>
    <x v="2"/>
    <s v="City D"/>
    <n v="143"/>
    <n v="14"/>
    <x v="0"/>
    <x v="0"/>
    <x v="1"/>
    <x v="2"/>
    <x v="0"/>
    <d v="1899-12-30T13:18:00"/>
  </r>
  <r>
    <s v="1566"/>
    <s v="808 Main St, Citya"/>
    <d v="2023-09-08T00:00:00"/>
    <s v="September"/>
    <x v="3"/>
    <d v="1899-12-30T09:50:00"/>
    <x v="0"/>
    <x v="0"/>
    <s v="D43"/>
    <x v="1"/>
    <s v="City B"/>
    <n v="75"/>
    <n v="20"/>
    <x v="0"/>
    <x v="0"/>
    <x v="1"/>
    <x v="2"/>
    <x v="1"/>
    <d v="1899-12-30T14:44:00"/>
  </r>
  <r>
    <s v="1672"/>
    <s v="903 Pine St, Cityd"/>
    <d v="2023-09-06T00:00:00"/>
    <s v="September"/>
    <x v="5"/>
    <d v="1899-12-30T15:40:00"/>
    <x v="0"/>
    <x v="0"/>
    <s v="D43"/>
    <x v="1"/>
    <s v="City E"/>
    <n v="126"/>
    <n v="3"/>
    <x v="2"/>
    <x v="0"/>
    <x v="0"/>
    <x v="0"/>
    <x v="1"/>
    <d v="1899-12-30T13:50:00"/>
  </r>
  <r>
    <s v="1773"/>
    <s v="821 Cedar St, Citye"/>
    <d v="2023-09-03T00:00:00"/>
    <s v="September"/>
    <x v="0"/>
    <d v="1899-12-30T08:17:00"/>
    <x v="0"/>
    <x v="0"/>
    <s v="D43"/>
    <x v="0"/>
    <s v="City D"/>
    <n v="238"/>
    <n v="9"/>
    <x v="1"/>
    <x v="0"/>
    <x v="1"/>
    <x v="0"/>
    <x v="2"/>
    <d v="1899-12-30T09:13:00"/>
  </r>
  <r>
    <s v="1862"/>
    <s v="594 Elm St, Cityd"/>
    <d v="2023-09-03T00:00:00"/>
    <s v="September"/>
    <x v="0"/>
    <d v="1899-12-30T11:50:00"/>
    <x v="1"/>
    <x v="1"/>
    <s v="D43"/>
    <x v="0"/>
    <s v="City E"/>
    <n v="128"/>
    <n v="22"/>
    <x v="2"/>
    <x v="1"/>
    <x v="1"/>
    <x v="2"/>
    <x v="1"/>
    <d v="1899-12-30T09:39:00"/>
  </r>
  <r>
    <s v="2121"/>
    <s v="921 Cedar St, Cityc"/>
    <d v="2023-09-01T00:00:00"/>
    <s v="September"/>
    <x v="3"/>
    <d v="1899-12-30T09:51:00"/>
    <x v="1"/>
    <x v="1"/>
    <s v="D43"/>
    <x v="2"/>
    <s v="City D"/>
    <n v="161"/>
    <n v="21"/>
    <x v="0"/>
    <x v="1"/>
    <x v="2"/>
    <x v="2"/>
    <x v="0"/>
    <d v="1899-12-30T12:09:00"/>
  </r>
  <r>
    <s v="2323"/>
    <s v="262 Cedar St, Cityb"/>
    <d v="2023-09-04T00:00:00"/>
    <s v="September"/>
    <x v="1"/>
    <d v="1899-12-30T12:42:00"/>
    <x v="0"/>
    <x v="0"/>
    <s v="D43"/>
    <x v="1"/>
    <s v="City D"/>
    <n v="65"/>
    <n v="23"/>
    <x v="1"/>
    <x v="0"/>
    <x v="3"/>
    <x v="0"/>
    <x v="0"/>
    <d v="1899-12-30T09:10:00"/>
  </r>
  <r>
    <s v="2360"/>
    <s v="677 Oak St, Citya"/>
    <d v="2023-09-05T00:00:00"/>
    <s v="September"/>
    <x v="6"/>
    <d v="1899-12-30T12:34:00"/>
    <x v="0"/>
    <x v="0"/>
    <s v="D43"/>
    <x v="2"/>
    <s v="City D"/>
    <n v="209"/>
    <n v="19"/>
    <x v="2"/>
    <x v="0"/>
    <x v="4"/>
    <x v="2"/>
    <x v="2"/>
    <d v="1899-12-30T17:04:00"/>
  </r>
  <r>
    <s v="2452"/>
    <s v="737 Pine St, Cityd"/>
    <d v="2023-09-06T00:00:00"/>
    <s v="September"/>
    <x v="5"/>
    <d v="1899-12-30T08:13:00"/>
    <x v="0"/>
    <x v="0"/>
    <s v="D43"/>
    <x v="0"/>
    <s v="City B"/>
    <n v="204"/>
    <n v="24"/>
    <x v="0"/>
    <x v="0"/>
    <x v="3"/>
    <x v="1"/>
    <x v="0"/>
    <d v="1899-12-30T11:10:00"/>
  </r>
  <r>
    <s v="1012"/>
    <s v="391 Pine St, Cityb"/>
    <d v="2023-09-06T00:00:00"/>
    <s v="September"/>
    <x v="5"/>
    <d v="1899-12-30T13:54:00"/>
    <x v="0"/>
    <x v="0"/>
    <s v="D44"/>
    <x v="2"/>
    <s v="City A"/>
    <n v="150"/>
    <n v="18"/>
    <x v="2"/>
    <x v="0"/>
    <x v="4"/>
    <x v="1"/>
    <x v="1"/>
    <d v="1899-12-30T14:33:00"/>
  </r>
  <r>
    <s v="1317"/>
    <s v="579 Pine St, Citya"/>
    <d v="2023-09-04T00:00:00"/>
    <s v="September"/>
    <x v="1"/>
    <d v="1899-12-30T10:53:00"/>
    <x v="0"/>
    <x v="0"/>
    <s v="D44"/>
    <x v="1"/>
    <s v="City D"/>
    <n v="176"/>
    <n v="27"/>
    <x v="2"/>
    <x v="0"/>
    <x v="4"/>
    <x v="2"/>
    <x v="1"/>
    <d v="1899-12-30T16:15:00"/>
  </r>
  <r>
    <s v="1399"/>
    <s v="8 Cedar St, Cityc"/>
    <d v="2023-09-05T00:00:00"/>
    <s v="September"/>
    <x v="6"/>
    <d v="1899-12-30T09:32:00"/>
    <x v="1"/>
    <x v="1"/>
    <s v="D44"/>
    <x v="1"/>
    <s v="City C"/>
    <n v="96"/>
    <n v="18"/>
    <x v="2"/>
    <x v="1"/>
    <x v="2"/>
    <x v="0"/>
    <x v="1"/>
    <d v="1899-12-30T10:30:00"/>
  </r>
  <r>
    <s v="1633"/>
    <s v="841 Oak St, Citye"/>
    <d v="2023-09-05T00:00:00"/>
    <s v="September"/>
    <x v="6"/>
    <d v="1899-12-30T14:55:00"/>
    <x v="1"/>
    <x v="1"/>
    <s v="D44"/>
    <x v="1"/>
    <s v="City D"/>
    <n v="71"/>
    <n v="13"/>
    <x v="0"/>
    <x v="1"/>
    <x v="3"/>
    <x v="1"/>
    <x v="1"/>
    <d v="1899-12-30T10:26:00"/>
  </r>
  <r>
    <s v="1958"/>
    <s v="507 Cedar St, Citye"/>
    <d v="2023-09-02T00:00:00"/>
    <s v="September"/>
    <x v="4"/>
    <d v="1899-12-30T13:24:00"/>
    <x v="0"/>
    <x v="0"/>
    <s v="D44"/>
    <x v="2"/>
    <s v="City C"/>
    <n v="228"/>
    <n v="21"/>
    <x v="1"/>
    <x v="0"/>
    <x v="0"/>
    <x v="2"/>
    <x v="2"/>
    <d v="1899-12-30T14:44:00"/>
  </r>
  <r>
    <s v="2001"/>
    <s v="897 Oak St, Citye"/>
    <d v="2023-09-05T00:00:00"/>
    <s v="September"/>
    <x v="6"/>
    <d v="1899-12-30T14:19:00"/>
    <x v="0"/>
    <x v="0"/>
    <s v="D44"/>
    <x v="0"/>
    <s v="City D"/>
    <n v="168"/>
    <n v="13"/>
    <x v="2"/>
    <x v="0"/>
    <x v="1"/>
    <x v="0"/>
    <x v="2"/>
    <d v="1899-12-30T15:43:00"/>
  </r>
  <r>
    <s v="2129"/>
    <s v="201 Pine St, Cityc"/>
    <d v="2023-09-03T00:00:00"/>
    <s v="September"/>
    <x v="0"/>
    <d v="1899-12-30T14:06:00"/>
    <x v="0"/>
    <x v="0"/>
    <s v="D44"/>
    <x v="1"/>
    <s v="City D"/>
    <n v="224"/>
    <n v="27"/>
    <x v="2"/>
    <x v="0"/>
    <x v="0"/>
    <x v="2"/>
    <x v="0"/>
    <d v="1899-12-30T08:11:00"/>
  </r>
  <r>
    <s v="2131"/>
    <s v="950 Main St, Citye"/>
    <d v="2023-09-04T00:00:00"/>
    <s v="September"/>
    <x v="1"/>
    <d v="1899-12-30T13:40:00"/>
    <x v="0"/>
    <x v="0"/>
    <s v="D44"/>
    <x v="2"/>
    <s v="City E"/>
    <n v="188"/>
    <n v="15"/>
    <x v="0"/>
    <x v="0"/>
    <x v="0"/>
    <x v="2"/>
    <x v="1"/>
    <d v="1899-12-30T10:53:00"/>
  </r>
  <r>
    <s v="2185"/>
    <s v="318 Elm St, Citye"/>
    <d v="2023-09-06T00:00:00"/>
    <s v="September"/>
    <x v="5"/>
    <d v="1899-12-30T08:41:00"/>
    <x v="0"/>
    <x v="0"/>
    <s v="D44"/>
    <x v="2"/>
    <s v="City B"/>
    <n v="80"/>
    <n v="22"/>
    <x v="2"/>
    <x v="0"/>
    <x v="2"/>
    <x v="0"/>
    <x v="2"/>
    <d v="1899-12-30T17:19:00"/>
  </r>
  <r>
    <s v="2349"/>
    <s v="687 Cedar St, Cityc"/>
    <d v="2023-09-03T00:00:00"/>
    <s v="September"/>
    <x v="0"/>
    <d v="1899-12-30T08:24:00"/>
    <x v="1"/>
    <x v="1"/>
    <s v="D44"/>
    <x v="0"/>
    <s v="City A"/>
    <n v="61"/>
    <n v="27"/>
    <x v="1"/>
    <x v="1"/>
    <x v="0"/>
    <x v="2"/>
    <x v="2"/>
    <d v="1899-12-30T16:26:00"/>
  </r>
  <r>
    <s v="2371"/>
    <s v="247 Cedar St, Cityc"/>
    <d v="2023-09-02T00:00:00"/>
    <s v="September"/>
    <x v="4"/>
    <d v="1899-12-30T09:59:00"/>
    <x v="1"/>
    <x v="1"/>
    <s v="D44"/>
    <x v="0"/>
    <s v="City B"/>
    <n v="107"/>
    <n v="24"/>
    <x v="2"/>
    <x v="1"/>
    <x v="1"/>
    <x v="2"/>
    <x v="2"/>
    <d v="1899-12-30T12:09:00"/>
  </r>
  <r>
    <s v="2483"/>
    <s v="867 Cedar St, Citye"/>
    <d v="2023-09-08T00:00:00"/>
    <s v="September"/>
    <x v="3"/>
    <d v="1899-12-30T10:58:00"/>
    <x v="0"/>
    <x v="0"/>
    <s v="D44"/>
    <x v="1"/>
    <s v="City D"/>
    <n v="122"/>
    <n v="7"/>
    <x v="2"/>
    <x v="0"/>
    <x v="1"/>
    <x v="0"/>
    <x v="1"/>
    <d v="1899-12-30T11:35:00"/>
  </r>
  <r>
    <s v="1106"/>
    <s v="569 Pine St, Cityb"/>
    <d v="2023-09-02T00:00:00"/>
    <s v="September"/>
    <x v="4"/>
    <d v="1899-12-30T15:25:00"/>
    <x v="0"/>
    <x v="0"/>
    <s v="D45"/>
    <x v="1"/>
    <s v="City B"/>
    <n v="195"/>
    <n v="5"/>
    <x v="0"/>
    <x v="0"/>
    <x v="2"/>
    <x v="0"/>
    <x v="2"/>
    <d v="1899-12-30T14:09:00"/>
  </r>
  <r>
    <s v="1172"/>
    <s v="346 Cedar St, Cityb"/>
    <d v="2023-09-02T00:00:00"/>
    <s v="September"/>
    <x v="4"/>
    <d v="1899-12-30T09:38:00"/>
    <x v="0"/>
    <x v="0"/>
    <s v="D45"/>
    <x v="2"/>
    <s v="City E"/>
    <n v="175"/>
    <n v="1"/>
    <x v="0"/>
    <x v="0"/>
    <x v="0"/>
    <x v="1"/>
    <x v="1"/>
    <d v="1899-12-30T17:05:00"/>
  </r>
  <r>
    <s v="1183"/>
    <s v="544 Main St, Citya"/>
    <d v="2023-09-08T00:00:00"/>
    <s v="September"/>
    <x v="3"/>
    <d v="1899-12-30T13:42:00"/>
    <x v="1"/>
    <x v="1"/>
    <s v="D45"/>
    <x v="1"/>
    <s v="City D"/>
    <n v="203"/>
    <n v="3"/>
    <x v="2"/>
    <x v="1"/>
    <x v="2"/>
    <x v="2"/>
    <x v="2"/>
    <d v="1899-12-30T15:08:00"/>
  </r>
  <r>
    <s v="1445"/>
    <s v="31 Main St, Cityd"/>
    <d v="2023-09-02T00:00:00"/>
    <s v="September"/>
    <x v="4"/>
    <d v="1899-12-30T09:09:00"/>
    <x v="0"/>
    <x v="0"/>
    <s v="D45"/>
    <x v="1"/>
    <s v="City E"/>
    <n v="81"/>
    <n v="2"/>
    <x v="2"/>
    <x v="0"/>
    <x v="0"/>
    <x v="0"/>
    <x v="2"/>
    <d v="1899-12-30T14:12:00"/>
  </r>
  <r>
    <s v="1450"/>
    <s v="737 Pine St, Cityb"/>
    <d v="2023-09-08T00:00:00"/>
    <s v="September"/>
    <x v="3"/>
    <d v="1899-12-30T16:03:00"/>
    <x v="0"/>
    <x v="0"/>
    <s v="D45"/>
    <x v="2"/>
    <s v="City E"/>
    <n v="75"/>
    <n v="7"/>
    <x v="0"/>
    <x v="0"/>
    <x v="0"/>
    <x v="2"/>
    <x v="1"/>
    <d v="1899-12-30T14:01:00"/>
  </r>
  <r>
    <s v="1742"/>
    <s v="863 Oak St, Citya"/>
    <d v="2023-09-03T00:00:00"/>
    <s v="September"/>
    <x v="0"/>
    <d v="1899-12-30T10:06:00"/>
    <x v="1"/>
    <x v="1"/>
    <s v="D45"/>
    <x v="1"/>
    <s v="City E"/>
    <n v="64"/>
    <n v="24"/>
    <x v="1"/>
    <x v="1"/>
    <x v="4"/>
    <x v="1"/>
    <x v="1"/>
    <d v="1899-12-30T09:49:00"/>
  </r>
  <r>
    <s v="1759"/>
    <s v="909 Pine St, Citya"/>
    <d v="2023-09-02T00:00:00"/>
    <s v="September"/>
    <x v="4"/>
    <d v="1899-12-30T08:42:00"/>
    <x v="0"/>
    <x v="0"/>
    <s v="D45"/>
    <x v="2"/>
    <s v="City C"/>
    <n v="165"/>
    <n v="21"/>
    <x v="0"/>
    <x v="0"/>
    <x v="2"/>
    <x v="2"/>
    <x v="2"/>
    <d v="1899-12-30T12:28:00"/>
  </r>
  <r>
    <s v="1784"/>
    <s v="13 Elm St, Cityb"/>
    <d v="2023-09-08T00:00:00"/>
    <s v="September"/>
    <x v="3"/>
    <d v="1899-12-30T15:29:00"/>
    <x v="1"/>
    <x v="1"/>
    <s v="D45"/>
    <x v="2"/>
    <s v="City C"/>
    <n v="209"/>
    <n v="24"/>
    <x v="0"/>
    <x v="1"/>
    <x v="2"/>
    <x v="1"/>
    <x v="2"/>
    <d v="1899-12-30T13:54:00"/>
  </r>
  <r>
    <s v="1823"/>
    <s v="441 Elm St, Cityc"/>
    <d v="2023-09-07T00:00:00"/>
    <s v="September"/>
    <x v="2"/>
    <d v="1899-12-30T09:47:00"/>
    <x v="0"/>
    <x v="0"/>
    <s v="D45"/>
    <x v="0"/>
    <s v="City D"/>
    <n v="231"/>
    <n v="9"/>
    <x v="2"/>
    <x v="0"/>
    <x v="4"/>
    <x v="2"/>
    <x v="0"/>
    <d v="1899-12-30T11:24:00"/>
  </r>
  <r>
    <s v="1877"/>
    <s v="897 Oak St, Cityb"/>
    <d v="2023-09-08T00:00:00"/>
    <s v="September"/>
    <x v="3"/>
    <d v="1899-12-30T12:17:00"/>
    <x v="0"/>
    <x v="0"/>
    <s v="D45"/>
    <x v="2"/>
    <s v="City A"/>
    <n v="219"/>
    <n v="12"/>
    <x v="0"/>
    <x v="0"/>
    <x v="2"/>
    <x v="0"/>
    <x v="2"/>
    <d v="1899-12-30T09:37:00"/>
  </r>
  <r>
    <s v="1903"/>
    <s v="544 Elm St, Citya"/>
    <d v="2023-09-06T00:00:00"/>
    <s v="September"/>
    <x v="5"/>
    <d v="1899-12-30T14:39:00"/>
    <x v="1"/>
    <x v="1"/>
    <s v="D45"/>
    <x v="0"/>
    <s v="City A"/>
    <n v="234"/>
    <n v="28"/>
    <x v="2"/>
    <x v="1"/>
    <x v="0"/>
    <x v="2"/>
    <x v="1"/>
    <d v="1899-12-30T10:37:00"/>
  </r>
  <r>
    <s v="2022"/>
    <s v="983 Main St, Citye"/>
    <d v="2023-09-03T00:00:00"/>
    <s v="September"/>
    <x v="0"/>
    <d v="1899-12-30T09:10:00"/>
    <x v="1"/>
    <x v="1"/>
    <s v="D45"/>
    <x v="0"/>
    <s v="City B"/>
    <n v="111"/>
    <n v="18"/>
    <x v="2"/>
    <x v="1"/>
    <x v="3"/>
    <x v="0"/>
    <x v="1"/>
    <d v="1899-12-30T15:50:00"/>
  </r>
  <r>
    <s v="1151"/>
    <s v="758 Main St, Cityd"/>
    <d v="2023-09-01T00:00:00"/>
    <s v="September"/>
    <x v="3"/>
    <d v="1899-12-30T08:56:00"/>
    <x v="1"/>
    <x v="1"/>
    <s v="D46"/>
    <x v="2"/>
    <s v="City A"/>
    <n v="213"/>
    <n v="15"/>
    <x v="2"/>
    <x v="1"/>
    <x v="4"/>
    <x v="1"/>
    <x v="0"/>
    <d v="1899-12-30T14:34:00"/>
  </r>
  <r>
    <s v="1197"/>
    <s v="163 Cedar St, Citye"/>
    <d v="2023-09-06T00:00:00"/>
    <s v="September"/>
    <x v="5"/>
    <d v="1899-12-30T11:44:00"/>
    <x v="0"/>
    <x v="0"/>
    <s v="D46"/>
    <x v="0"/>
    <s v="City A"/>
    <n v="124"/>
    <n v="13"/>
    <x v="0"/>
    <x v="0"/>
    <x v="4"/>
    <x v="2"/>
    <x v="0"/>
    <d v="1899-12-30T12:15:00"/>
  </r>
  <r>
    <s v="1427"/>
    <s v="953 Main St, Cityc"/>
    <d v="2023-09-08T00:00:00"/>
    <s v="September"/>
    <x v="3"/>
    <d v="1899-12-30T12:11:00"/>
    <x v="1"/>
    <x v="1"/>
    <s v="D46"/>
    <x v="2"/>
    <s v="City E"/>
    <n v="116"/>
    <n v="22"/>
    <x v="1"/>
    <x v="1"/>
    <x v="2"/>
    <x v="0"/>
    <x v="2"/>
    <d v="1899-12-30T11:43:00"/>
  </r>
  <r>
    <s v="1447"/>
    <s v="180 Main St, Citye"/>
    <d v="2023-09-04T00:00:00"/>
    <s v="September"/>
    <x v="1"/>
    <d v="1899-12-30T16:16:00"/>
    <x v="0"/>
    <x v="0"/>
    <s v="D46"/>
    <x v="1"/>
    <s v="City B"/>
    <n v="170"/>
    <n v="13"/>
    <x v="2"/>
    <x v="0"/>
    <x v="1"/>
    <x v="2"/>
    <x v="1"/>
    <d v="1899-12-30T16:02:00"/>
  </r>
  <r>
    <s v="1565"/>
    <s v="381 Main St, Citye"/>
    <d v="2023-09-03T00:00:00"/>
    <s v="September"/>
    <x v="0"/>
    <d v="1899-12-30T13:59:00"/>
    <x v="0"/>
    <x v="0"/>
    <s v="D46"/>
    <x v="1"/>
    <s v="City C"/>
    <n v="202"/>
    <n v="27"/>
    <x v="0"/>
    <x v="0"/>
    <x v="1"/>
    <x v="1"/>
    <x v="2"/>
    <d v="1899-12-30T10:13:00"/>
  </r>
  <r>
    <s v="1752"/>
    <s v="259 Pine St, Cityd"/>
    <d v="2023-09-01T00:00:00"/>
    <s v="September"/>
    <x v="3"/>
    <d v="1899-12-30T14:35:00"/>
    <x v="1"/>
    <x v="1"/>
    <s v="D46"/>
    <x v="0"/>
    <s v="City D"/>
    <n v="128"/>
    <n v="4"/>
    <x v="0"/>
    <x v="1"/>
    <x v="0"/>
    <x v="2"/>
    <x v="1"/>
    <d v="1899-12-30T14:39:00"/>
  </r>
  <r>
    <s v="1965"/>
    <s v="713 Oak St, Cityd"/>
    <d v="2023-09-07T00:00:00"/>
    <s v="September"/>
    <x v="2"/>
    <d v="1899-12-30T13:21:00"/>
    <x v="0"/>
    <x v="0"/>
    <s v="D46"/>
    <x v="0"/>
    <s v="City E"/>
    <n v="230"/>
    <n v="14"/>
    <x v="2"/>
    <x v="0"/>
    <x v="3"/>
    <x v="1"/>
    <x v="2"/>
    <d v="1899-12-30T15:18:00"/>
  </r>
  <r>
    <s v="1967"/>
    <s v="871 Pine St, Citya"/>
    <d v="2023-09-04T00:00:00"/>
    <s v="September"/>
    <x v="1"/>
    <d v="1899-12-30T14:37:00"/>
    <x v="0"/>
    <x v="0"/>
    <s v="D46"/>
    <x v="0"/>
    <s v="City C"/>
    <n v="202"/>
    <n v="14"/>
    <x v="0"/>
    <x v="0"/>
    <x v="1"/>
    <x v="2"/>
    <x v="1"/>
    <d v="1899-12-30T11:29:00"/>
  </r>
  <r>
    <s v="2105"/>
    <s v="201 Elm St, Cityb"/>
    <d v="2023-09-07T00:00:00"/>
    <s v="September"/>
    <x v="2"/>
    <d v="1899-12-30T11:16:00"/>
    <x v="1"/>
    <x v="1"/>
    <s v="D46"/>
    <x v="1"/>
    <s v="City A"/>
    <n v="162"/>
    <n v="9"/>
    <x v="2"/>
    <x v="1"/>
    <x v="2"/>
    <x v="2"/>
    <x v="1"/>
    <d v="1899-12-30T09:44:00"/>
  </r>
  <r>
    <s v="2202"/>
    <s v="902 Elm St, Citye"/>
    <d v="2023-09-03T00:00:00"/>
    <s v="September"/>
    <x v="0"/>
    <d v="1899-12-30T10:54:00"/>
    <x v="0"/>
    <x v="0"/>
    <s v="D46"/>
    <x v="2"/>
    <s v="City C"/>
    <n v="160"/>
    <n v="27"/>
    <x v="2"/>
    <x v="0"/>
    <x v="4"/>
    <x v="0"/>
    <x v="0"/>
    <d v="1899-12-30T13:47:00"/>
  </r>
  <r>
    <s v="2229"/>
    <s v="248 Cedar St, Citye"/>
    <d v="2023-09-05T00:00:00"/>
    <s v="September"/>
    <x v="6"/>
    <d v="1899-12-30T10:39:00"/>
    <x v="0"/>
    <x v="0"/>
    <s v="D46"/>
    <x v="2"/>
    <s v="City B"/>
    <n v="71"/>
    <n v="5"/>
    <x v="0"/>
    <x v="0"/>
    <x v="0"/>
    <x v="0"/>
    <x v="2"/>
    <d v="1899-12-30T17:34:00"/>
  </r>
  <r>
    <s v="2240"/>
    <s v="826 Main St, Citya"/>
    <d v="2023-09-01T00:00:00"/>
    <s v="September"/>
    <x v="3"/>
    <d v="1899-12-30T10:45:00"/>
    <x v="1"/>
    <x v="1"/>
    <s v="D46"/>
    <x v="0"/>
    <s v="City B"/>
    <n v="169"/>
    <n v="8"/>
    <x v="2"/>
    <x v="1"/>
    <x v="1"/>
    <x v="1"/>
    <x v="1"/>
    <d v="1899-12-30T08:28:00"/>
  </r>
  <r>
    <s v="2402"/>
    <s v="743 Pine St, Cityd"/>
    <d v="2023-09-03T00:00:00"/>
    <s v="September"/>
    <x v="0"/>
    <d v="1899-12-30T11:15:00"/>
    <x v="0"/>
    <x v="0"/>
    <s v="D46"/>
    <x v="1"/>
    <s v="City D"/>
    <n v="149"/>
    <n v="18"/>
    <x v="2"/>
    <x v="0"/>
    <x v="0"/>
    <x v="0"/>
    <x v="1"/>
    <d v="1899-12-30T11:01:00"/>
  </r>
  <r>
    <s v="2492"/>
    <s v="27 Cedar St, Cityd"/>
    <d v="2023-09-06T00:00:00"/>
    <s v="September"/>
    <x v="5"/>
    <d v="1899-12-30T09:41:00"/>
    <x v="0"/>
    <x v="0"/>
    <s v="D46"/>
    <x v="0"/>
    <s v="City D"/>
    <n v="202"/>
    <n v="0"/>
    <x v="1"/>
    <x v="0"/>
    <x v="2"/>
    <x v="1"/>
    <x v="1"/>
    <d v="1899-12-30T10:47:00"/>
  </r>
  <r>
    <s v="1310"/>
    <s v="503 Main St, Cityc"/>
    <d v="2023-09-04T00:00:00"/>
    <s v="September"/>
    <x v="1"/>
    <d v="1899-12-30T16:32:00"/>
    <x v="0"/>
    <x v="0"/>
    <s v="D47"/>
    <x v="0"/>
    <s v="City A"/>
    <n v="227"/>
    <n v="12"/>
    <x v="1"/>
    <x v="0"/>
    <x v="4"/>
    <x v="2"/>
    <x v="1"/>
    <d v="1899-12-30T13:50:00"/>
  </r>
  <r>
    <s v="1392"/>
    <s v="70 Main St, Cityb"/>
    <d v="2023-09-07T00:00:00"/>
    <s v="September"/>
    <x v="2"/>
    <d v="1899-12-30T13:15:00"/>
    <x v="1"/>
    <x v="1"/>
    <s v="D47"/>
    <x v="1"/>
    <s v="City B"/>
    <n v="193"/>
    <n v="16"/>
    <x v="0"/>
    <x v="1"/>
    <x v="4"/>
    <x v="0"/>
    <x v="0"/>
    <d v="1899-12-30T15:12:00"/>
  </r>
  <r>
    <s v="1686"/>
    <s v="250 Main St, Cityd"/>
    <d v="2023-09-05T00:00:00"/>
    <s v="September"/>
    <x v="6"/>
    <d v="1899-12-30T14:02:00"/>
    <x v="1"/>
    <x v="1"/>
    <s v="D47"/>
    <x v="0"/>
    <s v="City A"/>
    <n v="206"/>
    <n v="3"/>
    <x v="0"/>
    <x v="1"/>
    <x v="2"/>
    <x v="2"/>
    <x v="0"/>
    <d v="1899-12-30T13:28:00"/>
  </r>
  <r>
    <s v="1865"/>
    <s v="310 Elm St, Cityd"/>
    <d v="2023-09-01T00:00:00"/>
    <s v="September"/>
    <x v="3"/>
    <d v="1899-12-30T12:13:00"/>
    <x v="0"/>
    <x v="0"/>
    <s v="D47"/>
    <x v="2"/>
    <s v="City D"/>
    <n v="119"/>
    <n v="26"/>
    <x v="0"/>
    <x v="0"/>
    <x v="2"/>
    <x v="1"/>
    <x v="0"/>
    <d v="1899-12-30T12:18:00"/>
  </r>
  <r>
    <s v="1928"/>
    <s v="117 Pine St, Cityc"/>
    <d v="2023-09-04T00:00:00"/>
    <s v="September"/>
    <x v="1"/>
    <d v="1899-12-30T09:22:00"/>
    <x v="1"/>
    <x v="1"/>
    <s v="D47"/>
    <x v="0"/>
    <s v="City B"/>
    <n v="205"/>
    <n v="14"/>
    <x v="0"/>
    <x v="1"/>
    <x v="2"/>
    <x v="1"/>
    <x v="1"/>
    <d v="1899-12-30T16:27:00"/>
  </r>
  <r>
    <s v="2122"/>
    <s v="908 Pine St, Cityb"/>
    <d v="2023-09-03T00:00:00"/>
    <s v="September"/>
    <x v="0"/>
    <d v="1899-12-30T09:29:00"/>
    <x v="0"/>
    <x v="0"/>
    <s v="D47"/>
    <x v="0"/>
    <s v="City C"/>
    <n v="74"/>
    <n v="19"/>
    <x v="2"/>
    <x v="0"/>
    <x v="1"/>
    <x v="2"/>
    <x v="1"/>
    <d v="1899-12-30T10:47:00"/>
  </r>
  <r>
    <s v="2201"/>
    <s v="561 Pine St, Cityd"/>
    <d v="2023-09-02T00:00:00"/>
    <s v="September"/>
    <x v="4"/>
    <d v="1899-12-30T10:04:00"/>
    <x v="0"/>
    <x v="0"/>
    <s v="D47"/>
    <x v="1"/>
    <s v="City B"/>
    <n v="234"/>
    <n v="3"/>
    <x v="0"/>
    <x v="0"/>
    <x v="2"/>
    <x v="2"/>
    <x v="1"/>
    <d v="1899-12-30T16:41:00"/>
  </r>
  <r>
    <s v="2248"/>
    <s v="41 Pine St, Citya"/>
    <d v="2023-09-01T00:00:00"/>
    <s v="September"/>
    <x v="3"/>
    <d v="1899-12-30T16:45:00"/>
    <x v="1"/>
    <x v="1"/>
    <s v="D47"/>
    <x v="1"/>
    <s v="City D"/>
    <n v="121"/>
    <n v="16"/>
    <x v="2"/>
    <x v="1"/>
    <x v="3"/>
    <x v="0"/>
    <x v="0"/>
    <d v="1899-12-30T15:36:00"/>
  </r>
  <r>
    <s v="2267"/>
    <s v="812 Oak St, Cityb"/>
    <d v="2023-09-04T00:00:00"/>
    <s v="September"/>
    <x v="1"/>
    <d v="1899-12-30T10:06:00"/>
    <x v="1"/>
    <x v="1"/>
    <s v="D47"/>
    <x v="0"/>
    <s v="City B"/>
    <n v="66"/>
    <n v="28"/>
    <x v="0"/>
    <x v="1"/>
    <x v="4"/>
    <x v="1"/>
    <x v="1"/>
    <d v="1899-12-30T08:30:00"/>
  </r>
  <r>
    <s v="2310"/>
    <s v="799 Elm St, Cityc"/>
    <d v="2023-09-06T00:00:00"/>
    <s v="September"/>
    <x v="5"/>
    <d v="1899-12-30T12:18:00"/>
    <x v="0"/>
    <x v="0"/>
    <s v="D47"/>
    <x v="0"/>
    <s v="City E"/>
    <n v="232"/>
    <n v="0"/>
    <x v="1"/>
    <x v="0"/>
    <x v="1"/>
    <x v="1"/>
    <x v="1"/>
    <d v="1899-12-30T13:30:00"/>
  </r>
  <r>
    <s v="2372"/>
    <s v="871 Cedar St, Cityc"/>
    <d v="2023-09-03T00:00:00"/>
    <s v="September"/>
    <x v="0"/>
    <d v="1899-12-30T15:15:00"/>
    <x v="0"/>
    <x v="0"/>
    <s v="D47"/>
    <x v="0"/>
    <s v="City A"/>
    <n v="210"/>
    <n v="21"/>
    <x v="1"/>
    <x v="0"/>
    <x v="0"/>
    <x v="2"/>
    <x v="0"/>
    <d v="1899-12-30T14:30:00"/>
  </r>
  <r>
    <s v="2413"/>
    <s v="479 Cedar St, Citya"/>
    <d v="2023-09-04T00:00:00"/>
    <s v="September"/>
    <x v="1"/>
    <d v="1899-12-30T13:46:00"/>
    <x v="0"/>
    <x v="0"/>
    <s v="D47"/>
    <x v="2"/>
    <s v="City A"/>
    <n v="68"/>
    <n v="16"/>
    <x v="2"/>
    <x v="0"/>
    <x v="1"/>
    <x v="2"/>
    <x v="0"/>
    <d v="1899-12-30T11:24:00"/>
  </r>
  <r>
    <s v="1041"/>
    <s v="922 Main St, Cityd"/>
    <d v="2023-09-01T00:00:00"/>
    <s v="September"/>
    <x v="3"/>
    <d v="1899-12-30T11:17:00"/>
    <x v="1"/>
    <x v="1"/>
    <s v="D48"/>
    <x v="1"/>
    <s v="City E"/>
    <n v="166"/>
    <n v="5"/>
    <x v="0"/>
    <x v="1"/>
    <x v="1"/>
    <x v="1"/>
    <x v="0"/>
    <d v="1899-12-30T13:22:00"/>
  </r>
  <r>
    <s v="1220"/>
    <s v="327 Elm St, Citya"/>
    <d v="2023-09-05T00:00:00"/>
    <s v="September"/>
    <x v="6"/>
    <d v="1899-12-30T13:20:00"/>
    <x v="0"/>
    <x v="0"/>
    <s v="D48"/>
    <x v="2"/>
    <s v="City E"/>
    <n v="86"/>
    <n v="0"/>
    <x v="1"/>
    <x v="0"/>
    <x v="1"/>
    <x v="2"/>
    <x v="0"/>
    <d v="1899-12-30T15:37:00"/>
  </r>
  <r>
    <s v="1255"/>
    <s v="329 Cedar St, Cityb"/>
    <d v="2023-09-06T00:00:00"/>
    <s v="September"/>
    <x v="5"/>
    <d v="1899-12-30T16:55:00"/>
    <x v="0"/>
    <x v="0"/>
    <s v="D48"/>
    <x v="0"/>
    <s v="City B"/>
    <n v="69"/>
    <n v="29"/>
    <x v="2"/>
    <x v="0"/>
    <x v="3"/>
    <x v="2"/>
    <x v="1"/>
    <d v="1899-12-30T17:07:00"/>
  </r>
  <r>
    <s v="1669"/>
    <s v="154 Pine St, Citye"/>
    <d v="2023-09-02T00:00:00"/>
    <s v="September"/>
    <x v="4"/>
    <d v="1899-12-30T09:20:00"/>
    <x v="1"/>
    <x v="1"/>
    <s v="D48"/>
    <x v="1"/>
    <s v="City D"/>
    <n v="153"/>
    <n v="8"/>
    <x v="0"/>
    <x v="1"/>
    <x v="0"/>
    <x v="1"/>
    <x v="1"/>
    <d v="1899-12-30T16:37:00"/>
  </r>
  <r>
    <s v="1831"/>
    <s v="53 Main St, Cityd"/>
    <d v="2023-09-04T00:00:00"/>
    <s v="September"/>
    <x v="1"/>
    <d v="1899-12-30T13:34:00"/>
    <x v="0"/>
    <x v="0"/>
    <s v="D48"/>
    <x v="2"/>
    <s v="City E"/>
    <n v="177"/>
    <n v="23"/>
    <x v="1"/>
    <x v="0"/>
    <x v="0"/>
    <x v="2"/>
    <x v="0"/>
    <d v="1899-12-30T09:08:00"/>
  </r>
  <r>
    <s v="2029"/>
    <s v="676 Cedar St, Cityc"/>
    <d v="2023-09-06T00:00:00"/>
    <s v="September"/>
    <x v="5"/>
    <d v="1899-12-30T11:19:00"/>
    <x v="1"/>
    <x v="1"/>
    <s v="D48"/>
    <x v="2"/>
    <s v="City E"/>
    <n v="139"/>
    <n v="3"/>
    <x v="1"/>
    <x v="1"/>
    <x v="1"/>
    <x v="0"/>
    <x v="2"/>
    <d v="1899-12-30T11:12:00"/>
  </r>
  <r>
    <s v="2305"/>
    <s v="637 Elm St, Citye"/>
    <d v="2023-09-08T00:00:00"/>
    <s v="September"/>
    <x v="3"/>
    <d v="1899-12-30T09:26:00"/>
    <x v="1"/>
    <x v="1"/>
    <s v="D48"/>
    <x v="1"/>
    <s v="City D"/>
    <n v="152"/>
    <n v="5"/>
    <x v="1"/>
    <x v="1"/>
    <x v="2"/>
    <x v="2"/>
    <x v="0"/>
    <d v="1899-12-30T14:45:00"/>
  </r>
  <r>
    <s v="2365"/>
    <s v="829 Pine St, Citya"/>
    <d v="2023-09-02T00:00:00"/>
    <s v="September"/>
    <x v="4"/>
    <d v="1899-12-30T08:31:00"/>
    <x v="1"/>
    <x v="1"/>
    <s v="D48"/>
    <x v="2"/>
    <s v="City C"/>
    <n v="128"/>
    <n v="18"/>
    <x v="2"/>
    <x v="1"/>
    <x v="1"/>
    <x v="2"/>
    <x v="0"/>
    <d v="1899-12-30T11:28:00"/>
  </r>
  <r>
    <s v="2393"/>
    <s v="653 Oak St, Cityc"/>
    <d v="2023-09-08T00:00:00"/>
    <s v="September"/>
    <x v="3"/>
    <d v="1899-12-30T09:53:00"/>
    <x v="0"/>
    <x v="0"/>
    <s v="D48"/>
    <x v="0"/>
    <s v="City D"/>
    <n v="81"/>
    <n v="20"/>
    <x v="2"/>
    <x v="0"/>
    <x v="2"/>
    <x v="2"/>
    <x v="1"/>
    <d v="1899-12-30T14:20:00"/>
  </r>
  <r>
    <s v="1009"/>
    <s v="340 Main St, Citya"/>
    <d v="2023-09-01T00:00:00"/>
    <s v="September"/>
    <x v="3"/>
    <d v="1899-12-30T15:36:00"/>
    <x v="0"/>
    <x v="0"/>
    <s v="D49"/>
    <x v="1"/>
    <s v="City E"/>
    <n v="135"/>
    <n v="5"/>
    <x v="1"/>
    <x v="0"/>
    <x v="4"/>
    <x v="1"/>
    <x v="1"/>
    <d v="1899-12-30T15:35:00"/>
  </r>
  <r>
    <s v="1018"/>
    <s v="233 Oak St, Citya"/>
    <d v="2023-09-05T00:00:00"/>
    <s v="September"/>
    <x v="6"/>
    <d v="1899-12-30T10:43:00"/>
    <x v="1"/>
    <x v="1"/>
    <s v="D49"/>
    <x v="2"/>
    <s v="City C"/>
    <n v="167"/>
    <n v="1"/>
    <x v="2"/>
    <x v="1"/>
    <x v="3"/>
    <x v="1"/>
    <x v="0"/>
    <d v="1899-12-30T13:09:00"/>
  </r>
  <r>
    <s v="1278"/>
    <s v="603 Oak St, Citye"/>
    <d v="2023-09-08T00:00:00"/>
    <s v="September"/>
    <x v="3"/>
    <d v="1899-12-30T12:41:00"/>
    <x v="1"/>
    <x v="1"/>
    <s v="D49"/>
    <x v="1"/>
    <s v="City A"/>
    <n v="106"/>
    <n v="2"/>
    <x v="2"/>
    <x v="1"/>
    <x v="0"/>
    <x v="1"/>
    <x v="2"/>
    <d v="1899-12-30T08:32:00"/>
  </r>
  <r>
    <s v="1283"/>
    <s v="321 Cedar St, Cityb"/>
    <d v="2023-09-05T00:00:00"/>
    <s v="September"/>
    <x v="6"/>
    <d v="1899-12-30T14:38:00"/>
    <x v="1"/>
    <x v="1"/>
    <s v="D49"/>
    <x v="0"/>
    <s v="City E"/>
    <n v="60"/>
    <n v="21"/>
    <x v="2"/>
    <x v="1"/>
    <x v="0"/>
    <x v="0"/>
    <x v="0"/>
    <d v="1899-12-30T16:45:00"/>
  </r>
  <r>
    <s v="1349"/>
    <s v="718 Main St, Cityc"/>
    <d v="2023-09-04T00:00:00"/>
    <s v="September"/>
    <x v="1"/>
    <d v="1899-12-30T08:32:00"/>
    <x v="0"/>
    <x v="0"/>
    <s v="D49"/>
    <x v="2"/>
    <s v="City E"/>
    <n v="237"/>
    <n v="6"/>
    <x v="2"/>
    <x v="0"/>
    <x v="3"/>
    <x v="2"/>
    <x v="0"/>
    <d v="1899-12-30T15:52:00"/>
  </r>
  <r>
    <s v="1418"/>
    <s v="882 Oak St, Cityb"/>
    <d v="2023-09-03T00:00:00"/>
    <s v="September"/>
    <x v="0"/>
    <d v="1899-12-30T14:50:00"/>
    <x v="0"/>
    <x v="0"/>
    <s v="D49"/>
    <x v="2"/>
    <s v="City C"/>
    <n v="205"/>
    <n v="17"/>
    <x v="0"/>
    <x v="0"/>
    <x v="2"/>
    <x v="1"/>
    <x v="2"/>
    <d v="1899-12-30T14:49:00"/>
  </r>
  <r>
    <s v="1452"/>
    <s v="688 Oak St, Cityb"/>
    <d v="2023-09-03T00:00:00"/>
    <s v="September"/>
    <x v="0"/>
    <d v="1899-12-30T13:16:00"/>
    <x v="0"/>
    <x v="0"/>
    <s v="D49"/>
    <x v="2"/>
    <s v="City E"/>
    <n v="136"/>
    <n v="18"/>
    <x v="1"/>
    <x v="0"/>
    <x v="3"/>
    <x v="2"/>
    <x v="1"/>
    <d v="1899-12-30T14:11:00"/>
  </r>
  <r>
    <s v="1485"/>
    <s v="562 Pine St, Citye"/>
    <d v="2023-09-05T00:00:00"/>
    <s v="September"/>
    <x v="6"/>
    <d v="1899-12-30T13:16:00"/>
    <x v="1"/>
    <x v="1"/>
    <s v="D49"/>
    <x v="1"/>
    <s v="City D"/>
    <n v="183"/>
    <n v="15"/>
    <x v="1"/>
    <x v="1"/>
    <x v="0"/>
    <x v="2"/>
    <x v="1"/>
    <d v="1899-12-30T16:14:00"/>
  </r>
  <r>
    <s v="1577"/>
    <s v="149 Main St, Cityd"/>
    <d v="2023-09-05T00:00:00"/>
    <s v="September"/>
    <x v="6"/>
    <d v="1899-12-30T15:03:00"/>
    <x v="1"/>
    <x v="1"/>
    <s v="D49"/>
    <x v="1"/>
    <s v="City B"/>
    <n v="146"/>
    <n v="28"/>
    <x v="0"/>
    <x v="1"/>
    <x v="2"/>
    <x v="1"/>
    <x v="1"/>
    <d v="1899-12-30T13:25:00"/>
  </r>
  <r>
    <s v="1697"/>
    <s v="867 Main St, Cityd"/>
    <d v="2023-09-02T00:00:00"/>
    <s v="September"/>
    <x v="4"/>
    <d v="1899-12-30T16:03:00"/>
    <x v="1"/>
    <x v="1"/>
    <s v="D49"/>
    <x v="1"/>
    <s v="City E"/>
    <n v="136"/>
    <n v="21"/>
    <x v="2"/>
    <x v="1"/>
    <x v="0"/>
    <x v="2"/>
    <x v="2"/>
    <d v="1899-12-30T13:35:00"/>
  </r>
  <r>
    <s v="1845"/>
    <s v="621 Oak St, Cityb"/>
    <d v="2023-09-04T00:00:00"/>
    <s v="September"/>
    <x v="1"/>
    <d v="1899-12-30T09:27:00"/>
    <x v="1"/>
    <x v="1"/>
    <s v="D49"/>
    <x v="0"/>
    <s v="City E"/>
    <n v="109"/>
    <n v="21"/>
    <x v="0"/>
    <x v="1"/>
    <x v="2"/>
    <x v="1"/>
    <x v="2"/>
    <d v="1899-12-30T11:08:00"/>
  </r>
  <r>
    <s v="1952"/>
    <s v="681 Oak St, Cityc"/>
    <d v="2023-09-06T00:00:00"/>
    <s v="September"/>
    <x v="5"/>
    <d v="1899-12-30T09:41:00"/>
    <x v="0"/>
    <x v="0"/>
    <s v="D49"/>
    <x v="0"/>
    <s v="City E"/>
    <n v="172"/>
    <n v="24"/>
    <x v="1"/>
    <x v="0"/>
    <x v="2"/>
    <x v="2"/>
    <x v="1"/>
    <d v="1899-12-30T10:32:00"/>
  </r>
  <r>
    <s v="2227"/>
    <s v="518 Main St, Cityb"/>
    <d v="2023-09-05T00:00:00"/>
    <s v="September"/>
    <x v="6"/>
    <d v="1899-12-30T10:01:00"/>
    <x v="1"/>
    <x v="1"/>
    <s v="D49"/>
    <x v="0"/>
    <s v="City C"/>
    <n v="94"/>
    <n v="19"/>
    <x v="2"/>
    <x v="1"/>
    <x v="1"/>
    <x v="2"/>
    <x v="0"/>
    <d v="1899-12-30T17:21:00"/>
  </r>
  <r>
    <s v="2307"/>
    <s v="768 Main St, Citya"/>
    <d v="2023-09-06T00:00:00"/>
    <s v="September"/>
    <x v="5"/>
    <d v="1899-12-30T16:40:00"/>
    <x v="0"/>
    <x v="0"/>
    <s v="D49"/>
    <x v="1"/>
    <s v="City A"/>
    <n v="113"/>
    <n v="5"/>
    <x v="2"/>
    <x v="0"/>
    <x v="4"/>
    <x v="1"/>
    <x v="0"/>
    <d v="1899-12-30T14:51:00"/>
  </r>
  <r>
    <s v="2375"/>
    <s v="771 Elm St, Citya"/>
    <d v="2023-09-04T00:00:00"/>
    <s v="September"/>
    <x v="1"/>
    <d v="1899-12-30T16:41:00"/>
    <x v="1"/>
    <x v="1"/>
    <s v="D49"/>
    <x v="1"/>
    <s v="City E"/>
    <n v="176"/>
    <n v="15"/>
    <x v="2"/>
    <x v="1"/>
    <x v="3"/>
    <x v="0"/>
    <x v="2"/>
    <d v="1899-12-30T16:38:00"/>
  </r>
  <r>
    <s v="2475"/>
    <s v="555 Oak St, Citye"/>
    <d v="2023-09-02T00:00:00"/>
    <s v="September"/>
    <x v="4"/>
    <d v="1899-12-30T16:20:00"/>
    <x v="1"/>
    <x v="1"/>
    <s v="D49"/>
    <x v="1"/>
    <s v="City E"/>
    <n v="216"/>
    <n v="24"/>
    <x v="2"/>
    <x v="1"/>
    <x v="3"/>
    <x v="1"/>
    <x v="1"/>
    <d v="1899-12-30T08:50:00"/>
  </r>
  <r>
    <s v="1026"/>
    <s v="314 Main St, Citye"/>
    <d v="2023-09-04T00:00:00"/>
    <s v="September"/>
    <x v="1"/>
    <d v="1899-12-30T14:37:00"/>
    <x v="0"/>
    <x v="0"/>
    <s v="D5"/>
    <x v="0"/>
    <s v="City D"/>
    <n v="154"/>
    <n v="7"/>
    <x v="2"/>
    <x v="0"/>
    <x v="4"/>
    <x v="2"/>
    <x v="1"/>
    <d v="1899-12-30T09:45:00"/>
  </r>
  <r>
    <s v="1043"/>
    <s v="628 Oak St, Cityd"/>
    <d v="2023-09-05T00:00:00"/>
    <s v="September"/>
    <x v="6"/>
    <d v="1899-12-30T11:25:00"/>
    <x v="1"/>
    <x v="1"/>
    <s v="D5"/>
    <x v="1"/>
    <s v="City D"/>
    <n v="235"/>
    <n v="0"/>
    <x v="0"/>
    <x v="1"/>
    <x v="0"/>
    <x v="1"/>
    <x v="0"/>
    <d v="1899-12-30T15:03:00"/>
  </r>
  <r>
    <s v="1134"/>
    <s v="924 Main St, Cityb"/>
    <d v="2023-09-03T00:00:00"/>
    <s v="September"/>
    <x v="0"/>
    <d v="1899-12-30T15:14:00"/>
    <x v="0"/>
    <x v="0"/>
    <s v="D5"/>
    <x v="2"/>
    <s v="City A"/>
    <n v="140"/>
    <n v="0"/>
    <x v="0"/>
    <x v="0"/>
    <x v="2"/>
    <x v="2"/>
    <x v="0"/>
    <d v="1899-12-30T09:50:00"/>
  </r>
  <r>
    <s v="1194"/>
    <s v="164 Elm St, Cityb"/>
    <d v="2023-09-06T00:00:00"/>
    <s v="September"/>
    <x v="5"/>
    <d v="1899-12-30T08:36:00"/>
    <x v="1"/>
    <x v="1"/>
    <s v="D5"/>
    <x v="1"/>
    <s v="City C"/>
    <n v="234"/>
    <n v="8"/>
    <x v="1"/>
    <x v="1"/>
    <x v="1"/>
    <x v="0"/>
    <x v="1"/>
    <d v="1899-12-30T09:50:00"/>
  </r>
  <r>
    <s v="1275"/>
    <s v="774 Pine St, Citya"/>
    <d v="2023-09-02T00:00:00"/>
    <s v="September"/>
    <x v="4"/>
    <d v="1899-12-30T13:15:00"/>
    <x v="0"/>
    <x v="0"/>
    <s v="D5"/>
    <x v="2"/>
    <s v="City C"/>
    <n v="114"/>
    <n v="9"/>
    <x v="0"/>
    <x v="0"/>
    <x v="3"/>
    <x v="2"/>
    <x v="1"/>
    <d v="1899-12-30T09:32:00"/>
  </r>
  <r>
    <s v="1298"/>
    <s v="346 Elm St, Citya"/>
    <d v="2023-09-03T00:00:00"/>
    <s v="September"/>
    <x v="0"/>
    <d v="1899-12-30T08:53:00"/>
    <x v="0"/>
    <x v="0"/>
    <s v="D5"/>
    <x v="0"/>
    <s v="City B"/>
    <n v="155"/>
    <n v="3"/>
    <x v="1"/>
    <x v="0"/>
    <x v="4"/>
    <x v="0"/>
    <x v="1"/>
    <d v="1899-12-30T12:53:00"/>
  </r>
  <r>
    <s v="1299"/>
    <s v="510 Pine St, Cityb"/>
    <d v="2023-09-05T00:00:00"/>
    <s v="September"/>
    <x v="6"/>
    <d v="1899-12-30T08:40:00"/>
    <x v="1"/>
    <x v="1"/>
    <s v="D5"/>
    <x v="1"/>
    <s v="City A"/>
    <n v="153"/>
    <n v="2"/>
    <x v="1"/>
    <x v="1"/>
    <x v="0"/>
    <x v="0"/>
    <x v="0"/>
    <d v="1899-12-30T17:16:00"/>
  </r>
  <r>
    <s v="1340"/>
    <s v="495 Cedar St, Cityb"/>
    <d v="2023-09-07T00:00:00"/>
    <s v="September"/>
    <x v="2"/>
    <d v="1899-12-30T12:59:00"/>
    <x v="0"/>
    <x v="0"/>
    <s v="D5"/>
    <x v="1"/>
    <s v="City D"/>
    <n v="215"/>
    <n v="9"/>
    <x v="2"/>
    <x v="0"/>
    <x v="3"/>
    <x v="0"/>
    <x v="0"/>
    <d v="1899-12-30T09:05:00"/>
  </r>
  <r>
    <s v="1453"/>
    <s v="241 Pine St, Citya"/>
    <d v="2023-09-02T00:00:00"/>
    <s v="September"/>
    <x v="4"/>
    <d v="1899-12-30T12:08:00"/>
    <x v="0"/>
    <x v="0"/>
    <s v="D5"/>
    <x v="2"/>
    <s v="City D"/>
    <n v="235"/>
    <n v="27"/>
    <x v="2"/>
    <x v="0"/>
    <x v="2"/>
    <x v="1"/>
    <x v="0"/>
    <d v="1899-12-30T08:30:00"/>
  </r>
  <r>
    <s v="1505"/>
    <s v="635 Cedar St, Cityd"/>
    <d v="2023-09-04T00:00:00"/>
    <s v="September"/>
    <x v="1"/>
    <d v="1899-12-30T16:41:00"/>
    <x v="1"/>
    <x v="1"/>
    <s v="D5"/>
    <x v="1"/>
    <s v="City A"/>
    <n v="77"/>
    <n v="5"/>
    <x v="1"/>
    <x v="1"/>
    <x v="2"/>
    <x v="2"/>
    <x v="2"/>
    <d v="1899-12-30T11:37:00"/>
  </r>
  <r>
    <s v="1740"/>
    <s v="825 Main St, Cityb"/>
    <d v="2023-09-01T00:00:00"/>
    <s v="September"/>
    <x v="3"/>
    <d v="1899-12-30T10:14:00"/>
    <x v="0"/>
    <x v="0"/>
    <s v="D5"/>
    <x v="0"/>
    <s v="City A"/>
    <n v="159"/>
    <n v="28"/>
    <x v="1"/>
    <x v="0"/>
    <x v="4"/>
    <x v="2"/>
    <x v="1"/>
    <d v="1899-12-30T15:28:00"/>
  </r>
  <r>
    <s v="1791"/>
    <s v="225 Pine St, Cityb"/>
    <d v="2023-09-03T00:00:00"/>
    <s v="September"/>
    <x v="0"/>
    <d v="1899-12-30T08:55:00"/>
    <x v="0"/>
    <x v="0"/>
    <s v="D5"/>
    <x v="0"/>
    <s v="City D"/>
    <n v="140"/>
    <n v="9"/>
    <x v="1"/>
    <x v="0"/>
    <x v="2"/>
    <x v="2"/>
    <x v="1"/>
    <d v="1899-12-30T16:27:00"/>
  </r>
  <r>
    <s v="1930"/>
    <s v="477 Cedar St, Citya"/>
    <d v="2023-09-08T00:00:00"/>
    <s v="September"/>
    <x v="3"/>
    <d v="1899-12-30T09:54:00"/>
    <x v="0"/>
    <x v="0"/>
    <s v="D5"/>
    <x v="1"/>
    <s v="City B"/>
    <n v="232"/>
    <n v="24"/>
    <x v="2"/>
    <x v="0"/>
    <x v="2"/>
    <x v="2"/>
    <x v="1"/>
    <d v="1899-12-30T08:45:00"/>
  </r>
  <r>
    <s v="2077"/>
    <s v="421 Main St, Cityb"/>
    <d v="2023-09-08T00:00:00"/>
    <s v="September"/>
    <x v="3"/>
    <d v="1899-12-30T11:19:00"/>
    <x v="1"/>
    <x v="1"/>
    <s v="D5"/>
    <x v="2"/>
    <s v="City C"/>
    <n v="159"/>
    <n v="19"/>
    <x v="2"/>
    <x v="1"/>
    <x v="4"/>
    <x v="2"/>
    <x v="1"/>
    <d v="1899-12-30T13:55:00"/>
  </r>
  <r>
    <s v="2205"/>
    <s v="275 Elm St, Cityb"/>
    <d v="2023-09-02T00:00:00"/>
    <s v="September"/>
    <x v="4"/>
    <d v="1899-12-30T16:42:00"/>
    <x v="0"/>
    <x v="0"/>
    <s v="D5"/>
    <x v="1"/>
    <s v="City E"/>
    <n v="192"/>
    <n v="13"/>
    <x v="1"/>
    <x v="0"/>
    <x v="0"/>
    <x v="0"/>
    <x v="1"/>
    <d v="1899-12-30T13:30:00"/>
  </r>
  <r>
    <s v="2222"/>
    <s v="301 Elm St, Citya"/>
    <d v="2023-09-03T00:00:00"/>
    <s v="September"/>
    <x v="0"/>
    <d v="1899-12-30T14:46:00"/>
    <x v="0"/>
    <x v="0"/>
    <s v="D5"/>
    <x v="1"/>
    <s v="City E"/>
    <n v="229"/>
    <n v="18"/>
    <x v="0"/>
    <x v="0"/>
    <x v="2"/>
    <x v="1"/>
    <x v="0"/>
    <d v="1899-12-30T10:03:00"/>
  </r>
  <r>
    <s v="2401"/>
    <s v="569 Main St, Cityd"/>
    <d v="2023-09-02T00:00:00"/>
    <s v="September"/>
    <x v="4"/>
    <d v="1899-12-30T09:55:00"/>
    <x v="0"/>
    <x v="0"/>
    <s v="D5"/>
    <x v="1"/>
    <s v="City A"/>
    <n v="124"/>
    <n v="27"/>
    <x v="2"/>
    <x v="0"/>
    <x v="1"/>
    <x v="2"/>
    <x v="0"/>
    <d v="1899-12-30T10:33:00"/>
  </r>
  <r>
    <s v="1129"/>
    <s v="988 Oak St, Citya"/>
    <d v="2023-09-06T00:00:00"/>
    <s v="September"/>
    <x v="5"/>
    <d v="1899-12-30T13:41:00"/>
    <x v="1"/>
    <x v="1"/>
    <s v="D50"/>
    <x v="2"/>
    <s v="City B"/>
    <n v="195"/>
    <n v="22"/>
    <x v="2"/>
    <x v="1"/>
    <x v="1"/>
    <x v="2"/>
    <x v="0"/>
    <d v="1899-12-30T17:16:00"/>
  </r>
  <r>
    <s v="1248"/>
    <s v="647 Oak St, Citya"/>
    <d v="2023-09-04T00:00:00"/>
    <s v="September"/>
    <x v="1"/>
    <d v="1899-12-30T08:29:00"/>
    <x v="0"/>
    <x v="0"/>
    <s v="D50"/>
    <x v="1"/>
    <s v="City C"/>
    <n v="175"/>
    <n v="20"/>
    <x v="0"/>
    <x v="0"/>
    <x v="4"/>
    <x v="2"/>
    <x v="0"/>
    <d v="1899-12-30T17:43:00"/>
  </r>
  <r>
    <s v="1357"/>
    <s v="960 Oak St, Cityd"/>
    <d v="2023-09-02T00:00:00"/>
    <s v="September"/>
    <x v="4"/>
    <d v="1899-12-30T09:13:00"/>
    <x v="1"/>
    <x v="1"/>
    <s v="D50"/>
    <x v="2"/>
    <s v="City B"/>
    <n v="152"/>
    <n v="18"/>
    <x v="2"/>
    <x v="1"/>
    <x v="1"/>
    <x v="2"/>
    <x v="1"/>
    <d v="1899-12-30T11:31:00"/>
  </r>
  <r>
    <s v="1605"/>
    <s v="647 Main St, Cityc"/>
    <d v="2023-09-03T00:00:00"/>
    <s v="September"/>
    <x v="0"/>
    <d v="1899-12-30T09:20:00"/>
    <x v="1"/>
    <x v="1"/>
    <s v="D50"/>
    <x v="1"/>
    <s v="City E"/>
    <n v="119"/>
    <n v="14"/>
    <x v="1"/>
    <x v="1"/>
    <x v="1"/>
    <x v="1"/>
    <x v="0"/>
    <d v="1899-12-30T09:32:00"/>
  </r>
  <r>
    <s v="1629"/>
    <s v="990 Pine St, Citye"/>
    <d v="2023-09-06T00:00:00"/>
    <s v="September"/>
    <x v="5"/>
    <d v="1899-12-30T11:56:00"/>
    <x v="0"/>
    <x v="0"/>
    <s v="D50"/>
    <x v="1"/>
    <s v="City C"/>
    <n v="203"/>
    <n v="27"/>
    <x v="2"/>
    <x v="0"/>
    <x v="0"/>
    <x v="2"/>
    <x v="2"/>
    <d v="1899-12-30T14:42:00"/>
  </r>
  <r>
    <s v="1641"/>
    <s v="868 Main St, Cityc"/>
    <d v="2023-09-03T00:00:00"/>
    <s v="September"/>
    <x v="0"/>
    <d v="1899-12-30T14:58:00"/>
    <x v="0"/>
    <x v="0"/>
    <s v="D50"/>
    <x v="2"/>
    <s v="City D"/>
    <n v="132"/>
    <n v="9"/>
    <x v="0"/>
    <x v="0"/>
    <x v="0"/>
    <x v="0"/>
    <x v="1"/>
    <d v="1899-12-30T11:02:00"/>
  </r>
  <r>
    <s v="1857"/>
    <s v="82 Main St, Citye"/>
    <d v="2023-09-02T00:00:00"/>
    <s v="September"/>
    <x v="4"/>
    <d v="1899-12-30T13:49:00"/>
    <x v="1"/>
    <x v="1"/>
    <s v="D50"/>
    <x v="2"/>
    <s v="City E"/>
    <n v="141"/>
    <n v="7"/>
    <x v="2"/>
    <x v="1"/>
    <x v="2"/>
    <x v="1"/>
    <x v="0"/>
    <d v="1899-12-30T17:17:00"/>
  </r>
  <r>
    <s v="1902"/>
    <s v="405 Oak St, Citya"/>
    <d v="2023-09-04T00:00:00"/>
    <s v="September"/>
    <x v="1"/>
    <d v="1899-12-30T11:07:00"/>
    <x v="0"/>
    <x v="0"/>
    <s v="D50"/>
    <x v="1"/>
    <s v="City E"/>
    <n v="158"/>
    <n v="24"/>
    <x v="2"/>
    <x v="0"/>
    <x v="1"/>
    <x v="2"/>
    <x v="0"/>
    <d v="1899-12-30T16:04:00"/>
  </r>
  <r>
    <s v="2058"/>
    <s v="877 Cedar St, Citye"/>
    <d v="2023-09-06T00:00:00"/>
    <s v="September"/>
    <x v="5"/>
    <d v="1899-12-30T10:57:00"/>
    <x v="0"/>
    <x v="0"/>
    <s v="D50"/>
    <x v="0"/>
    <s v="City B"/>
    <n v="127"/>
    <n v="22"/>
    <x v="1"/>
    <x v="0"/>
    <x v="2"/>
    <x v="2"/>
    <x v="1"/>
    <d v="1899-12-30T11:10:00"/>
  </r>
  <r>
    <s v="2102"/>
    <s v="22 Oak St, Cityb"/>
    <d v="2023-09-02T00:00:00"/>
    <s v="September"/>
    <x v="4"/>
    <d v="1899-12-30T14:36:00"/>
    <x v="0"/>
    <x v="0"/>
    <s v="D50"/>
    <x v="1"/>
    <s v="City D"/>
    <n v="203"/>
    <n v="5"/>
    <x v="2"/>
    <x v="0"/>
    <x v="3"/>
    <x v="1"/>
    <x v="1"/>
    <d v="1899-12-30T16:26:00"/>
  </r>
  <r>
    <s v="2176"/>
    <s v="908 Elm St, Cityd"/>
    <d v="2023-09-06T00:00:00"/>
    <s v="September"/>
    <x v="5"/>
    <d v="1899-12-30T10:56:00"/>
    <x v="0"/>
    <x v="0"/>
    <s v="D50"/>
    <x v="0"/>
    <s v="City D"/>
    <n v="105"/>
    <n v="29"/>
    <x v="2"/>
    <x v="0"/>
    <x v="0"/>
    <x v="1"/>
    <x v="2"/>
    <d v="1899-12-30T09:05:00"/>
  </r>
  <r>
    <s v="2223"/>
    <s v="685 Main St, Cityd"/>
    <d v="2023-09-03T00:00:00"/>
    <s v="September"/>
    <x v="0"/>
    <d v="1899-12-30T11:18:00"/>
    <x v="1"/>
    <x v="1"/>
    <s v="D50"/>
    <x v="1"/>
    <s v="City B"/>
    <n v="123"/>
    <n v="19"/>
    <x v="1"/>
    <x v="1"/>
    <x v="1"/>
    <x v="1"/>
    <x v="2"/>
    <d v="1899-12-30T08:30:00"/>
  </r>
  <r>
    <s v="2236"/>
    <s v="994 Oak St, Cityb"/>
    <d v="2023-09-04T00:00:00"/>
    <s v="September"/>
    <x v="1"/>
    <d v="1899-12-30T10:32:00"/>
    <x v="0"/>
    <x v="0"/>
    <s v="D50"/>
    <x v="1"/>
    <s v="City E"/>
    <n v="156"/>
    <n v="13"/>
    <x v="1"/>
    <x v="0"/>
    <x v="4"/>
    <x v="0"/>
    <x v="1"/>
    <d v="1899-12-30T16:26:00"/>
  </r>
  <r>
    <s v="2260"/>
    <s v="537 Main St, Cityb"/>
    <d v="2023-09-07T00:00:00"/>
    <s v="September"/>
    <x v="2"/>
    <d v="1899-12-30T16:58:00"/>
    <x v="1"/>
    <x v="1"/>
    <s v="D50"/>
    <x v="1"/>
    <s v="City A"/>
    <n v="66"/>
    <n v="8"/>
    <x v="1"/>
    <x v="1"/>
    <x v="1"/>
    <x v="1"/>
    <x v="0"/>
    <d v="1899-12-30T12:51:00"/>
  </r>
  <r>
    <s v="2314"/>
    <s v="218 Elm St, Cityc"/>
    <d v="2023-09-01T00:00:00"/>
    <s v="September"/>
    <x v="3"/>
    <d v="1899-12-30T09:53:00"/>
    <x v="0"/>
    <x v="0"/>
    <s v="D50"/>
    <x v="0"/>
    <s v="City E"/>
    <n v="132"/>
    <n v="28"/>
    <x v="1"/>
    <x v="0"/>
    <x v="0"/>
    <x v="0"/>
    <x v="2"/>
    <d v="1899-12-30T11:35:00"/>
  </r>
  <r>
    <s v="2385"/>
    <s v="664 Oak St, Citya"/>
    <d v="2023-09-01T00:00:00"/>
    <s v="September"/>
    <x v="3"/>
    <d v="1899-12-30T13:58:00"/>
    <x v="0"/>
    <x v="0"/>
    <s v="D50"/>
    <x v="1"/>
    <s v="City D"/>
    <n v="114"/>
    <n v="8"/>
    <x v="2"/>
    <x v="0"/>
    <x v="4"/>
    <x v="1"/>
    <x v="2"/>
    <d v="1899-12-30T14:21:00"/>
  </r>
  <r>
    <s v="2414"/>
    <s v="476 Main St, Cityb"/>
    <d v="2023-09-01T00:00:00"/>
    <s v="September"/>
    <x v="3"/>
    <d v="1899-12-30T15:51:00"/>
    <x v="1"/>
    <x v="1"/>
    <s v="D50"/>
    <x v="0"/>
    <s v="City E"/>
    <n v="126"/>
    <n v="12"/>
    <x v="1"/>
    <x v="1"/>
    <x v="0"/>
    <x v="0"/>
    <x v="0"/>
    <d v="1899-12-30T09:07:00"/>
  </r>
  <r>
    <s v="2447"/>
    <s v="182 Cedar St, Cityc"/>
    <d v="2023-09-02T00:00:00"/>
    <s v="September"/>
    <x v="4"/>
    <d v="1899-12-30T13:51:00"/>
    <x v="1"/>
    <x v="1"/>
    <s v="D50"/>
    <x v="2"/>
    <s v="City C"/>
    <n v="228"/>
    <n v="19"/>
    <x v="2"/>
    <x v="1"/>
    <x v="0"/>
    <x v="1"/>
    <x v="2"/>
    <d v="1899-12-30T14:16:00"/>
  </r>
  <r>
    <s v="1181"/>
    <s v="252 Elm St, Cityd"/>
    <d v="2023-09-02T00:00:00"/>
    <s v="September"/>
    <x v="4"/>
    <d v="1899-12-30T10:02:00"/>
    <x v="1"/>
    <x v="1"/>
    <s v="D51"/>
    <x v="0"/>
    <s v="City D"/>
    <n v="87"/>
    <n v="23"/>
    <x v="2"/>
    <x v="1"/>
    <x v="4"/>
    <x v="2"/>
    <x v="0"/>
    <d v="1899-12-30T11:08:00"/>
  </r>
  <r>
    <s v="1304"/>
    <s v="993 Main St, Cityc"/>
    <d v="2023-09-05T00:00:00"/>
    <s v="September"/>
    <x v="6"/>
    <d v="1899-12-30T16:32:00"/>
    <x v="0"/>
    <x v="0"/>
    <s v="D51"/>
    <x v="0"/>
    <s v="City E"/>
    <n v="185"/>
    <n v="5"/>
    <x v="2"/>
    <x v="0"/>
    <x v="3"/>
    <x v="2"/>
    <x v="2"/>
    <d v="1899-12-30T14:33:00"/>
  </r>
  <r>
    <s v="1396"/>
    <s v="596 Oak St, Citye"/>
    <d v="2023-09-07T00:00:00"/>
    <s v="September"/>
    <x v="2"/>
    <d v="1899-12-30T11:53:00"/>
    <x v="1"/>
    <x v="1"/>
    <s v="D51"/>
    <x v="2"/>
    <s v="City C"/>
    <n v="146"/>
    <n v="29"/>
    <x v="1"/>
    <x v="1"/>
    <x v="4"/>
    <x v="0"/>
    <x v="0"/>
    <d v="1899-12-30T17:08:00"/>
  </r>
  <r>
    <s v="1524"/>
    <s v="11 Elm St, Citye"/>
    <d v="2023-09-05T00:00:00"/>
    <s v="September"/>
    <x v="6"/>
    <d v="1899-12-30T11:57:00"/>
    <x v="1"/>
    <x v="1"/>
    <s v="D51"/>
    <x v="2"/>
    <s v="City B"/>
    <n v="79"/>
    <n v="29"/>
    <x v="2"/>
    <x v="1"/>
    <x v="1"/>
    <x v="2"/>
    <x v="1"/>
    <d v="1899-12-30T12:15:00"/>
  </r>
  <r>
    <s v="1738"/>
    <s v="537 Pine St, Cityb"/>
    <d v="2023-09-08T00:00:00"/>
    <s v="September"/>
    <x v="3"/>
    <d v="1899-12-30T08:58:00"/>
    <x v="1"/>
    <x v="1"/>
    <s v="D51"/>
    <x v="1"/>
    <s v="City E"/>
    <n v="186"/>
    <n v="13"/>
    <x v="2"/>
    <x v="1"/>
    <x v="0"/>
    <x v="0"/>
    <x v="1"/>
    <d v="1899-12-30T15:55:00"/>
  </r>
  <r>
    <s v="1789"/>
    <s v="68 Elm St, Citya"/>
    <d v="2023-09-02T00:00:00"/>
    <s v="September"/>
    <x v="4"/>
    <d v="1899-12-30T14:43:00"/>
    <x v="0"/>
    <x v="0"/>
    <s v="D51"/>
    <x v="1"/>
    <s v="City A"/>
    <n v="181"/>
    <n v="13"/>
    <x v="1"/>
    <x v="0"/>
    <x v="1"/>
    <x v="2"/>
    <x v="0"/>
    <d v="1899-12-30T10:24:00"/>
  </r>
  <r>
    <s v="1895"/>
    <s v="643 Main St, Cityd"/>
    <d v="2023-09-08T00:00:00"/>
    <s v="September"/>
    <x v="3"/>
    <d v="1899-12-30T10:20:00"/>
    <x v="0"/>
    <x v="0"/>
    <s v="D51"/>
    <x v="0"/>
    <s v="City A"/>
    <n v="181"/>
    <n v="11"/>
    <x v="0"/>
    <x v="0"/>
    <x v="3"/>
    <x v="2"/>
    <x v="0"/>
    <d v="1899-12-30T13:34:00"/>
  </r>
  <r>
    <s v="1899"/>
    <s v="229 Pine St, Cityc"/>
    <d v="2023-09-07T00:00:00"/>
    <s v="September"/>
    <x v="2"/>
    <d v="1899-12-30T11:48:00"/>
    <x v="1"/>
    <x v="1"/>
    <s v="D51"/>
    <x v="2"/>
    <s v="City E"/>
    <n v="103"/>
    <n v="6"/>
    <x v="1"/>
    <x v="1"/>
    <x v="1"/>
    <x v="2"/>
    <x v="1"/>
    <d v="1899-12-30T10:40:00"/>
  </r>
  <r>
    <s v="2216"/>
    <s v="474 Main St, Cityd"/>
    <d v="2023-09-08T00:00:00"/>
    <s v="September"/>
    <x v="3"/>
    <d v="1899-12-30T10:36:00"/>
    <x v="0"/>
    <x v="0"/>
    <s v="D51"/>
    <x v="1"/>
    <s v="City D"/>
    <n v="161"/>
    <n v="3"/>
    <x v="1"/>
    <x v="0"/>
    <x v="0"/>
    <x v="1"/>
    <x v="2"/>
    <d v="1899-12-30T16:34:00"/>
  </r>
  <r>
    <s v="2220"/>
    <s v="413 Elm St, Cityc"/>
    <d v="2023-09-07T00:00:00"/>
    <s v="September"/>
    <x v="2"/>
    <d v="1899-12-30T14:18:00"/>
    <x v="1"/>
    <x v="1"/>
    <s v="D51"/>
    <x v="1"/>
    <s v="City D"/>
    <n v="219"/>
    <n v="21"/>
    <x v="1"/>
    <x v="1"/>
    <x v="2"/>
    <x v="2"/>
    <x v="2"/>
    <d v="1899-12-30T17:32:00"/>
  </r>
  <r>
    <s v="2232"/>
    <s v="625 Main St, Cityc"/>
    <d v="2023-09-02T00:00:00"/>
    <s v="September"/>
    <x v="4"/>
    <d v="1899-12-30T16:58:00"/>
    <x v="1"/>
    <x v="1"/>
    <s v="D51"/>
    <x v="1"/>
    <s v="City B"/>
    <n v="140"/>
    <n v="22"/>
    <x v="1"/>
    <x v="1"/>
    <x v="2"/>
    <x v="1"/>
    <x v="2"/>
    <d v="1899-12-30T12:30:00"/>
  </r>
  <r>
    <s v="2456"/>
    <s v="922 Pine St, Citye"/>
    <d v="2023-09-06T00:00:00"/>
    <s v="September"/>
    <x v="5"/>
    <d v="1899-12-30T12:58:00"/>
    <x v="1"/>
    <x v="1"/>
    <s v="D51"/>
    <x v="0"/>
    <s v="City A"/>
    <n v="147"/>
    <n v="5"/>
    <x v="0"/>
    <x v="1"/>
    <x v="1"/>
    <x v="1"/>
    <x v="0"/>
    <d v="1899-12-30T12:25:00"/>
  </r>
  <r>
    <s v="1083"/>
    <s v="5 Elm St, Cityc"/>
    <d v="2023-09-08T00:00:00"/>
    <s v="September"/>
    <x v="3"/>
    <d v="1899-12-30T13:21:00"/>
    <x v="0"/>
    <x v="0"/>
    <s v="D52"/>
    <x v="1"/>
    <s v="City A"/>
    <n v="63"/>
    <n v="19"/>
    <x v="2"/>
    <x v="0"/>
    <x v="0"/>
    <x v="1"/>
    <x v="2"/>
    <d v="1899-12-30T10:22:00"/>
  </r>
  <r>
    <s v="1157"/>
    <s v="905 Pine St, Cityd"/>
    <d v="2023-09-01T00:00:00"/>
    <s v="September"/>
    <x v="3"/>
    <d v="1899-12-30T08:51:00"/>
    <x v="0"/>
    <x v="0"/>
    <s v="D52"/>
    <x v="1"/>
    <s v="City D"/>
    <n v="147"/>
    <n v="10"/>
    <x v="0"/>
    <x v="0"/>
    <x v="2"/>
    <x v="1"/>
    <x v="1"/>
    <d v="1899-12-30T10:26:00"/>
  </r>
  <r>
    <s v="1290"/>
    <s v="430 Main St, Cityb"/>
    <d v="2023-09-05T00:00:00"/>
    <s v="September"/>
    <x v="6"/>
    <d v="1899-12-30T11:47:00"/>
    <x v="1"/>
    <x v="1"/>
    <s v="D52"/>
    <x v="0"/>
    <s v="City B"/>
    <n v="193"/>
    <n v="26"/>
    <x v="0"/>
    <x v="1"/>
    <x v="4"/>
    <x v="1"/>
    <x v="0"/>
    <d v="1899-12-30T15:54:00"/>
  </r>
  <r>
    <s v="1467"/>
    <s v="834 Pine St, Citye"/>
    <d v="2023-09-05T00:00:00"/>
    <s v="September"/>
    <x v="6"/>
    <d v="1899-12-30T11:42:00"/>
    <x v="0"/>
    <x v="0"/>
    <s v="D52"/>
    <x v="1"/>
    <s v="City E"/>
    <n v="207"/>
    <n v="18"/>
    <x v="1"/>
    <x v="0"/>
    <x v="0"/>
    <x v="1"/>
    <x v="1"/>
    <d v="1899-12-30T15:51:00"/>
  </r>
  <r>
    <s v="1516"/>
    <s v="487 Oak St, Citye"/>
    <d v="2023-09-07T00:00:00"/>
    <s v="September"/>
    <x v="2"/>
    <d v="1899-12-30T08:04:00"/>
    <x v="1"/>
    <x v="1"/>
    <s v="D52"/>
    <x v="0"/>
    <s v="City B"/>
    <n v="172"/>
    <n v="3"/>
    <x v="2"/>
    <x v="1"/>
    <x v="0"/>
    <x v="2"/>
    <x v="1"/>
    <d v="1899-12-30T10:01:00"/>
  </r>
  <r>
    <s v="1582"/>
    <s v="62 Pine St, Citya"/>
    <d v="2023-09-01T00:00:00"/>
    <s v="September"/>
    <x v="3"/>
    <d v="1899-12-30T16:08:00"/>
    <x v="1"/>
    <x v="1"/>
    <s v="D52"/>
    <x v="1"/>
    <s v="City A"/>
    <n v="217"/>
    <n v="12"/>
    <x v="0"/>
    <x v="1"/>
    <x v="3"/>
    <x v="2"/>
    <x v="0"/>
    <d v="1899-12-30T11:32:00"/>
  </r>
  <r>
    <s v="1600"/>
    <s v="946 Cedar St, Citye"/>
    <d v="2023-09-06T00:00:00"/>
    <s v="September"/>
    <x v="5"/>
    <d v="1899-12-30T08:50:00"/>
    <x v="1"/>
    <x v="1"/>
    <s v="D52"/>
    <x v="0"/>
    <s v="City B"/>
    <n v="110"/>
    <n v="20"/>
    <x v="2"/>
    <x v="1"/>
    <x v="2"/>
    <x v="0"/>
    <x v="0"/>
    <d v="1899-12-30T16:15:00"/>
  </r>
  <r>
    <s v="1706"/>
    <s v="420 Oak St, Cityb"/>
    <d v="2023-09-03T00:00:00"/>
    <s v="September"/>
    <x v="0"/>
    <d v="1899-12-30T14:48:00"/>
    <x v="1"/>
    <x v="1"/>
    <s v="D52"/>
    <x v="1"/>
    <s v="City C"/>
    <n v="206"/>
    <n v="27"/>
    <x v="2"/>
    <x v="1"/>
    <x v="2"/>
    <x v="2"/>
    <x v="2"/>
    <d v="1899-12-30T10:11:00"/>
  </r>
  <r>
    <s v="1905"/>
    <s v="407 Main St, Cityd"/>
    <d v="2023-09-07T00:00:00"/>
    <s v="September"/>
    <x v="2"/>
    <d v="1899-12-30T16:49:00"/>
    <x v="1"/>
    <x v="1"/>
    <s v="D52"/>
    <x v="1"/>
    <s v="City E"/>
    <n v="108"/>
    <n v="23"/>
    <x v="2"/>
    <x v="1"/>
    <x v="3"/>
    <x v="0"/>
    <x v="1"/>
    <d v="1899-12-30T17:18:00"/>
  </r>
  <r>
    <s v="1972"/>
    <s v="336 Elm St, Citya"/>
    <d v="2023-09-03T00:00:00"/>
    <s v="September"/>
    <x v="0"/>
    <d v="1899-12-30T10:27:00"/>
    <x v="0"/>
    <x v="0"/>
    <s v="D52"/>
    <x v="2"/>
    <s v="City D"/>
    <n v="93"/>
    <n v="6"/>
    <x v="1"/>
    <x v="0"/>
    <x v="1"/>
    <x v="1"/>
    <x v="0"/>
    <d v="1899-12-30T10:57:00"/>
  </r>
  <r>
    <s v="2017"/>
    <s v="991 Elm St, Cityb"/>
    <d v="2023-09-07T00:00:00"/>
    <s v="September"/>
    <x v="2"/>
    <d v="1899-12-30T10:36:00"/>
    <x v="0"/>
    <x v="0"/>
    <s v="D52"/>
    <x v="1"/>
    <s v="City D"/>
    <n v="193"/>
    <n v="27"/>
    <x v="1"/>
    <x v="0"/>
    <x v="1"/>
    <x v="2"/>
    <x v="2"/>
    <d v="1899-12-30T16:27:00"/>
  </r>
  <r>
    <s v="2018"/>
    <s v="729 Main St, Cityb"/>
    <d v="2023-09-04T00:00:00"/>
    <s v="September"/>
    <x v="1"/>
    <d v="1899-12-30T11:20:00"/>
    <x v="1"/>
    <x v="1"/>
    <s v="D52"/>
    <x v="2"/>
    <s v="City B"/>
    <n v="219"/>
    <n v="14"/>
    <x v="0"/>
    <x v="1"/>
    <x v="1"/>
    <x v="0"/>
    <x v="0"/>
    <d v="1899-12-30T16:53:00"/>
  </r>
  <r>
    <s v="2042"/>
    <s v="601 Pine St, Cityc"/>
    <d v="2023-09-05T00:00:00"/>
    <s v="September"/>
    <x v="6"/>
    <d v="1899-12-30T11:36:00"/>
    <x v="1"/>
    <x v="1"/>
    <s v="D52"/>
    <x v="2"/>
    <s v="City C"/>
    <n v="238"/>
    <n v="8"/>
    <x v="0"/>
    <x v="1"/>
    <x v="0"/>
    <x v="0"/>
    <x v="1"/>
    <d v="1899-12-30T11:36:00"/>
  </r>
  <r>
    <s v="2317"/>
    <s v="708 Main St, Citye"/>
    <d v="2023-09-01T00:00:00"/>
    <s v="September"/>
    <x v="3"/>
    <d v="1899-12-30T14:18:00"/>
    <x v="0"/>
    <x v="0"/>
    <s v="D52"/>
    <x v="0"/>
    <s v="City C"/>
    <n v="67"/>
    <n v="26"/>
    <x v="0"/>
    <x v="0"/>
    <x v="0"/>
    <x v="2"/>
    <x v="0"/>
    <d v="1899-12-30T11:51:00"/>
  </r>
  <r>
    <s v="2459"/>
    <s v="554 Elm St, Citya"/>
    <d v="2023-09-01T00:00:00"/>
    <s v="September"/>
    <x v="3"/>
    <d v="1899-12-30T15:29:00"/>
    <x v="0"/>
    <x v="0"/>
    <s v="D52"/>
    <x v="2"/>
    <s v="City A"/>
    <n v="194"/>
    <n v="24"/>
    <x v="1"/>
    <x v="0"/>
    <x v="0"/>
    <x v="0"/>
    <x v="0"/>
    <d v="1899-12-30T12:34:00"/>
  </r>
  <r>
    <s v="2487"/>
    <s v="469 Main St, Cityd"/>
    <d v="2023-09-01T00:00:00"/>
    <s v="September"/>
    <x v="3"/>
    <d v="1899-12-30T11:51:00"/>
    <x v="1"/>
    <x v="1"/>
    <s v="D52"/>
    <x v="0"/>
    <s v="City B"/>
    <n v="211"/>
    <n v="26"/>
    <x v="1"/>
    <x v="1"/>
    <x v="2"/>
    <x v="0"/>
    <x v="1"/>
    <d v="1899-12-30T16:33:00"/>
  </r>
  <r>
    <s v="1010"/>
    <s v="969 Pine St, Citye"/>
    <d v="2023-09-02T00:00:00"/>
    <s v="September"/>
    <x v="4"/>
    <d v="1899-12-30T08:43:00"/>
    <x v="1"/>
    <x v="1"/>
    <s v="D53"/>
    <x v="1"/>
    <s v="City B"/>
    <n v="233"/>
    <n v="19"/>
    <x v="0"/>
    <x v="1"/>
    <x v="4"/>
    <x v="1"/>
    <x v="1"/>
    <d v="1899-12-30T09:30:00"/>
  </r>
  <r>
    <s v="1024"/>
    <s v="987 Cedar St, Citya"/>
    <d v="2023-09-06T00:00:00"/>
    <s v="September"/>
    <x v="5"/>
    <d v="1899-12-30T15:11:00"/>
    <x v="1"/>
    <x v="1"/>
    <s v="D53"/>
    <x v="0"/>
    <s v="City B"/>
    <n v="78"/>
    <n v="29"/>
    <x v="0"/>
    <x v="1"/>
    <x v="4"/>
    <x v="2"/>
    <x v="0"/>
    <d v="1899-12-30T08:31:00"/>
  </r>
  <r>
    <s v="1038"/>
    <s v="827 Oak St, Cityc"/>
    <d v="2023-09-08T00:00:00"/>
    <s v="September"/>
    <x v="3"/>
    <d v="1899-12-30T09:58:00"/>
    <x v="0"/>
    <x v="0"/>
    <s v="D53"/>
    <x v="0"/>
    <s v="City D"/>
    <n v="95"/>
    <n v="22"/>
    <x v="2"/>
    <x v="0"/>
    <x v="2"/>
    <x v="0"/>
    <x v="0"/>
    <d v="1899-12-30T09:42:00"/>
  </r>
  <r>
    <s v="1078"/>
    <s v="914 Elm St, Cityc"/>
    <d v="2023-09-04T00:00:00"/>
    <s v="September"/>
    <x v="1"/>
    <d v="1899-12-30T13:40:00"/>
    <x v="0"/>
    <x v="0"/>
    <s v="D53"/>
    <x v="0"/>
    <s v="City A"/>
    <n v="232"/>
    <n v="21"/>
    <x v="1"/>
    <x v="0"/>
    <x v="3"/>
    <x v="0"/>
    <x v="1"/>
    <d v="1899-12-30T11:24:00"/>
  </r>
  <r>
    <s v="1251"/>
    <s v="941 Main St, Cityb"/>
    <d v="2023-09-04T00:00:00"/>
    <s v="September"/>
    <x v="1"/>
    <d v="1899-12-30T15:19:00"/>
    <x v="1"/>
    <x v="1"/>
    <s v="D53"/>
    <x v="0"/>
    <s v="City A"/>
    <n v="79"/>
    <n v="26"/>
    <x v="2"/>
    <x v="1"/>
    <x v="3"/>
    <x v="1"/>
    <x v="2"/>
    <d v="1899-12-30T10:46:00"/>
  </r>
  <r>
    <s v="1312"/>
    <s v="646 Oak St, Citye"/>
    <d v="2023-09-01T00:00:00"/>
    <s v="September"/>
    <x v="3"/>
    <d v="1899-12-30T15:59:00"/>
    <x v="0"/>
    <x v="0"/>
    <s v="D53"/>
    <x v="1"/>
    <s v="City E"/>
    <n v="69"/>
    <n v="20"/>
    <x v="2"/>
    <x v="0"/>
    <x v="2"/>
    <x v="2"/>
    <x v="2"/>
    <d v="1899-12-30T12:13:00"/>
  </r>
  <r>
    <s v="1369"/>
    <s v="41 Cedar St, Citya"/>
    <d v="2023-09-01T00:00:00"/>
    <s v="September"/>
    <x v="3"/>
    <d v="1899-12-30T14:20:00"/>
    <x v="1"/>
    <x v="1"/>
    <s v="D53"/>
    <x v="2"/>
    <s v="City E"/>
    <n v="155"/>
    <n v="2"/>
    <x v="2"/>
    <x v="1"/>
    <x v="4"/>
    <x v="1"/>
    <x v="1"/>
    <d v="1899-12-30T13:32:00"/>
  </r>
  <r>
    <s v="1383"/>
    <s v="246 Main St, Citye"/>
    <d v="2023-09-07T00:00:00"/>
    <s v="September"/>
    <x v="2"/>
    <d v="1899-12-30T14:16:00"/>
    <x v="0"/>
    <x v="0"/>
    <s v="D53"/>
    <x v="0"/>
    <s v="City E"/>
    <n v="152"/>
    <n v="18"/>
    <x v="0"/>
    <x v="0"/>
    <x v="2"/>
    <x v="0"/>
    <x v="2"/>
    <d v="1899-12-30T09:25:00"/>
  </r>
  <r>
    <s v="1433"/>
    <s v="287 Pine St, Citya"/>
    <d v="2023-09-02T00:00:00"/>
    <s v="September"/>
    <x v="4"/>
    <d v="1899-12-30T12:45:00"/>
    <x v="1"/>
    <x v="1"/>
    <s v="D53"/>
    <x v="2"/>
    <s v="City A"/>
    <n v="144"/>
    <n v="2"/>
    <x v="2"/>
    <x v="1"/>
    <x v="0"/>
    <x v="1"/>
    <x v="0"/>
    <d v="1899-12-30T10:44:00"/>
  </r>
  <r>
    <s v="1474"/>
    <s v="519 Elm St, Citye"/>
    <d v="2023-09-04T00:00:00"/>
    <s v="September"/>
    <x v="1"/>
    <d v="1899-12-30T12:21:00"/>
    <x v="0"/>
    <x v="0"/>
    <s v="D53"/>
    <x v="2"/>
    <s v="City E"/>
    <n v="97"/>
    <n v="23"/>
    <x v="2"/>
    <x v="0"/>
    <x v="0"/>
    <x v="1"/>
    <x v="1"/>
    <d v="1899-12-30T13:40:00"/>
  </r>
  <r>
    <s v="1546"/>
    <s v="376 Pine St, Citya"/>
    <d v="2023-09-01T00:00:00"/>
    <s v="September"/>
    <x v="3"/>
    <d v="1899-12-30T15:02:00"/>
    <x v="0"/>
    <x v="0"/>
    <s v="D53"/>
    <x v="2"/>
    <s v="City A"/>
    <n v="130"/>
    <n v="3"/>
    <x v="0"/>
    <x v="0"/>
    <x v="3"/>
    <x v="1"/>
    <x v="2"/>
    <d v="1899-12-30T16:06:00"/>
  </r>
  <r>
    <s v="1692"/>
    <s v="357 Elm St, Cityc"/>
    <d v="2023-09-06T00:00:00"/>
    <s v="September"/>
    <x v="5"/>
    <d v="1899-12-30T10:02:00"/>
    <x v="0"/>
    <x v="0"/>
    <s v="D53"/>
    <x v="2"/>
    <s v="City D"/>
    <n v="114"/>
    <n v="14"/>
    <x v="0"/>
    <x v="0"/>
    <x v="3"/>
    <x v="1"/>
    <x v="1"/>
    <d v="1899-12-30T17:17:00"/>
  </r>
  <r>
    <s v="1693"/>
    <s v="376 Oak St, Cityd"/>
    <d v="2023-09-01T00:00:00"/>
    <s v="September"/>
    <x v="3"/>
    <d v="1899-12-30T14:04:00"/>
    <x v="0"/>
    <x v="0"/>
    <s v="D53"/>
    <x v="0"/>
    <s v="City C"/>
    <n v="199"/>
    <n v="21"/>
    <x v="1"/>
    <x v="0"/>
    <x v="2"/>
    <x v="1"/>
    <x v="0"/>
    <d v="1899-12-30T11:27:00"/>
  </r>
  <r>
    <s v="1755"/>
    <s v="134 Pine St, Citya"/>
    <d v="2023-09-07T00:00:00"/>
    <s v="September"/>
    <x v="2"/>
    <d v="1899-12-30T09:35:00"/>
    <x v="0"/>
    <x v="0"/>
    <s v="D53"/>
    <x v="0"/>
    <s v="City B"/>
    <n v="143"/>
    <n v="11"/>
    <x v="2"/>
    <x v="0"/>
    <x v="4"/>
    <x v="0"/>
    <x v="1"/>
    <d v="1899-12-30T13:23:00"/>
  </r>
  <r>
    <s v="1800"/>
    <s v="797 Elm St, Cityb"/>
    <d v="2023-09-06T00:00:00"/>
    <s v="September"/>
    <x v="5"/>
    <d v="1899-12-30T13:25:00"/>
    <x v="0"/>
    <x v="0"/>
    <s v="D53"/>
    <x v="2"/>
    <s v="City A"/>
    <n v="87"/>
    <n v="14"/>
    <x v="1"/>
    <x v="0"/>
    <x v="4"/>
    <x v="0"/>
    <x v="1"/>
    <d v="1899-12-30T16:37:00"/>
  </r>
  <r>
    <s v="1882"/>
    <s v="40 Main St, Cityc"/>
    <d v="2023-09-08T00:00:00"/>
    <s v="September"/>
    <x v="3"/>
    <d v="1899-12-30T11:57:00"/>
    <x v="0"/>
    <x v="0"/>
    <s v="D53"/>
    <x v="0"/>
    <s v="City E"/>
    <n v="228"/>
    <n v="13"/>
    <x v="0"/>
    <x v="0"/>
    <x v="3"/>
    <x v="0"/>
    <x v="2"/>
    <d v="1899-12-30T16:08:00"/>
  </r>
  <r>
    <s v="1912"/>
    <s v="799 Main St, Cityb"/>
    <d v="2023-09-04T00:00:00"/>
    <s v="September"/>
    <x v="1"/>
    <d v="1899-12-30T15:14:00"/>
    <x v="1"/>
    <x v="1"/>
    <s v="D53"/>
    <x v="0"/>
    <s v="City C"/>
    <n v="85"/>
    <n v="2"/>
    <x v="0"/>
    <x v="1"/>
    <x v="0"/>
    <x v="1"/>
    <x v="0"/>
    <d v="1899-12-30T10:06:00"/>
  </r>
  <r>
    <s v="1931"/>
    <s v="493 Cedar St, Cityc"/>
    <d v="2023-09-05T00:00:00"/>
    <s v="September"/>
    <x v="6"/>
    <d v="1899-12-30T14:59:00"/>
    <x v="1"/>
    <x v="1"/>
    <s v="D53"/>
    <x v="2"/>
    <s v="City E"/>
    <n v="196"/>
    <n v="5"/>
    <x v="2"/>
    <x v="1"/>
    <x v="0"/>
    <x v="0"/>
    <x v="2"/>
    <d v="1899-12-30T14:44:00"/>
  </r>
  <r>
    <s v="2257"/>
    <s v="601 Main St, Cityc"/>
    <d v="2023-09-08T00:00:00"/>
    <s v="September"/>
    <x v="3"/>
    <d v="1899-12-30T11:13:00"/>
    <x v="1"/>
    <x v="1"/>
    <s v="D53"/>
    <x v="1"/>
    <s v="City D"/>
    <n v="181"/>
    <n v="8"/>
    <x v="0"/>
    <x v="1"/>
    <x v="2"/>
    <x v="2"/>
    <x v="2"/>
    <d v="1899-12-30T11:30:00"/>
  </r>
  <r>
    <s v="1006"/>
    <s v="255 Cedar St, Cityb"/>
    <d v="2023-09-01T00:00:00"/>
    <s v="September"/>
    <x v="3"/>
    <d v="1899-12-30T12:56:00"/>
    <x v="0"/>
    <x v="0"/>
    <s v="D54"/>
    <x v="0"/>
    <s v="City E"/>
    <n v="153"/>
    <n v="22"/>
    <x v="0"/>
    <x v="0"/>
    <x v="0"/>
    <x v="1"/>
    <x v="1"/>
    <d v="1899-12-30T12:07:00"/>
  </r>
  <r>
    <s v="1056"/>
    <s v="659 Elm St, Cityc"/>
    <d v="2023-09-07T00:00:00"/>
    <s v="September"/>
    <x v="2"/>
    <d v="1899-12-30T10:29:00"/>
    <x v="0"/>
    <x v="0"/>
    <s v="D54"/>
    <x v="0"/>
    <s v="City B"/>
    <n v="235"/>
    <n v="23"/>
    <x v="2"/>
    <x v="0"/>
    <x v="3"/>
    <x v="0"/>
    <x v="1"/>
    <d v="1899-12-30T08:40:00"/>
  </r>
  <r>
    <s v="1081"/>
    <s v="16 Main St, Cityd"/>
    <d v="2023-09-06T00:00:00"/>
    <s v="September"/>
    <x v="5"/>
    <d v="1899-12-30T13:55:00"/>
    <x v="0"/>
    <x v="0"/>
    <s v="D54"/>
    <x v="0"/>
    <s v="City D"/>
    <n v="157"/>
    <n v="4"/>
    <x v="2"/>
    <x v="0"/>
    <x v="4"/>
    <x v="1"/>
    <x v="1"/>
    <d v="1899-12-30T14:07:00"/>
  </r>
  <r>
    <s v="1176"/>
    <s v="582 Elm St, Cityc"/>
    <d v="2023-09-08T00:00:00"/>
    <s v="September"/>
    <x v="3"/>
    <d v="1899-12-30T09:55:00"/>
    <x v="1"/>
    <x v="1"/>
    <s v="D54"/>
    <x v="2"/>
    <s v="City E"/>
    <n v="172"/>
    <n v="12"/>
    <x v="2"/>
    <x v="1"/>
    <x v="0"/>
    <x v="0"/>
    <x v="2"/>
    <d v="1899-12-30T14:10:00"/>
  </r>
  <r>
    <s v="1269"/>
    <s v="437 Oak St, Cityc"/>
    <d v="2023-09-02T00:00:00"/>
    <s v="September"/>
    <x v="4"/>
    <d v="1899-12-30T09:50:00"/>
    <x v="0"/>
    <x v="0"/>
    <s v="D54"/>
    <x v="1"/>
    <s v="City C"/>
    <n v="237"/>
    <n v="20"/>
    <x v="0"/>
    <x v="0"/>
    <x v="2"/>
    <x v="1"/>
    <x v="2"/>
    <d v="1899-12-30T15:56:00"/>
  </r>
  <r>
    <s v="1305"/>
    <s v="985 Main St, Citya"/>
    <d v="2023-09-02T00:00:00"/>
    <s v="September"/>
    <x v="4"/>
    <d v="1899-12-30T16:01:00"/>
    <x v="0"/>
    <x v="0"/>
    <s v="D54"/>
    <x v="0"/>
    <s v="City B"/>
    <n v="200"/>
    <n v="2"/>
    <x v="1"/>
    <x v="0"/>
    <x v="4"/>
    <x v="1"/>
    <x v="0"/>
    <d v="1899-12-30T12:13:00"/>
  </r>
  <r>
    <s v="1424"/>
    <s v="632 Main St, Citya"/>
    <d v="2023-09-07T00:00:00"/>
    <s v="September"/>
    <x v="2"/>
    <d v="1899-12-30T08:44:00"/>
    <x v="1"/>
    <x v="1"/>
    <s v="D54"/>
    <x v="0"/>
    <s v="City B"/>
    <n v="69"/>
    <n v="8"/>
    <x v="2"/>
    <x v="1"/>
    <x v="2"/>
    <x v="1"/>
    <x v="0"/>
    <d v="1899-12-30T17:14:00"/>
  </r>
  <r>
    <s v="1481"/>
    <s v="5 Oak St, Citye"/>
    <d v="2023-09-08T00:00:00"/>
    <s v="September"/>
    <x v="3"/>
    <d v="1899-12-30T14:28:00"/>
    <x v="0"/>
    <x v="0"/>
    <s v="D54"/>
    <x v="0"/>
    <s v="City B"/>
    <n v="128"/>
    <n v="13"/>
    <x v="2"/>
    <x v="0"/>
    <x v="0"/>
    <x v="0"/>
    <x v="2"/>
    <d v="1899-12-30T15:11:00"/>
  </r>
  <r>
    <s v="1778"/>
    <s v="956 Pine St, Cityc"/>
    <d v="2023-09-03T00:00:00"/>
    <s v="September"/>
    <x v="0"/>
    <d v="1899-12-30T11:02:00"/>
    <x v="1"/>
    <x v="1"/>
    <s v="D54"/>
    <x v="0"/>
    <s v="City E"/>
    <n v="143"/>
    <n v="4"/>
    <x v="1"/>
    <x v="1"/>
    <x v="3"/>
    <x v="0"/>
    <x v="1"/>
    <d v="1899-12-30T10:23:00"/>
  </r>
  <r>
    <s v="1853"/>
    <s v="827 Elm St, Cityc"/>
    <d v="2023-09-05T00:00:00"/>
    <s v="September"/>
    <x v="6"/>
    <d v="1899-12-30T14:25:00"/>
    <x v="1"/>
    <x v="1"/>
    <s v="D54"/>
    <x v="0"/>
    <s v="City A"/>
    <n v="111"/>
    <n v="4"/>
    <x v="2"/>
    <x v="1"/>
    <x v="3"/>
    <x v="2"/>
    <x v="2"/>
    <d v="1899-12-30T11:52:00"/>
  </r>
  <r>
    <s v="1879"/>
    <s v="526 Cedar St, Cityd"/>
    <d v="2023-09-03T00:00:00"/>
    <s v="September"/>
    <x v="0"/>
    <d v="1899-12-30T11:41:00"/>
    <x v="1"/>
    <x v="1"/>
    <s v="D54"/>
    <x v="0"/>
    <s v="City E"/>
    <n v="176"/>
    <n v="28"/>
    <x v="2"/>
    <x v="1"/>
    <x v="0"/>
    <x v="0"/>
    <x v="2"/>
    <d v="1899-12-30T12:04:00"/>
  </r>
  <r>
    <s v="1900"/>
    <s v="308 Main St, Cityb"/>
    <d v="2023-09-02T00:00:00"/>
    <s v="September"/>
    <x v="4"/>
    <d v="1899-12-30T16:51:00"/>
    <x v="1"/>
    <x v="1"/>
    <s v="D54"/>
    <x v="2"/>
    <s v="City B"/>
    <n v="226"/>
    <n v="12"/>
    <x v="0"/>
    <x v="1"/>
    <x v="2"/>
    <x v="0"/>
    <x v="2"/>
    <d v="1899-12-30T12:48:00"/>
  </r>
  <r>
    <s v="1949"/>
    <s v="922 Main St, Citya"/>
    <d v="2023-09-04T00:00:00"/>
    <s v="September"/>
    <x v="1"/>
    <d v="1899-12-30T12:06:00"/>
    <x v="0"/>
    <x v="0"/>
    <s v="D54"/>
    <x v="0"/>
    <s v="City E"/>
    <n v="233"/>
    <n v="24"/>
    <x v="1"/>
    <x v="0"/>
    <x v="0"/>
    <x v="1"/>
    <x v="0"/>
    <d v="1899-12-30T08:52:00"/>
  </r>
  <r>
    <s v="2014"/>
    <s v="605 Elm St, Cityc"/>
    <d v="2023-09-07T00:00:00"/>
    <s v="September"/>
    <x v="2"/>
    <d v="1899-12-30T12:36:00"/>
    <x v="0"/>
    <x v="0"/>
    <s v="D54"/>
    <x v="0"/>
    <s v="City A"/>
    <n v="221"/>
    <n v="8"/>
    <x v="2"/>
    <x v="0"/>
    <x v="0"/>
    <x v="1"/>
    <x v="1"/>
    <d v="1899-12-30T14:37:00"/>
  </r>
  <r>
    <s v="2095"/>
    <s v="909 Oak St, Citya"/>
    <d v="2023-09-05T00:00:00"/>
    <s v="September"/>
    <x v="6"/>
    <d v="1899-12-30T16:39:00"/>
    <x v="1"/>
    <x v="1"/>
    <s v="D54"/>
    <x v="2"/>
    <s v="City D"/>
    <n v="197"/>
    <n v="4"/>
    <x v="1"/>
    <x v="1"/>
    <x v="3"/>
    <x v="2"/>
    <x v="2"/>
    <d v="1899-12-30T14:01:00"/>
  </r>
  <r>
    <s v="2157"/>
    <s v="84 Main St, Cityb"/>
    <d v="2023-09-05T00:00:00"/>
    <s v="September"/>
    <x v="6"/>
    <d v="1899-12-30T13:54:00"/>
    <x v="0"/>
    <x v="0"/>
    <s v="D54"/>
    <x v="1"/>
    <s v="City B"/>
    <n v="131"/>
    <n v="27"/>
    <x v="2"/>
    <x v="0"/>
    <x v="0"/>
    <x v="1"/>
    <x v="2"/>
    <d v="1899-12-30T13:43:00"/>
  </r>
  <r>
    <s v="2189"/>
    <s v="247 Pine St, Citye"/>
    <d v="2023-09-06T00:00:00"/>
    <s v="September"/>
    <x v="5"/>
    <d v="1899-12-30T10:37:00"/>
    <x v="1"/>
    <x v="1"/>
    <s v="D54"/>
    <x v="0"/>
    <s v="City E"/>
    <n v="98"/>
    <n v="10"/>
    <x v="1"/>
    <x v="1"/>
    <x v="4"/>
    <x v="2"/>
    <x v="1"/>
    <d v="1899-12-30T15:18:00"/>
  </r>
  <r>
    <s v="2336"/>
    <s v="977 Elm St, Cityb"/>
    <d v="2023-09-01T00:00:00"/>
    <s v="September"/>
    <x v="3"/>
    <d v="1899-12-30T14:28:00"/>
    <x v="0"/>
    <x v="0"/>
    <s v="D54"/>
    <x v="2"/>
    <s v="City D"/>
    <n v="122"/>
    <n v="1"/>
    <x v="1"/>
    <x v="0"/>
    <x v="2"/>
    <x v="1"/>
    <x v="0"/>
    <d v="1899-12-30T09:22:00"/>
  </r>
  <r>
    <s v="2468"/>
    <s v="667 Elm St, Citya"/>
    <d v="2023-09-02T00:00:00"/>
    <s v="September"/>
    <x v="4"/>
    <d v="1899-12-30T14:01:00"/>
    <x v="0"/>
    <x v="0"/>
    <s v="D54"/>
    <x v="1"/>
    <s v="City C"/>
    <n v="144"/>
    <n v="0"/>
    <x v="2"/>
    <x v="0"/>
    <x v="3"/>
    <x v="2"/>
    <x v="1"/>
    <d v="1899-12-30T08:32:00"/>
  </r>
  <r>
    <s v="2489"/>
    <s v="241 Cedar St, Cityd"/>
    <d v="2023-09-07T00:00:00"/>
    <s v="September"/>
    <x v="2"/>
    <d v="1899-12-30T16:20:00"/>
    <x v="1"/>
    <x v="1"/>
    <s v="D54"/>
    <x v="2"/>
    <s v="City C"/>
    <n v="92"/>
    <n v="29"/>
    <x v="1"/>
    <x v="1"/>
    <x v="3"/>
    <x v="1"/>
    <x v="2"/>
    <d v="1899-12-30T09:16:00"/>
  </r>
  <r>
    <s v="1058"/>
    <s v="782 Elm St, Cityc"/>
    <d v="2023-09-03T00:00:00"/>
    <s v="September"/>
    <x v="0"/>
    <d v="1899-12-30T16:03:00"/>
    <x v="0"/>
    <x v="0"/>
    <s v="D55"/>
    <x v="2"/>
    <s v="City D"/>
    <n v="214"/>
    <n v="0"/>
    <x v="1"/>
    <x v="0"/>
    <x v="0"/>
    <x v="2"/>
    <x v="1"/>
    <d v="1899-12-30T12:20:00"/>
  </r>
  <r>
    <s v="1123"/>
    <s v="189 Elm St, Cityc"/>
    <d v="2023-09-04T00:00:00"/>
    <s v="September"/>
    <x v="1"/>
    <d v="1899-12-30T10:09:00"/>
    <x v="1"/>
    <x v="1"/>
    <s v="D55"/>
    <x v="0"/>
    <s v="City E"/>
    <n v="186"/>
    <n v="26"/>
    <x v="0"/>
    <x v="1"/>
    <x v="2"/>
    <x v="2"/>
    <x v="0"/>
    <d v="1899-12-30T13:19:00"/>
  </r>
  <r>
    <s v="1478"/>
    <s v="84 Pine St, Citya"/>
    <d v="2023-09-04T00:00:00"/>
    <s v="September"/>
    <x v="1"/>
    <d v="1899-12-30T13:54:00"/>
    <x v="1"/>
    <x v="1"/>
    <s v="D55"/>
    <x v="2"/>
    <s v="City D"/>
    <n v="121"/>
    <n v="3"/>
    <x v="1"/>
    <x v="1"/>
    <x v="3"/>
    <x v="0"/>
    <x v="2"/>
    <d v="1899-12-30T12:59:00"/>
  </r>
  <r>
    <s v="1638"/>
    <s v="397 Oak St, Citya"/>
    <d v="2023-09-03T00:00:00"/>
    <s v="September"/>
    <x v="0"/>
    <d v="1899-12-30T16:19:00"/>
    <x v="0"/>
    <x v="0"/>
    <s v="D55"/>
    <x v="1"/>
    <s v="City B"/>
    <n v="92"/>
    <n v="25"/>
    <x v="1"/>
    <x v="0"/>
    <x v="1"/>
    <x v="1"/>
    <x v="2"/>
    <d v="1899-12-30T15:24:00"/>
  </r>
  <r>
    <s v="1799"/>
    <s v="699 Oak St, Citye"/>
    <d v="2023-09-01T00:00:00"/>
    <s v="September"/>
    <x v="3"/>
    <d v="1899-12-30T08:32:00"/>
    <x v="0"/>
    <x v="0"/>
    <s v="D55"/>
    <x v="1"/>
    <s v="City C"/>
    <n v="68"/>
    <n v="4"/>
    <x v="0"/>
    <x v="0"/>
    <x v="1"/>
    <x v="1"/>
    <x v="0"/>
    <d v="1899-12-30T08:27:00"/>
  </r>
  <r>
    <s v="1821"/>
    <s v="901 Pine St, Cityd"/>
    <d v="2023-09-01T00:00:00"/>
    <s v="September"/>
    <x v="3"/>
    <d v="1899-12-30T09:43:00"/>
    <x v="0"/>
    <x v="0"/>
    <s v="D55"/>
    <x v="0"/>
    <s v="City B"/>
    <n v="142"/>
    <n v="2"/>
    <x v="0"/>
    <x v="0"/>
    <x v="0"/>
    <x v="2"/>
    <x v="0"/>
    <d v="1899-12-30T10:00:00"/>
  </r>
  <r>
    <s v="1835"/>
    <s v="42 Elm St, Cityc"/>
    <d v="2023-09-08T00:00:00"/>
    <s v="September"/>
    <x v="3"/>
    <d v="1899-12-30T13:54:00"/>
    <x v="1"/>
    <x v="1"/>
    <s v="D55"/>
    <x v="1"/>
    <s v="City D"/>
    <n v="195"/>
    <n v="13"/>
    <x v="1"/>
    <x v="1"/>
    <x v="4"/>
    <x v="1"/>
    <x v="2"/>
    <d v="1899-12-30T13:06:00"/>
  </r>
  <r>
    <s v="1997"/>
    <s v="646 Main St, Cityd"/>
    <d v="2023-09-08T00:00:00"/>
    <s v="September"/>
    <x v="3"/>
    <d v="1899-12-30T12:18:00"/>
    <x v="1"/>
    <x v="1"/>
    <s v="D55"/>
    <x v="1"/>
    <s v="City B"/>
    <n v="145"/>
    <n v="14"/>
    <x v="1"/>
    <x v="1"/>
    <x v="3"/>
    <x v="0"/>
    <x v="0"/>
    <d v="1899-12-30T08:42:00"/>
  </r>
  <r>
    <s v="2048"/>
    <s v="800 Elm St, Cityd"/>
    <d v="2023-09-06T00:00:00"/>
    <s v="September"/>
    <x v="5"/>
    <d v="1899-12-30T12:57:00"/>
    <x v="0"/>
    <x v="0"/>
    <s v="D55"/>
    <x v="1"/>
    <s v="City D"/>
    <n v="232"/>
    <n v="24"/>
    <x v="2"/>
    <x v="0"/>
    <x v="4"/>
    <x v="2"/>
    <x v="2"/>
    <d v="1899-12-30T17:04:00"/>
  </r>
  <r>
    <s v="2159"/>
    <s v="803 Cedar St, Cityc"/>
    <d v="2023-09-07T00:00:00"/>
    <s v="September"/>
    <x v="2"/>
    <d v="1899-12-30T14:11:00"/>
    <x v="0"/>
    <x v="0"/>
    <s v="D55"/>
    <x v="1"/>
    <s v="City D"/>
    <n v="139"/>
    <n v="26"/>
    <x v="0"/>
    <x v="0"/>
    <x v="1"/>
    <x v="2"/>
    <x v="2"/>
    <d v="1899-12-30T17:29:00"/>
  </r>
  <r>
    <s v="2296"/>
    <s v="158 Pine St, Citya"/>
    <d v="2023-09-05T00:00:00"/>
    <s v="September"/>
    <x v="6"/>
    <d v="1899-12-30T14:37:00"/>
    <x v="0"/>
    <x v="0"/>
    <s v="D55"/>
    <x v="1"/>
    <s v="City E"/>
    <n v="117"/>
    <n v="14"/>
    <x v="2"/>
    <x v="0"/>
    <x v="2"/>
    <x v="1"/>
    <x v="2"/>
    <d v="1899-12-30T11:34:00"/>
  </r>
  <r>
    <s v="2343"/>
    <s v="656 Main St, Cityd"/>
    <d v="2023-09-05T00:00:00"/>
    <s v="September"/>
    <x v="6"/>
    <d v="1899-12-30T08:14:00"/>
    <x v="0"/>
    <x v="0"/>
    <s v="D55"/>
    <x v="2"/>
    <s v="City D"/>
    <n v="125"/>
    <n v="22"/>
    <x v="1"/>
    <x v="0"/>
    <x v="4"/>
    <x v="1"/>
    <x v="0"/>
    <d v="1899-12-30T11:57:00"/>
  </r>
  <r>
    <s v="2396"/>
    <s v="401 Elm St, Citya"/>
    <d v="2023-09-04T00:00:00"/>
    <s v="September"/>
    <x v="1"/>
    <d v="1899-12-30T12:54:00"/>
    <x v="0"/>
    <x v="0"/>
    <s v="D55"/>
    <x v="2"/>
    <s v="City E"/>
    <n v="75"/>
    <n v="4"/>
    <x v="2"/>
    <x v="0"/>
    <x v="0"/>
    <x v="2"/>
    <x v="0"/>
    <d v="1899-12-30T09:48:00"/>
  </r>
  <r>
    <s v="2469"/>
    <s v="585 Elm St, Cityc"/>
    <d v="2023-09-04T00:00:00"/>
    <s v="September"/>
    <x v="1"/>
    <d v="1899-12-30T09:36:00"/>
    <x v="0"/>
    <x v="0"/>
    <s v="D55"/>
    <x v="0"/>
    <s v="City A"/>
    <n v="130"/>
    <n v="24"/>
    <x v="0"/>
    <x v="0"/>
    <x v="4"/>
    <x v="0"/>
    <x v="1"/>
    <d v="1899-12-30T11:28:00"/>
  </r>
  <r>
    <s v="1280"/>
    <s v="269 Oak St, Cityd"/>
    <d v="2023-09-02T00:00:00"/>
    <s v="September"/>
    <x v="4"/>
    <d v="1899-12-30T11:41:00"/>
    <x v="1"/>
    <x v="1"/>
    <s v="D56"/>
    <x v="2"/>
    <s v="City D"/>
    <n v="98"/>
    <n v="25"/>
    <x v="0"/>
    <x v="1"/>
    <x v="0"/>
    <x v="1"/>
    <x v="2"/>
    <d v="1899-12-30T14:14:00"/>
  </r>
  <r>
    <s v="1465"/>
    <s v="382 Pine St, Cityc"/>
    <d v="2023-09-08T00:00:00"/>
    <s v="September"/>
    <x v="3"/>
    <d v="1899-12-30T09:28:00"/>
    <x v="0"/>
    <x v="0"/>
    <s v="D56"/>
    <x v="0"/>
    <s v="City C"/>
    <n v="80"/>
    <n v="9"/>
    <x v="0"/>
    <x v="0"/>
    <x v="0"/>
    <x v="0"/>
    <x v="0"/>
    <d v="1899-12-30T11:59:00"/>
  </r>
  <r>
    <s v="1512"/>
    <s v="706 Cedar St, Citye"/>
    <d v="2023-09-02T00:00:00"/>
    <s v="September"/>
    <x v="4"/>
    <d v="1899-12-30T10:09:00"/>
    <x v="0"/>
    <x v="0"/>
    <s v="D56"/>
    <x v="0"/>
    <s v="City D"/>
    <n v="129"/>
    <n v="8"/>
    <x v="2"/>
    <x v="0"/>
    <x v="1"/>
    <x v="0"/>
    <x v="2"/>
    <d v="1899-12-30T09:31:00"/>
  </r>
  <r>
    <s v="1536"/>
    <s v="992 Main St, Cityb"/>
    <d v="2023-09-02T00:00:00"/>
    <s v="September"/>
    <x v="4"/>
    <d v="1899-12-30T15:53:00"/>
    <x v="1"/>
    <x v="1"/>
    <s v="D56"/>
    <x v="2"/>
    <s v="City D"/>
    <n v="191"/>
    <n v="7"/>
    <x v="1"/>
    <x v="1"/>
    <x v="4"/>
    <x v="1"/>
    <x v="2"/>
    <d v="1899-12-30T11:50:00"/>
  </r>
  <r>
    <s v="1549"/>
    <s v="429 Pine St, Citya"/>
    <d v="2023-09-03T00:00:00"/>
    <s v="September"/>
    <x v="0"/>
    <d v="1899-12-30T12:35:00"/>
    <x v="0"/>
    <x v="0"/>
    <s v="D56"/>
    <x v="1"/>
    <s v="City D"/>
    <n v="75"/>
    <n v="4"/>
    <x v="2"/>
    <x v="0"/>
    <x v="2"/>
    <x v="0"/>
    <x v="2"/>
    <d v="1899-12-30T14:53:00"/>
  </r>
  <r>
    <s v="1653"/>
    <s v="325 Elm St, Cityb"/>
    <d v="2023-09-02T00:00:00"/>
    <s v="September"/>
    <x v="4"/>
    <d v="1899-12-30T08:42:00"/>
    <x v="0"/>
    <x v="0"/>
    <s v="D56"/>
    <x v="2"/>
    <s v="City C"/>
    <n v="227"/>
    <n v="6"/>
    <x v="2"/>
    <x v="0"/>
    <x v="3"/>
    <x v="1"/>
    <x v="0"/>
    <d v="1899-12-30T10:34:00"/>
  </r>
  <r>
    <s v="1707"/>
    <s v="534 Main St, Cityb"/>
    <d v="2023-09-01T00:00:00"/>
    <s v="September"/>
    <x v="3"/>
    <d v="1899-12-30T13:20:00"/>
    <x v="1"/>
    <x v="1"/>
    <s v="D56"/>
    <x v="1"/>
    <s v="City B"/>
    <n v="120"/>
    <n v="12"/>
    <x v="2"/>
    <x v="1"/>
    <x v="0"/>
    <x v="2"/>
    <x v="2"/>
    <d v="1899-12-30T16:27:00"/>
  </r>
  <r>
    <s v="1836"/>
    <s v="339 Main St, Citya"/>
    <d v="2023-09-06T00:00:00"/>
    <s v="September"/>
    <x v="5"/>
    <d v="1899-12-30T14:01:00"/>
    <x v="0"/>
    <x v="0"/>
    <s v="D56"/>
    <x v="0"/>
    <s v="City D"/>
    <n v="70"/>
    <n v="21"/>
    <x v="0"/>
    <x v="0"/>
    <x v="3"/>
    <x v="1"/>
    <x v="0"/>
    <d v="1899-12-30T13:51:00"/>
  </r>
  <r>
    <s v="1960"/>
    <s v="640 Main St, Cityc"/>
    <d v="2023-09-06T00:00:00"/>
    <s v="September"/>
    <x v="5"/>
    <d v="1899-12-30T15:02:00"/>
    <x v="0"/>
    <x v="0"/>
    <s v="D56"/>
    <x v="2"/>
    <s v="City E"/>
    <n v="116"/>
    <n v="26"/>
    <x v="2"/>
    <x v="0"/>
    <x v="1"/>
    <x v="0"/>
    <x v="1"/>
    <d v="1899-12-30T13:47:00"/>
  </r>
  <r>
    <s v="2242"/>
    <s v="539 Pine St, Citya"/>
    <d v="2023-09-03T00:00:00"/>
    <s v="September"/>
    <x v="0"/>
    <d v="1899-12-30T11:47:00"/>
    <x v="1"/>
    <x v="1"/>
    <s v="D56"/>
    <x v="2"/>
    <s v="City E"/>
    <n v="175"/>
    <n v="5"/>
    <x v="2"/>
    <x v="1"/>
    <x v="1"/>
    <x v="2"/>
    <x v="0"/>
    <d v="1899-12-30T09:01:00"/>
  </r>
  <r>
    <s v="2390"/>
    <s v="893 Cedar St, Cityd"/>
    <d v="2023-09-06T00:00:00"/>
    <s v="September"/>
    <x v="5"/>
    <d v="1899-12-30T11:48:00"/>
    <x v="0"/>
    <x v="0"/>
    <s v="D56"/>
    <x v="0"/>
    <s v="City C"/>
    <n v="166"/>
    <n v="1"/>
    <x v="0"/>
    <x v="0"/>
    <x v="4"/>
    <x v="2"/>
    <x v="0"/>
    <d v="1899-12-30T14:51:00"/>
  </r>
  <r>
    <s v="2497"/>
    <s v="394 Cedar St, Cityb"/>
    <d v="2023-09-07T00:00:00"/>
    <s v="September"/>
    <x v="2"/>
    <d v="1899-12-30T12:15:00"/>
    <x v="0"/>
    <x v="0"/>
    <s v="D56"/>
    <x v="0"/>
    <s v="City E"/>
    <n v="142"/>
    <n v="21"/>
    <x v="2"/>
    <x v="0"/>
    <x v="3"/>
    <x v="1"/>
    <x v="0"/>
    <d v="1899-12-30T13:51:00"/>
  </r>
  <r>
    <s v="1148"/>
    <s v="148 Oak St, Cityb"/>
    <d v="2023-09-06T00:00:00"/>
    <s v="September"/>
    <x v="5"/>
    <d v="1899-12-30T09:08:00"/>
    <x v="0"/>
    <x v="0"/>
    <s v="D57"/>
    <x v="0"/>
    <s v="City D"/>
    <n v="183"/>
    <n v="14"/>
    <x v="0"/>
    <x v="0"/>
    <x v="4"/>
    <x v="0"/>
    <x v="2"/>
    <d v="1899-12-30T11:29:00"/>
  </r>
  <r>
    <s v="1498"/>
    <s v="303 Main St, Cityb"/>
    <d v="2023-09-05T00:00:00"/>
    <s v="September"/>
    <x v="6"/>
    <d v="1899-12-30T15:06:00"/>
    <x v="1"/>
    <x v="1"/>
    <s v="D57"/>
    <x v="0"/>
    <s v="City B"/>
    <n v="181"/>
    <n v="2"/>
    <x v="2"/>
    <x v="1"/>
    <x v="4"/>
    <x v="1"/>
    <x v="1"/>
    <d v="1899-12-30T11:25:00"/>
  </r>
  <r>
    <s v="1708"/>
    <s v="893 Main St, Citye"/>
    <d v="2023-09-06T00:00:00"/>
    <s v="September"/>
    <x v="5"/>
    <d v="1899-12-30T11:10:00"/>
    <x v="1"/>
    <x v="1"/>
    <s v="D57"/>
    <x v="1"/>
    <s v="City D"/>
    <n v="114"/>
    <n v="13"/>
    <x v="1"/>
    <x v="1"/>
    <x v="3"/>
    <x v="1"/>
    <x v="1"/>
    <d v="1899-12-30T16:17:00"/>
  </r>
  <r>
    <s v="1852"/>
    <s v="301 Pine St, Cityd"/>
    <d v="2023-09-06T00:00:00"/>
    <s v="September"/>
    <x v="5"/>
    <d v="1899-12-30T10:20:00"/>
    <x v="1"/>
    <x v="1"/>
    <s v="D57"/>
    <x v="1"/>
    <s v="City E"/>
    <n v="213"/>
    <n v="27"/>
    <x v="0"/>
    <x v="1"/>
    <x v="0"/>
    <x v="1"/>
    <x v="1"/>
    <d v="1899-12-30T13:00:00"/>
  </r>
  <r>
    <s v="1911"/>
    <s v="547 Cedar St, Cityc"/>
    <d v="2023-09-03T00:00:00"/>
    <s v="September"/>
    <x v="0"/>
    <d v="1899-12-30T10:10:00"/>
    <x v="1"/>
    <x v="1"/>
    <s v="D57"/>
    <x v="1"/>
    <s v="City D"/>
    <n v="61"/>
    <n v="20"/>
    <x v="1"/>
    <x v="1"/>
    <x v="1"/>
    <x v="1"/>
    <x v="0"/>
    <d v="1899-12-30T09:51:00"/>
  </r>
  <r>
    <s v="1914"/>
    <s v="744 Oak St, Cityb"/>
    <d v="2023-09-06T00:00:00"/>
    <s v="September"/>
    <x v="5"/>
    <d v="1899-12-30T08:18:00"/>
    <x v="1"/>
    <x v="1"/>
    <s v="D57"/>
    <x v="1"/>
    <s v="City B"/>
    <n v="72"/>
    <n v="25"/>
    <x v="2"/>
    <x v="1"/>
    <x v="2"/>
    <x v="2"/>
    <x v="2"/>
    <d v="1899-12-30T12:38:00"/>
  </r>
  <r>
    <s v="2128"/>
    <s v="621 Elm St, Citya"/>
    <d v="2023-09-05T00:00:00"/>
    <s v="September"/>
    <x v="6"/>
    <d v="1899-12-30T15:20:00"/>
    <x v="0"/>
    <x v="0"/>
    <s v="D57"/>
    <x v="0"/>
    <s v="City B"/>
    <n v="141"/>
    <n v="24"/>
    <x v="2"/>
    <x v="0"/>
    <x v="4"/>
    <x v="2"/>
    <x v="0"/>
    <d v="1899-12-30T16:39:00"/>
  </r>
  <r>
    <s v="2142"/>
    <s v="348 Cedar St, Citye"/>
    <d v="2023-09-01T00:00:00"/>
    <s v="September"/>
    <x v="3"/>
    <d v="1899-12-30T09:05:00"/>
    <x v="1"/>
    <x v="1"/>
    <s v="D57"/>
    <x v="1"/>
    <s v="City E"/>
    <n v="165"/>
    <n v="15"/>
    <x v="0"/>
    <x v="1"/>
    <x v="4"/>
    <x v="2"/>
    <x v="1"/>
    <d v="1899-12-30T16:33:00"/>
  </r>
  <r>
    <s v="2237"/>
    <s v="849 Cedar St, Cityc"/>
    <d v="2023-09-01T00:00:00"/>
    <s v="September"/>
    <x v="3"/>
    <d v="1899-12-30T09:47:00"/>
    <x v="1"/>
    <x v="1"/>
    <s v="D57"/>
    <x v="0"/>
    <s v="City B"/>
    <n v="123"/>
    <n v="13"/>
    <x v="0"/>
    <x v="1"/>
    <x v="0"/>
    <x v="2"/>
    <x v="1"/>
    <d v="1899-12-30T13:52:00"/>
  </r>
  <r>
    <s v="2404"/>
    <s v="579 Cedar St, Citya"/>
    <d v="2023-09-03T00:00:00"/>
    <s v="September"/>
    <x v="0"/>
    <d v="1899-12-30T16:30:00"/>
    <x v="1"/>
    <x v="1"/>
    <s v="D57"/>
    <x v="0"/>
    <s v="City D"/>
    <n v="187"/>
    <n v="6"/>
    <x v="1"/>
    <x v="1"/>
    <x v="2"/>
    <x v="0"/>
    <x v="1"/>
    <d v="1899-12-30T16:02:00"/>
  </r>
  <r>
    <s v="2437"/>
    <s v="15 Elm St, Citya"/>
    <d v="2023-09-06T00:00:00"/>
    <s v="September"/>
    <x v="5"/>
    <d v="1899-12-30T15:10:00"/>
    <x v="1"/>
    <x v="1"/>
    <s v="D57"/>
    <x v="0"/>
    <s v="City C"/>
    <n v="101"/>
    <n v="17"/>
    <x v="0"/>
    <x v="1"/>
    <x v="3"/>
    <x v="2"/>
    <x v="1"/>
    <d v="1899-12-30T12:37:00"/>
  </r>
  <r>
    <s v="1161"/>
    <s v="682 Pine St, Cityb"/>
    <d v="2023-09-02T00:00:00"/>
    <s v="September"/>
    <x v="4"/>
    <d v="1899-12-30T09:29:00"/>
    <x v="1"/>
    <x v="1"/>
    <s v="D58"/>
    <x v="0"/>
    <s v="City E"/>
    <n v="188"/>
    <n v="2"/>
    <x v="2"/>
    <x v="1"/>
    <x v="0"/>
    <x v="0"/>
    <x v="2"/>
    <d v="1899-12-30T17:16:00"/>
  </r>
  <r>
    <s v="1198"/>
    <s v="644 Pine St, Cityc"/>
    <d v="2023-09-07T00:00:00"/>
    <s v="September"/>
    <x v="2"/>
    <d v="1899-12-30T13:46:00"/>
    <x v="0"/>
    <x v="0"/>
    <s v="D58"/>
    <x v="0"/>
    <s v="City B"/>
    <n v="72"/>
    <n v="25"/>
    <x v="2"/>
    <x v="0"/>
    <x v="2"/>
    <x v="0"/>
    <x v="2"/>
    <d v="1899-12-30T09:00:00"/>
  </r>
  <r>
    <s v="1291"/>
    <s v="808 Oak St, Cityd"/>
    <d v="2023-09-08T00:00:00"/>
    <s v="September"/>
    <x v="3"/>
    <d v="1899-12-30T09:39:00"/>
    <x v="1"/>
    <x v="1"/>
    <s v="D58"/>
    <x v="2"/>
    <s v="City B"/>
    <n v="161"/>
    <n v="11"/>
    <x v="2"/>
    <x v="1"/>
    <x v="1"/>
    <x v="0"/>
    <x v="2"/>
    <d v="1899-12-30T15:24:00"/>
  </r>
  <r>
    <s v="1342"/>
    <s v="497 Oak St, Citye"/>
    <d v="2023-09-03T00:00:00"/>
    <s v="September"/>
    <x v="0"/>
    <d v="1899-12-30T16:19:00"/>
    <x v="0"/>
    <x v="0"/>
    <s v="D58"/>
    <x v="0"/>
    <s v="City E"/>
    <n v="185"/>
    <n v="26"/>
    <x v="1"/>
    <x v="0"/>
    <x v="4"/>
    <x v="0"/>
    <x v="1"/>
    <d v="1899-12-30T17:26:00"/>
  </r>
  <r>
    <s v="1415"/>
    <s v="581 Oak St, Cityb"/>
    <d v="2023-09-01T00:00:00"/>
    <s v="September"/>
    <x v="3"/>
    <d v="1899-12-30T16:51:00"/>
    <x v="1"/>
    <x v="1"/>
    <s v="D58"/>
    <x v="2"/>
    <s v="City E"/>
    <n v="203"/>
    <n v="28"/>
    <x v="1"/>
    <x v="1"/>
    <x v="2"/>
    <x v="2"/>
    <x v="2"/>
    <d v="1899-12-30T10:44:00"/>
  </r>
  <r>
    <s v="1538"/>
    <s v="6 Pine St, Cityb"/>
    <d v="2023-09-07T00:00:00"/>
    <s v="September"/>
    <x v="2"/>
    <d v="1899-12-30T14:27:00"/>
    <x v="1"/>
    <x v="1"/>
    <s v="D58"/>
    <x v="0"/>
    <s v="City D"/>
    <n v="192"/>
    <n v="14"/>
    <x v="0"/>
    <x v="1"/>
    <x v="0"/>
    <x v="2"/>
    <x v="0"/>
    <d v="1899-12-30T14:52:00"/>
  </r>
  <r>
    <s v="1658"/>
    <s v="829 Pine St, Citya"/>
    <d v="2023-09-07T00:00:00"/>
    <s v="September"/>
    <x v="2"/>
    <d v="1899-12-30T15:43:00"/>
    <x v="0"/>
    <x v="0"/>
    <s v="D58"/>
    <x v="1"/>
    <s v="City D"/>
    <n v="219"/>
    <n v="28"/>
    <x v="1"/>
    <x v="0"/>
    <x v="2"/>
    <x v="0"/>
    <x v="0"/>
    <d v="1899-12-30T13:21:00"/>
  </r>
  <r>
    <s v="1695"/>
    <s v="875 Cedar St, Citye"/>
    <d v="2023-09-01T00:00:00"/>
    <s v="September"/>
    <x v="3"/>
    <d v="1899-12-30T08:41:00"/>
    <x v="0"/>
    <x v="0"/>
    <s v="D58"/>
    <x v="0"/>
    <s v="City E"/>
    <n v="208"/>
    <n v="29"/>
    <x v="1"/>
    <x v="0"/>
    <x v="1"/>
    <x v="2"/>
    <x v="1"/>
    <d v="1899-12-30T15:30:00"/>
  </r>
  <r>
    <s v="1732"/>
    <s v="542 Pine St, Cityd"/>
    <d v="2023-09-03T00:00:00"/>
    <s v="September"/>
    <x v="0"/>
    <d v="1899-12-30T14:42:00"/>
    <x v="1"/>
    <x v="1"/>
    <s v="D58"/>
    <x v="0"/>
    <s v="City B"/>
    <n v="204"/>
    <n v="3"/>
    <x v="2"/>
    <x v="1"/>
    <x v="3"/>
    <x v="0"/>
    <x v="1"/>
    <d v="1899-12-30T13:58:00"/>
  </r>
  <r>
    <s v="1896"/>
    <s v="850 Pine St, Cityd"/>
    <d v="2023-09-07T00:00:00"/>
    <s v="September"/>
    <x v="2"/>
    <d v="1899-12-30T11:07:00"/>
    <x v="0"/>
    <x v="0"/>
    <s v="D58"/>
    <x v="1"/>
    <s v="City D"/>
    <n v="72"/>
    <n v="22"/>
    <x v="1"/>
    <x v="0"/>
    <x v="3"/>
    <x v="2"/>
    <x v="1"/>
    <d v="1899-12-30T10:00:00"/>
  </r>
  <r>
    <s v="2068"/>
    <s v="579 Cedar St, Cityc"/>
    <d v="2023-09-06T00:00:00"/>
    <s v="September"/>
    <x v="5"/>
    <d v="1899-12-30T12:44:00"/>
    <x v="1"/>
    <x v="1"/>
    <s v="D58"/>
    <x v="2"/>
    <s v="City D"/>
    <n v="221"/>
    <n v="8"/>
    <x v="0"/>
    <x v="1"/>
    <x v="0"/>
    <x v="2"/>
    <x v="2"/>
    <d v="1899-12-30T10:17:00"/>
  </r>
  <r>
    <s v="2188"/>
    <s v="55 Pine St, Cityb"/>
    <d v="2023-09-01T00:00:00"/>
    <s v="September"/>
    <x v="3"/>
    <d v="1899-12-30T14:13:00"/>
    <x v="1"/>
    <x v="1"/>
    <s v="D58"/>
    <x v="1"/>
    <s v="City E"/>
    <n v="126"/>
    <n v="29"/>
    <x v="0"/>
    <x v="1"/>
    <x v="2"/>
    <x v="2"/>
    <x v="2"/>
    <d v="1899-12-30T09:56:00"/>
  </r>
  <r>
    <s v="2358"/>
    <s v="605 Oak St, Citye"/>
    <d v="2023-09-05T00:00:00"/>
    <s v="September"/>
    <x v="6"/>
    <d v="1899-12-30T12:31:00"/>
    <x v="1"/>
    <x v="1"/>
    <s v="D58"/>
    <x v="1"/>
    <s v="City D"/>
    <n v="133"/>
    <n v="17"/>
    <x v="1"/>
    <x v="1"/>
    <x v="2"/>
    <x v="1"/>
    <x v="2"/>
    <d v="1899-12-30T16:20:00"/>
  </r>
  <r>
    <s v="2461"/>
    <s v="230 Oak St, Cityc"/>
    <d v="2023-09-07T00:00:00"/>
    <s v="September"/>
    <x v="2"/>
    <d v="1899-12-30T16:55:00"/>
    <x v="0"/>
    <x v="0"/>
    <s v="D58"/>
    <x v="0"/>
    <s v="City C"/>
    <n v="136"/>
    <n v="18"/>
    <x v="0"/>
    <x v="0"/>
    <x v="2"/>
    <x v="2"/>
    <x v="2"/>
    <d v="1899-12-30T14:29:00"/>
  </r>
  <r>
    <s v="2467"/>
    <s v="751 Main St, Citye"/>
    <d v="2023-09-03T00:00:00"/>
    <s v="September"/>
    <x v="0"/>
    <d v="1899-12-30T13:12:00"/>
    <x v="1"/>
    <x v="1"/>
    <s v="D58"/>
    <x v="0"/>
    <s v="City C"/>
    <n v="162"/>
    <n v="16"/>
    <x v="2"/>
    <x v="1"/>
    <x v="3"/>
    <x v="2"/>
    <x v="0"/>
    <d v="1899-12-30T15:56:00"/>
  </r>
  <r>
    <s v="2473"/>
    <s v="792 Oak St, Cityb"/>
    <d v="2023-09-04T00:00:00"/>
    <s v="September"/>
    <x v="1"/>
    <d v="1899-12-30T13:07:00"/>
    <x v="0"/>
    <x v="0"/>
    <s v="D58"/>
    <x v="0"/>
    <s v="City B"/>
    <n v="228"/>
    <n v="19"/>
    <x v="1"/>
    <x v="0"/>
    <x v="4"/>
    <x v="0"/>
    <x v="0"/>
    <d v="1899-12-30T13:57:00"/>
  </r>
  <r>
    <s v="1001"/>
    <s v="884 Main St, Citye"/>
    <d v="2023-09-04T00:00:00"/>
    <s v="September"/>
    <x v="1"/>
    <d v="1899-12-30T13:33:00"/>
    <x v="1"/>
    <x v="1"/>
    <s v="D59"/>
    <x v="0"/>
    <s v="City E"/>
    <n v="92"/>
    <n v="13"/>
    <x v="0"/>
    <x v="1"/>
    <x v="3"/>
    <x v="2"/>
    <x v="0"/>
    <d v="1899-12-30T13:48:00"/>
  </r>
  <r>
    <s v="1067"/>
    <s v="970 Main St, Cityc"/>
    <d v="2023-09-03T00:00:00"/>
    <s v="September"/>
    <x v="0"/>
    <d v="1899-12-30T12:55:00"/>
    <x v="1"/>
    <x v="1"/>
    <s v="D59"/>
    <x v="0"/>
    <s v="City B"/>
    <n v="230"/>
    <n v="8"/>
    <x v="2"/>
    <x v="1"/>
    <x v="3"/>
    <x v="1"/>
    <x v="0"/>
    <d v="1899-12-30T11:41:00"/>
  </r>
  <r>
    <s v="1101"/>
    <s v="172 Oak St, Cityd"/>
    <d v="2023-09-02T00:00:00"/>
    <s v="September"/>
    <x v="4"/>
    <d v="1899-12-30T08:56:00"/>
    <x v="0"/>
    <x v="0"/>
    <s v="D59"/>
    <x v="0"/>
    <s v="City D"/>
    <n v="172"/>
    <n v="12"/>
    <x v="1"/>
    <x v="0"/>
    <x v="0"/>
    <x v="2"/>
    <x v="1"/>
    <d v="1899-12-30T10:17:00"/>
  </r>
  <r>
    <s v="1114"/>
    <s v="612 Main St, Citye"/>
    <d v="2023-09-08T00:00:00"/>
    <s v="September"/>
    <x v="3"/>
    <d v="1899-12-30T16:52:00"/>
    <x v="1"/>
    <x v="1"/>
    <s v="D59"/>
    <x v="1"/>
    <s v="City A"/>
    <n v="233"/>
    <n v="1"/>
    <x v="2"/>
    <x v="1"/>
    <x v="2"/>
    <x v="0"/>
    <x v="0"/>
    <d v="1899-12-30T09:47:00"/>
  </r>
  <r>
    <s v="1118"/>
    <s v="350 Oak St, Cityb"/>
    <d v="2023-09-08T00:00:00"/>
    <s v="September"/>
    <x v="3"/>
    <d v="1899-12-30T15:07:00"/>
    <x v="0"/>
    <x v="0"/>
    <s v="D59"/>
    <x v="2"/>
    <s v="City C"/>
    <n v="193"/>
    <n v="23"/>
    <x v="0"/>
    <x v="0"/>
    <x v="2"/>
    <x v="2"/>
    <x v="2"/>
    <d v="1899-12-30T12:23:00"/>
  </r>
  <r>
    <s v="1379"/>
    <s v="712 Elm St, Citye"/>
    <d v="2023-09-07T00:00:00"/>
    <s v="September"/>
    <x v="2"/>
    <d v="1899-12-30T15:17:00"/>
    <x v="1"/>
    <x v="1"/>
    <s v="D59"/>
    <x v="0"/>
    <s v="City D"/>
    <n v="97"/>
    <n v="28"/>
    <x v="2"/>
    <x v="1"/>
    <x v="4"/>
    <x v="1"/>
    <x v="0"/>
    <d v="1899-12-30T11:20:00"/>
  </r>
  <r>
    <s v="1492"/>
    <s v="508 Elm St, Citya"/>
    <d v="2023-09-08T00:00:00"/>
    <s v="September"/>
    <x v="3"/>
    <d v="1899-12-30T10:34:00"/>
    <x v="0"/>
    <x v="0"/>
    <s v="D59"/>
    <x v="1"/>
    <s v="City B"/>
    <n v="235"/>
    <n v="1"/>
    <x v="0"/>
    <x v="0"/>
    <x v="0"/>
    <x v="0"/>
    <x v="1"/>
    <d v="1899-12-30T15:24:00"/>
  </r>
  <r>
    <s v="1583"/>
    <s v="892 Oak St, Cityd"/>
    <d v="2023-09-06T00:00:00"/>
    <s v="September"/>
    <x v="5"/>
    <d v="1899-12-30T10:08:00"/>
    <x v="1"/>
    <x v="1"/>
    <s v="D59"/>
    <x v="0"/>
    <s v="City E"/>
    <n v="168"/>
    <n v="23"/>
    <x v="0"/>
    <x v="1"/>
    <x v="2"/>
    <x v="2"/>
    <x v="1"/>
    <d v="1899-12-30T16:50:00"/>
  </r>
  <r>
    <s v="1616"/>
    <s v="912 Elm St, Cityc"/>
    <d v="2023-09-07T00:00:00"/>
    <s v="September"/>
    <x v="2"/>
    <d v="1899-12-30T16:29:00"/>
    <x v="0"/>
    <x v="0"/>
    <s v="D59"/>
    <x v="0"/>
    <s v="City B"/>
    <n v="129"/>
    <n v="16"/>
    <x v="2"/>
    <x v="0"/>
    <x v="3"/>
    <x v="0"/>
    <x v="0"/>
    <d v="1899-12-30T11:09:00"/>
  </r>
  <r>
    <s v="1624"/>
    <s v="252 Pine St, Cityd"/>
    <d v="2023-09-05T00:00:00"/>
    <s v="September"/>
    <x v="6"/>
    <d v="1899-12-30T09:02:00"/>
    <x v="0"/>
    <x v="0"/>
    <s v="D59"/>
    <x v="0"/>
    <s v="City E"/>
    <n v="226"/>
    <n v="5"/>
    <x v="1"/>
    <x v="0"/>
    <x v="4"/>
    <x v="1"/>
    <x v="2"/>
    <d v="1899-12-30T11:25:00"/>
  </r>
  <r>
    <s v="1760"/>
    <s v="613 Oak St, Cityc"/>
    <d v="2023-09-03T00:00:00"/>
    <s v="September"/>
    <x v="0"/>
    <d v="1899-12-30T16:08:00"/>
    <x v="1"/>
    <x v="1"/>
    <s v="D59"/>
    <x v="2"/>
    <s v="City C"/>
    <n v="97"/>
    <n v="10"/>
    <x v="0"/>
    <x v="1"/>
    <x v="1"/>
    <x v="1"/>
    <x v="0"/>
    <d v="1899-12-30T15:23:00"/>
  </r>
  <r>
    <s v="1809"/>
    <s v="476 Elm St, Citya"/>
    <d v="2023-09-05T00:00:00"/>
    <s v="September"/>
    <x v="6"/>
    <d v="1899-12-30T11:43:00"/>
    <x v="1"/>
    <x v="1"/>
    <s v="D59"/>
    <x v="2"/>
    <s v="City D"/>
    <n v="81"/>
    <n v="12"/>
    <x v="1"/>
    <x v="1"/>
    <x v="0"/>
    <x v="0"/>
    <x v="2"/>
    <d v="1899-12-30T11:57:00"/>
  </r>
  <r>
    <s v="1892"/>
    <s v="298 Cedar St, Cityd"/>
    <d v="2023-09-03T00:00:00"/>
    <s v="September"/>
    <x v="0"/>
    <d v="1899-12-30T08:01:00"/>
    <x v="1"/>
    <x v="1"/>
    <s v="D59"/>
    <x v="1"/>
    <s v="City D"/>
    <n v="64"/>
    <n v="18"/>
    <x v="2"/>
    <x v="1"/>
    <x v="0"/>
    <x v="2"/>
    <x v="0"/>
    <d v="1899-12-30T09:58:00"/>
  </r>
  <r>
    <s v="2230"/>
    <s v="532 Elm St, Cityc"/>
    <d v="2023-09-02T00:00:00"/>
    <s v="September"/>
    <x v="4"/>
    <d v="1899-12-30T16:13:00"/>
    <x v="1"/>
    <x v="1"/>
    <s v="D59"/>
    <x v="0"/>
    <s v="City C"/>
    <n v="84"/>
    <n v="0"/>
    <x v="1"/>
    <x v="1"/>
    <x v="2"/>
    <x v="0"/>
    <x v="0"/>
    <d v="1899-12-30T16:04:00"/>
  </r>
  <r>
    <s v="2407"/>
    <s v="270 Main St, Cityb"/>
    <d v="2023-09-05T00:00:00"/>
    <s v="September"/>
    <x v="6"/>
    <d v="1899-12-30T11:00:00"/>
    <x v="1"/>
    <x v="1"/>
    <s v="D59"/>
    <x v="0"/>
    <s v="City C"/>
    <n v="177"/>
    <n v="3"/>
    <x v="2"/>
    <x v="1"/>
    <x v="1"/>
    <x v="0"/>
    <x v="0"/>
    <d v="1899-12-30T10:49:00"/>
  </r>
  <r>
    <s v="2444"/>
    <s v="449 Elm St, Cityd"/>
    <d v="2023-09-02T00:00:00"/>
    <s v="September"/>
    <x v="4"/>
    <d v="1899-12-30T15:57:00"/>
    <x v="0"/>
    <x v="0"/>
    <s v="D59"/>
    <x v="0"/>
    <s v="City A"/>
    <n v="133"/>
    <n v="15"/>
    <x v="0"/>
    <x v="0"/>
    <x v="2"/>
    <x v="1"/>
    <x v="2"/>
    <d v="1899-12-30T12:44:00"/>
  </r>
  <r>
    <s v="1040"/>
    <s v="605 Cedar St, Cityb"/>
    <d v="2023-09-06T00:00:00"/>
    <s v="September"/>
    <x v="5"/>
    <d v="1899-12-30T11:33:00"/>
    <x v="1"/>
    <x v="1"/>
    <s v="D6"/>
    <x v="2"/>
    <s v="City D"/>
    <n v="103"/>
    <n v="9"/>
    <x v="0"/>
    <x v="1"/>
    <x v="0"/>
    <x v="1"/>
    <x v="2"/>
    <d v="1899-12-30T14:01:00"/>
  </r>
  <r>
    <s v="1080"/>
    <s v="212 Cedar St, Citye"/>
    <d v="2023-09-02T00:00:00"/>
    <s v="September"/>
    <x v="4"/>
    <d v="1899-12-30T10:41:00"/>
    <x v="1"/>
    <x v="1"/>
    <s v="D6"/>
    <x v="1"/>
    <s v="City A"/>
    <n v="85"/>
    <n v="10"/>
    <x v="2"/>
    <x v="1"/>
    <x v="3"/>
    <x v="0"/>
    <x v="1"/>
    <d v="1899-12-30T16:17:00"/>
  </r>
  <r>
    <s v="1186"/>
    <s v="340 Main St, Cityc"/>
    <d v="2023-09-06T00:00:00"/>
    <s v="September"/>
    <x v="5"/>
    <d v="1899-12-30T14:24:00"/>
    <x v="1"/>
    <x v="1"/>
    <s v="D6"/>
    <x v="1"/>
    <s v="City A"/>
    <n v="196"/>
    <n v="15"/>
    <x v="0"/>
    <x v="1"/>
    <x v="4"/>
    <x v="0"/>
    <x v="2"/>
    <d v="1899-12-30T15:26:00"/>
  </r>
  <r>
    <s v="1351"/>
    <s v="304 Main St, Citya"/>
    <d v="2023-09-04T00:00:00"/>
    <s v="September"/>
    <x v="1"/>
    <d v="1899-12-30T16:44:00"/>
    <x v="1"/>
    <x v="1"/>
    <s v="D6"/>
    <x v="1"/>
    <s v="City E"/>
    <n v="176"/>
    <n v="16"/>
    <x v="1"/>
    <x v="1"/>
    <x v="1"/>
    <x v="0"/>
    <x v="2"/>
    <d v="1899-12-30T13:49:00"/>
  </r>
  <r>
    <s v="1514"/>
    <s v="28 Pine St, Citya"/>
    <d v="2023-09-04T00:00:00"/>
    <s v="September"/>
    <x v="1"/>
    <d v="1899-12-30T08:11:00"/>
    <x v="1"/>
    <x v="1"/>
    <s v="D6"/>
    <x v="2"/>
    <s v="City E"/>
    <n v="201"/>
    <n v="25"/>
    <x v="1"/>
    <x v="1"/>
    <x v="4"/>
    <x v="2"/>
    <x v="2"/>
    <d v="1899-12-30T09:07:00"/>
  </r>
  <r>
    <s v="1539"/>
    <s v="792 Pine St, Citya"/>
    <d v="2023-09-02T00:00:00"/>
    <s v="September"/>
    <x v="4"/>
    <d v="1899-12-30T14:17:00"/>
    <x v="0"/>
    <x v="0"/>
    <s v="D6"/>
    <x v="1"/>
    <s v="City A"/>
    <n v="173"/>
    <n v="17"/>
    <x v="0"/>
    <x v="0"/>
    <x v="1"/>
    <x v="0"/>
    <x v="0"/>
    <d v="1899-12-30T14:04:00"/>
  </r>
  <r>
    <s v="1628"/>
    <s v="74 Oak St, Citya"/>
    <d v="2023-09-05T00:00:00"/>
    <s v="September"/>
    <x v="6"/>
    <d v="1899-12-30T09:29:00"/>
    <x v="0"/>
    <x v="0"/>
    <s v="D6"/>
    <x v="0"/>
    <s v="City D"/>
    <n v="141"/>
    <n v="13"/>
    <x v="0"/>
    <x v="0"/>
    <x v="2"/>
    <x v="1"/>
    <x v="2"/>
    <d v="1899-12-30T14:25:00"/>
  </r>
  <r>
    <s v="1643"/>
    <s v="275 Elm St, Citya"/>
    <d v="2023-09-08T00:00:00"/>
    <s v="September"/>
    <x v="3"/>
    <d v="1899-12-30T13:03:00"/>
    <x v="1"/>
    <x v="1"/>
    <s v="D6"/>
    <x v="0"/>
    <s v="City D"/>
    <n v="155"/>
    <n v="22"/>
    <x v="2"/>
    <x v="1"/>
    <x v="4"/>
    <x v="1"/>
    <x v="1"/>
    <d v="1899-12-30T14:09:00"/>
  </r>
  <r>
    <s v="1847"/>
    <s v="509 Cedar St, Cityb"/>
    <d v="2023-09-05T00:00:00"/>
    <s v="September"/>
    <x v="6"/>
    <d v="1899-12-30T10:21:00"/>
    <x v="1"/>
    <x v="1"/>
    <s v="D6"/>
    <x v="1"/>
    <s v="City D"/>
    <n v="187"/>
    <n v="28"/>
    <x v="2"/>
    <x v="1"/>
    <x v="2"/>
    <x v="2"/>
    <x v="0"/>
    <d v="1899-12-30T14:33:00"/>
  </r>
  <r>
    <s v="2025"/>
    <s v="110 Oak St, Cityb"/>
    <d v="2023-09-06T00:00:00"/>
    <s v="September"/>
    <x v="5"/>
    <d v="1899-12-30T09:54:00"/>
    <x v="0"/>
    <x v="0"/>
    <s v="D6"/>
    <x v="2"/>
    <s v="City E"/>
    <n v="161"/>
    <n v="2"/>
    <x v="1"/>
    <x v="0"/>
    <x v="3"/>
    <x v="2"/>
    <x v="1"/>
    <d v="1899-12-30T10:03:00"/>
  </r>
  <r>
    <s v="2096"/>
    <s v="91 Cedar St, Citye"/>
    <d v="2023-09-06T00:00:00"/>
    <s v="September"/>
    <x v="5"/>
    <d v="1899-12-30T14:25:00"/>
    <x v="0"/>
    <x v="0"/>
    <s v="D6"/>
    <x v="1"/>
    <s v="City E"/>
    <n v="195"/>
    <n v="4"/>
    <x v="1"/>
    <x v="0"/>
    <x v="1"/>
    <x v="0"/>
    <x v="1"/>
    <d v="1899-12-30T11:35:00"/>
  </r>
  <r>
    <s v="2187"/>
    <s v="732 Main St, Cityd"/>
    <d v="2023-09-06T00:00:00"/>
    <s v="September"/>
    <x v="5"/>
    <d v="1899-12-30T09:04:00"/>
    <x v="0"/>
    <x v="0"/>
    <s v="D6"/>
    <x v="1"/>
    <s v="City D"/>
    <n v="134"/>
    <n v="28"/>
    <x v="0"/>
    <x v="0"/>
    <x v="2"/>
    <x v="0"/>
    <x v="2"/>
    <d v="1899-12-30T09:32:00"/>
  </r>
  <r>
    <s v="2268"/>
    <s v="908 Main St, Citya"/>
    <d v="2023-09-03T00:00:00"/>
    <s v="September"/>
    <x v="0"/>
    <d v="1899-12-30T13:57:00"/>
    <x v="0"/>
    <x v="0"/>
    <s v="D6"/>
    <x v="2"/>
    <s v="City C"/>
    <n v="228"/>
    <n v="6"/>
    <x v="2"/>
    <x v="0"/>
    <x v="0"/>
    <x v="2"/>
    <x v="1"/>
    <d v="1899-12-30T14:02:00"/>
  </r>
  <r>
    <s v="2302"/>
    <s v="586 Main St, Cityd"/>
    <d v="2023-09-05T00:00:00"/>
    <s v="September"/>
    <x v="6"/>
    <d v="1899-12-30T12:25:00"/>
    <x v="0"/>
    <x v="0"/>
    <s v="D6"/>
    <x v="0"/>
    <s v="City E"/>
    <n v="230"/>
    <n v="25"/>
    <x v="0"/>
    <x v="0"/>
    <x v="0"/>
    <x v="1"/>
    <x v="2"/>
    <d v="1899-12-30T10:18:00"/>
  </r>
  <r>
    <s v="2377"/>
    <s v="615 Pine St, Cityd"/>
    <d v="2023-09-06T00:00:00"/>
    <s v="September"/>
    <x v="5"/>
    <d v="1899-12-30T13:35:00"/>
    <x v="0"/>
    <x v="0"/>
    <s v="D6"/>
    <x v="2"/>
    <s v="City E"/>
    <n v="197"/>
    <n v="20"/>
    <x v="1"/>
    <x v="0"/>
    <x v="0"/>
    <x v="2"/>
    <x v="2"/>
    <d v="1899-12-30T12:11:00"/>
  </r>
  <r>
    <s v="2466"/>
    <s v="415 Cedar St, Cityb"/>
    <d v="2023-09-01T00:00:00"/>
    <s v="September"/>
    <x v="3"/>
    <d v="1899-12-30T15:47:00"/>
    <x v="1"/>
    <x v="1"/>
    <s v="D6"/>
    <x v="1"/>
    <s v="City C"/>
    <n v="170"/>
    <n v="21"/>
    <x v="0"/>
    <x v="1"/>
    <x v="1"/>
    <x v="0"/>
    <x v="0"/>
    <d v="1899-12-30T16:42:00"/>
  </r>
  <r>
    <s v="1030"/>
    <s v="187 Cedar St, Cityb"/>
    <d v="2023-09-01T00:00:00"/>
    <s v="September"/>
    <x v="3"/>
    <d v="1899-12-30T13:23:00"/>
    <x v="0"/>
    <x v="0"/>
    <s v="D60"/>
    <x v="0"/>
    <s v="City D"/>
    <n v="80"/>
    <n v="28"/>
    <x v="2"/>
    <x v="0"/>
    <x v="0"/>
    <x v="2"/>
    <x v="2"/>
    <d v="1899-12-30T13:52:00"/>
  </r>
  <r>
    <s v="1199"/>
    <s v="707 Elm St, Citya"/>
    <d v="2023-09-01T00:00:00"/>
    <s v="September"/>
    <x v="3"/>
    <d v="1899-12-30T09:51:00"/>
    <x v="0"/>
    <x v="0"/>
    <s v="D60"/>
    <x v="0"/>
    <s v="City D"/>
    <n v="215"/>
    <n v="4"/>
    <x v="1"/>
    <x v="0"/>
    <x v="0"/>
    <x v="1"/>
    <x v="1"/>
    <d v="1899-12-30T13:49:00"/>
  </r>
  <r>
    <s v="1239"/>
    <s v="918 Main St, Citya"/>
    <d v="2023-09-07T00:00:00"/>
    <s v="September"/>
    <x v="2"/>
    <d v="1899-12-30T15:10:00"/>
    <x v="1"/>
    <x v="1"/>
    <s v="D60"/>
    <x v="1"/>
    <s v="City B"/>
    <n v="89"/>
    <n v="26"/>
    <x v="1"/>
    <x v="1"/>
    <x v="1"/>
    <x v="0"/>
    <x v="1"/>
    <d v="1899-12-30T10:37:00"/>
  </r>
  <r>
    <s v="1318"/>
    <s v="19 Pine St, Cityc"/>
    <d v="2023-09-02T00:00:00"/>
    <s v="September"/>
    <x v="4"/>
    <d v="1899-12-30T14:36:00"/>
    <x v="1"/>
    <x v="1"/>
    <s v="D60"/>
    <x v="1"/>
    <s v="City C"/>
    <n v="135"/>
    <n v="11"/>
    <x v="2"/>
    <x v="1"/>
    <x v="0"/>
    <x v="0"/>
    <x v="1"/>
    <d v="1899-12-30T12:51:00"/>
  </r>
  <r>
    <s v="1332"/>
    <s v="330 Main St, Citye"/>
    <d v="2023-09-05T00:00:00"/>
    <s v="September"/>
    <x v="6"/>
    <d v="1899-12-30T10:31:00"/>
    <x v="0"/>
    <x v="0"/>
    <s v="D60"/>
    <x v="1"/>
    <s v="City D"/>
    <n v="90"/>
    <n v="9"/>
    <x v="1"/>
    <x v="0"/>
    <x v="0"/>
    <x v="2"/>
    <x v="0"/>
    <d v="1899-12-30T15:51:00"/>
  </r>
  <r>
    <s v="1335"/>
    <s v="461 Pine St, Cityb"/>
    <d v="2023-09-08T00:00:00"/>
    <s v="September"/>
    <x v="3"/>
    <d v="1899-12-30T13:06:00"/>
    <x v="0"/>
    <x v="0"/>
    <s v="D60"/>
    <x v="0"/>
    <s v="City C"/>
    <n v="118"/>
    <n v="18"/>
    <x v="2"/>
    <x v="0"/>
    <x v="1"/>
    <x v="0"/>
    <x v="0"/>
    <d v="1899-12-30T11:52:00"/>
  </r>
  <r>
    <s v="1436"/>
    <s v="468 Elm St, Citya"/>
    <d v="2023-09-01T00:00:00"/>
    <s v="September"/>
    <x v="3"/>
    <d v="1899-12-30T08:00:00"/>
    <x v="1"/>
    <x v="1"/>
    <s v="D60"/>
    <x v="1"/>
    <s v="City A"/>
    <n v="212"/>
    <n v="20"/>
    <x v="0"/>
    <x v="1"/>
    <x v="1"/>
    <x v="2"/>
    <x v="1"/>
    <d v="1899-12-30T11:31:00"/>
  </r>
  <r>
    <s v="1484"/>
    <s v="120 Oak St, Cityc"/>
    <d v="2023-09-05T00:00:00"/>
    <s v="September"/>
    <x v="6"/>
    <d v="1899-12-30T12:16:00"/>
    <x v="0"/>
    <x v="0"/>
    <s v="D60"/>
    <x v="1"/>
    <s v="City C"/>
    <n v="89"/>
    <n v="28"/>
    <x v="0"/>
    <x v="0"/>
    <x v="4"/>
    <x v="2"/>
    <x v="2"/>
    <d v="1899-12-30T13:43:00"/>
  </r>
  <r>
    <s v="1750"/>
    <s v="251 Elm St, Citya"/>
    <d v="2023-09-08T00:00:00"/>
    <s v="September"/>
    <x v="3"/>
    <d v="1899-12-30T13:36:00"/>
    <x v="1"/>
    <x v="1"/>
    <s v="D60"/>
    <x v="1"/>
    <s v="City C"/>
    <n v="199"/>
    <n v="0"/>
    <x v="1"/>
    <x v="1"/>
    <x v="3"/>
    <x v="1"/>
    <x v="0"/>
    <d v="1899-12-30T09:08:00"/>
  </r>
  <r>
    <s v="1793"/>
    <s v="82 Pine St, Cityc"/>
    <d v="2023-09-04T00:00:00"/>
    <s v="September"/>
    <x v="1"/>
    <d v="1899-12-30T08:16:00"/>
    <x v="1"/>
    <x v="1"/>
    <s v="D60"/>
    <x v="1"/>
    <s v="City B"/>
    <n v="65"/>
    <n v="6"/>
    <x v="0"/>
    <x v="1"/>
    <x v="4"/>
    <x v="2"/>
    <x v="2"/>
    <d v="1899-12-30T16:00:00"/>
  </r>
  <r>
    <s v="1920"/>
    <s v="674 Oak St, Cityc"/>
    <d v="2023-09-01T00:00:00"/>
    <s v="September"/>
    <x v="3"/>
    <d v="1899-12-30T09:58:00"/>
    <x v="1"/>
    <x v="1"/>
    <s v="D60"/>
    <x v="2"/>
    <s v="City D"/>
    <n v="141"/>
    <n v="20"/>
    <x v="0"/>
    <x v="1"/>
    <x v="1"/>
    <x v="0"/>
    <x v="2"/>
    <d v="1899-12-30T13:33:00"/>
  </r>
  <r>
    <s v="1993"/>
    <s v="271 Elm St, Citye"/>
    <d v="2023-09-03T00:00:00"/>
    <s v="September"/>
    <x v="0"/>
    <d v="1899-12-30T10:02:00"/>
    <x v="1"/>
    <x v="1"/>
    <s v="D60"/>
    <x v="2"/>
    <s v="City E"/>
    <n v="63"/>
    <n v="27"/>
    <x v="2"/>
    <x v="1"/>
    <x v="1"/>
    <x v="2"/>
    <x v="0"/>
    <d v="1899-12-30T17:41:00"/>
  </r>
  <r>
    <s v="2091"/>
    <s v="765 Elm St, Citya"/>
    <d v="2023-09-06T00:00:00"/>
    <s v="September"/>
    <x v="5"/>
    <d v="1899-12-30T11:53:00"/>
    <x v="1"/>
    <x v="1"/>
    <s v="D60"/>
    <x v="1"/>
    <s v="City C"/>
    <n v="133"/>
    <n v="22"/>
    <x v="1"/>
    <x v="1"/>
    <x v="2"/>
    <x v="1"/>
    <x v="1"/>
    <d v="1899-12-30T14:48:00"/>
  </r>
  <r>
    <s v="2119"/>
    <s v="731 Cedar St, Citye"/>
    <d v="2023-09-03T00:00:00"/>
    <s v="September"/>
    <x v="0"/>
    <d v="1899-12-30T10:02:00"/>
    <x v="0"/>
    <x v="0"/>
    <s v="D60"/>
    <x v="2"/>
    <s v="City C"/>
    <n v="235"/>
    <n v="22"/>
    <x v="1"/>
    <x v="0"/>
    <x v="0"/>
    <x v="0"/>
    <x v="0"/>
    <d v="1899-12-30T13:03:00"/>
  </r>
  <r>
    <s v="2149"/>
    <s v="453 Main St, Cityd"/>
    <d v="2023-09-03T00:00:00"/>
    <s v="September"/>
    <x v="0"/>
    <d v="1899-12-30T11:38:00"/>
    <x v="0"/>
    <x v="0"/>
    <s v="D60"/>
    <x v="0"/>
    <s v="City B"/>
    <n v="71"/>
    <n v="16"/>
    <x v="2"/>
    <x v="0"/>
    <x v="0"/>
    <x v="0"/>
    <x v="2"/>
    <d v="1899-12-30T14:24:00"/>
  </r>
  <r>
    <s v="2155"/>
    <s v="884 Main St, Citya"/>
    <d v="2023-09-08T00:00:00"/>
    <s v="September"/>
    <x v="3"/>
    <d v="1899-12-30T11:14:00"/>
    <x v="0"/>
    <x v="0"/>
    <s v="D60"/>
    <x v="2"/>
    <s v="City B"/>
    <n v="162"/>
    <n v="3"/>
    <x v="1"/>
    <x v="0"/>
    <x v="0"/>
    <x v="2"/>
    <x v="1"/>
    <d v="1899-12-30T11:26:00"/>
  </r>
  <r>
    <s v="2203"/>
    <s v="199 Pine St, Cityb"/>
    <d v="2023-09-03T00:00:00"/>
    <s v="September"/>
    <x v="0"/>
    <d v="1899-12-30T09:53:00"/>
    <x v="1"/>
    <x v="1"/>
    <s v="D60"/>
    <x v="0"/>
    <s v="City D"/>
    <n v="105"/>
    <n v="21"/>
    <x v="2"/>
    <x v="1"/>
    <x v="4"/>
    <x v="1"/>
    <x v="1"/>
    <d v="1899-12-30T15:54:00"/>
  </r>
  <r>
    <s v="2381"/>
    <s v="685 Elm St, Citye"/>
    <d v="2023-09-02T00:00:00"/>
    <s v="September"/>
    <x v="4"/>
    <d v="1899-12-30T09:25:00"/>
    <x v="1"/>
    <x v="1"/>
    <s v="D60"/>
    <x v="1"/>
    <s v="City E"/>
    <n v="145"/>
    <n v="11"/>
    <x v="0"/>
    <x v="1"/>
    <x v="3"/>
    <x v="0"/>
    <x v="2"/>
    <d v="1899-12-30T10:47:00"/>
  </r>
  <r>
    <s v="2398"/>
    <s v="744 Pine St, Cityd"/>
    <d v="2023-09-01T00:00:00"/>
    <s v="September"/>
    <x v="3"/>
    <d v="1899-12-30T15:32:00"/>
    <x v="0"/>
    <x v="0"/>
    <s v="D60"/>
    <x v="0"/>
    <s v="City C"/>
    <n v="77"/>
    <n v="27"/>
    <x v="1"/>
    <x v="0"/>
    <x v="3"/>
    <x v="2"/>
    <x v="2"/>
    <d v="1899-12-30T08:58:00"/>
  </r>
  <r>
    <s v="2399"/>
    <s v="688 Elm St, Citye"/>
    <d v="2023-09-02T00:00:00"/>
    <s v="September"/>
    <x v="4"/>
    <d v="1899-12-30T11:12:00"/>
    <x v="0"/>
    <x v="0"/>
    <s v="D60"/>
    <x v="0"/>
    <s v="City D"/>
    <n v="178"/>
    <n v="6"/>
    <x v="2"/>
    <x v="0"/>
    <x v="3"/>
    <x v="2"/>
    <x v="0"/>
    <d v="1899-12-30T13:51:00"/>
  </r>
  <r>
    <s v="2411"/>
    <s v="733 Elm St, Cityb"/>
    <d v="2023-09-05T00:00:00"/>
    <s v="September"/>
    <x v="6"/>
    <d v="1899-12-30T15:44:00"/>
    <x v="0"/>
    <x v="0"/>
    <s v="D60"/>
    <x v="0"/>
    <s v="City D"/>
    <n v="195"/>
    <n v="0"/>
    <x v="2"/>
    <x v="0"/>
    <x v="1"/>
    <x v="2"/>
    <x v="0"/>
    <d v="1899-12-30T17:18:00"/>
  </r>
  <r>
    <s v="1147"/>
    <s v="550 Oak St, Cityb"/>
    <d v="2023-09-01T00:00:00"/>
    <s v="September"/>
    <x v="3"/>
    <d v="1899-12-30T10:09:00"/>
    <x v="1"/>
    <x v="1"/>
    <s v="D61"/>
    <x v="2"/>
    <s v="City C"/>
    <n v="71"/>
    <n v="3"/>
    <x v="2"/>
    <x v="1"/>
    <x v="1"/>
    <x v="1"/>
    <x v="0"/>
    <d v="1899-12-30T11:25:00"/>
  </r>
  <r>
    <s v="1160"/>
    <s v="373 Oak St, Cityc"/>
    <d v="2023-09-06T00:00:00"/>
    <s v="September"/>
    <x v="5"/>
    <d v="1899-12-30T09:52:00"/>
    <x v="0"/>
    <x v="0"/>
    <s v="D61"/>
    <x v="0"/>
    <s v="City A"/>
    <n v="214"/>
    <n v="14"/>
    <x v="1"/>
    <x v="0"/>
    <x v="2"/>
    <x v="1"/>
    <x v="2"/>
    <d v="1899-12-30T11:00:00"/>
  </r>
  <r>
    <s v="1245"/>
    <s v="741 Main St, Cityc"/>
    <d v="2023-09-04T00:00:00"/>
    <s v="September"/>
    <x v="1"/>
    <d v="1899-12-30T15:05:00"/>
    <x v="1"/>
    <x v="1"/>
    <s v="D61"/>
    <x v="2"/>
    <s v="City E"/>
    <n v="64"/>
    <n v="8"/>
    <x v="2"/>
    <x v="1"/>
    <x v="1"/>
    <x v="2"/>
    <x v="1"/>
    <d v="1899-12-30T16:14:00"/>
  </r>
  <r>
    <s v="1286"/>
    <s v="477 Pine St, Cityc"/>
    <d v="2023-09-01T00:00:00"/>
    <s v="September"/>
    <x v="3"/>
    <d v="1899-12-30T15:18:00"/>
    <x v="0"/>
    <x v="0"/>
    <s v="D61"/>
    <x v="2"/>
    <s v="City B"/>
    <n v="104"/>
    <n v="22"/>
    <x v="2"/>
    <x v="0"/>
    <x v="3"/>
    <x v="2"/>
    <x v="0"/>
    <d v="1899-12-30T13:17:00"/>
  </r>
  <r>
    <s v="1319"/>
    <s v="428 Elm St, Cityb"/>
    <d v="2023-09-07T00:00:00"/>
    <s v="September"/>
    <x v="2"/>
    <d v="1899-12-30T12:38:00"/>
    <x v="1"/>
    <x v="1"/>
    <s v="D61"/>
    <x v="1"/>
    <s v="City E"/>
    <n v="197"/>
    <n v="25"/>
    <x v="1"/>
    <x v="1"/>
    <x v="3"/>
    <x v="2"/>
    <x v="2"/>
    <d v="1899-12-30T11:59:00"/>
  </r>
  <r>
    <s v="1354"/>
    <s v="458 Pine St, Citye"/>
    <d v="2023-09-08T00:00:00"/>
    <s v="September"/>
    <x v="3"/>
    <d v="1899-12-30T15:09:00"/>
    <x v="0"/>
    <x v="0"/>
    <s v="D61"/>
    <x v="2"/>
    <s v="City D"/>
    <n v="146"/>
    <n v="17"/>
    <x v="2"/>
    <x v="0"/>
    <x v="1"/>
    <x v="0"/>
    <x v="0"/>
    <d v="1899-12-30T16:56:00"/>
  </r>
  <r>
    <s v="1377"/>
    <s v="411 Cedar St, Citya"/>
    <d v="2023-09-03T00:00:00"/>
    <s v="September"/>
    <x v="0"/>
    <d v="1899-12-30T14:29:00"/>
    <x v="1"/>
    <x v="1"/>
    <s v="D61"/>
    <x v="2"/>
    <s v="City D"/>
    <n v="182"/>
    <n v="17"/>
    <x v="1"/>
    <x v="1"/>
    <x v="1"/>
    <x v="0"/>
    <x v="0"/>
    <d v="1899-12-30T10:03:00"/>
  </r>
  <r>
    <s v="1416"/>
    <s v="524 Main St, Cityc"/>
    <d v="2023-09-04T00:00:00"/>
    <s v="September"/>
    <x v="1"/>
    <d v="1899-12-30T14:08:00"/>
    <x v="1"/>
    <x v="1"/>
    <s v="D61"/>
    <x v="0"/>
    <s v="City D"/>
    <n v="105"/>
    <n v="18"/>
    <x v="0"/>
    <x v="1"/>
    <x v="3"/>
    <x v="0"/>
    <x v="1"/>
    <d v="1899-12-30T15:30:00"/>
  </r>
  <r>
    <s v="1432"/>
    <s v="760 Oak St, Citya"/>
    <d v="2023-09-03T00:00:00"/>
    <s v="September"/>
    <x v="0"/>
    <d v="1899-12-30T09:05:00"/>
    <x v="1"/>
    <x v="1"/>
    <s v="D61"/>
    <x v="0"/>
    <s v="City E"/>
    <n v="135"/>
    <n v="7"/>
    <x v="1"/>
    <x v="1"/>
    <x v="0"/>
    <x v="0"/>
    <x v="1"/>
    <d v="1899-12-30T09:06:00"/>
  </r>
  <r>
    <s v="1919"/>
    <s v="954 Oak St, Cityb"/>
    <d v="2023-09-07T00:00:00"/>
    <s v="September"/>
    <x v="2"/>
    <d v="1899-12-30T08:30:00"/>
    <x v="0"/>
    <x v="0"/>
    <s v="D61"/>
    <x v="2"/>
    <s v="City E"/>
    <n v="122"/>
    <n v="6"/>
    <x v="1"/>
    <x v="0"/>
    <x v="0"/>
    <x v="1"/>
    <x v="2"/>
    <d v="1899-12-30T14:13:00"/>
  </r>
  <r>
    <s v="2081"/>
    <s v="736 Elm St, Cityb"/>
    <d v="2023-09-07T00:00:00"/>
    <s v="September"/>
    <x v="2"/>
    <d v="1899-12-30T15:45:00"/>
    <x v="0"/>
    <x v="0"/>
    <s v="D61"/>
    <x v="1"/>
    <s v="City C"/>
    <n v="232"/>
    <n v="23"/>
    <x v="0"/>
    <x v="0"/>
    <x v="3"/>
    <x v="1"/>
    <x v="0"/>
    <d v="1899-12-30T12:24:00"/>
  </r>
  <r>
    <s v="2137"/>
    <s v="552 Elm St, Cityb"/>
    <d v="2023-09-05T00:00:00"/>
    <s v="September"/>
    <x v="6"/>
    <d v="1899-12-30T14:25:00"/>
    <x v="0"/>
    <x v="0"/>
    <s v="D61"/>
    <x v="2"/>
    <s v="City A"/>
    <n v="137"/>
    <n v="0"/>
    <x v="0"/>
    <x v="0"/>
    <x v="3"/>
    <x v="0"/>
    <x v="2"/>
    <d v="1899-12-30T12:21:00"/>
  </r>
  <r>
    <s v="2146"/>
    <s v="438 Pine St, Cityb"/>
    <d v="2023-09-02T00:00:00"/>
    <s v="September"/>
    <x v="4"/>
    <d v="1899-12-30T08:42:00"/>
    <x v="1"/>
    <x v="1"/>
    <s v="D61"/>
    <x v="2"/>
    <s v="City E"/>
    <n v="66"/>
    <n v="18"/>
    <x v="2"/>
    <x v="1"/>
    <x v="2"/>
    <x v="2"/>
    <x v="2"/>
    <d v="1899-12-30T13:36:00"/>
  </r>
  <r>
    <s v="2167"/>
    <s v="685 Cedar St, Citye"/>
    <d v="2023-09-06T00:00:00"/>
    <s v="September"/>
    <x v="5"/>
    <d v="1899-12-30T16:38:00"/>
    <x v="0"/>
    <x v="0"/>
    <s v="D61"/>
    <x v="2"/>
    <s v="City D"/>
    <n v="169"/>
    <n v="24"/>
    <x v="0"/>
    <x v="0"/>
    <x v="1"/>
    <x v="1"/>
    <x v="0"/>
    <d v="1899-12-30T15:29:00"/>
  </r>
  <r>
    <s v="2234"/>
    <s v="874 Oak St, Cityb"/>
    <d v="2023-09-07T00:00:00"/>
    <s v="September"/>
    <x v="2"/>
    <d v="1899-12-30T10:52:00"/>
    <x v="0"/>
    <x v="0"/>
    <s v="D61"/>
    <x v="0"/>
    <s v="City E"/>
    <n v="195"/>
    <n v="10"/>
    <x v="0"/>
    <x v="0"/>
    <x v="4"/>
    <x v="2"/>
    <x v="1"/>
    <d v="1899-12-30T15:59:00"/>
  </r>
  <r>
    <s v="2308"/>
    <s v="248 Oak St, Citye"/>
    <d v="2023-09-02T00:00:00"/>
    <s v="September"/>
    <x v="4"/>
    <d v="1899-12-30T11:25:00"/>
    <x v="0"/>
    <x v="0"/>
    <s v="D61"/>
    <x v="1"/>
    <s v="City E"/>
    <n v="132"/>
    <n v="2"/>
    <x v="1"/>
    <x v="0"/>
    <x v="1"/>
    <x v="0"/>
    <x v="0"/>
    <d v="1899-12-30T13:42:00"/>
  </r>
  <r>
    <s v="2346"/>
    <s v="768 Elm St, Cityc"/>
    <d v="2023-09-05T00:00:00"/>
    <s v="September"/>
    <x v="6"/>
    <d v="1899-12-30T14:30:00"/>
    <x v="0"/>
    <x v="0"/>
    <s v="D61"/>
    <x v="1"/>
    <s v="City B"/>
    <n v="133"/>
    <n v="22"/>
    <x v="1"/>
    <x v="0"/>
    <x v="1"/>
    <x v="1"/>
    <x v="0"/>
    <d v="1899-12-30T11:55:00"/>
  </r>
  <r>
    <s v="2488"/>
    <s v="94 Oak St, Cityb"/>
    <d v="2023-09-06T00:00:00"/>
    <s v="September"/>
    <x v="5"/>
    <d v="1899-12-30T08:40:00"/>
    <x v="0"/>
    <x v="0"/>
    <s v="D61"/>
    <x v="2"/>
    <s v="City E"/>
    <n v="172"/>
    <n v="11"/>
    <x v="0"/>
    <x v="0"/>
    <x v="2"/>
    <x v="0"/>
    <x v="0"/>
    <d v="1899-12-30T13:17:00"/>
  </r>
  <r>
    <s v="2500"/>
    <s v="510 Elm St, Cityb"/>
    <d v="2023-09-03T00:00:00"/>
    <s v="September"/>
    <x v="0"/>
    <d v="1899-12-30T15:31:00"/>
    <x v="1"/>
    <x v="1"/>
    <s v="D61"/>
    <x v="2"/>
    <s v="City D"/>
    <n v="134"/>
    <n v="23"/>
    <x v="2"/>
    <x v="1"/>
    <x v="0"/>
    <x v="2"/>
    <x v="1"/>
    <d v="1899-12-30T12:20:00"/>
  </r>
  <r>
    <s v="1228"/>
    <s v="310 Pine St, Cityb"/>
    <d v="2023-09-05T00:00:00"/>
    <s v="September"/>
    <x v="6"/>
    <d v="1899-12-30T13:23:00"/>
    <x v="1"/>
    <x v="1"/>
    <s v="D62"/>
    <x v="0"/>
    <s v="City D"/>
    <n v="148"/>
    <n v="9"/>
    <x v="1"/>
    <x v="1"/>
    <x v="2"/>
    <x v="1"/>
    <x v="0"/>
    <d v="1899-12-30T14:12:00"/>
  </r>
  <r>
    <s v="1476"/>
    <s v="872 Cedar St, Cityb"/>
    <d v="2023-09-03T00:00:00"/>
    <s v="September"/>
    <x v="0"/>
    <d v="1899-12-30T13:46:00"/>
    <x v="1"/>
    <x v="1"/>
    <s v="D62"/>
    <x v="0"/>
    <s v="City C"/>
    <n v="71"/>
    <n v="14"/>
    <x v="0"/>
    <x v="1"/>
    <x v="4"/>
    <x v="0"/>
    <x v="1"/>
    <d v="1899-12-30T16:34:00"/>
  </r>
  <r>
    <s v="1639"/>
    <s v="144 Elm St, Citya"/>
    <d v="2023-09-04T00:00:00"/>
    <s v="September"/>
    <x v="1"/>
    <d v="1899-12-30T13:51:00"/>
    <x v="1"/>
    <x v="1"/>
    <s v="D62"/>
    <x v="2"/>
    <s v="City D"/>
    <n v="173"/>
    <n v="16"/>
    <x v="0"/>
    <x v="1"/>
    <x v="1"/>
    <x v="0"/>
    <x v="1"/>
    <d v="1899-12-30T12:07:00"/>
  </r>
  <r>
    <s v="1937"/>
    <s v="65 Elm St, Cityb"/>
    <d v="2023-09-01T00:00:00"/>
    <s v="September"/>
    <x v="3"/>
    <d v="1899-12-30T10:10:00"/>
    <x v="0"/>
    <x v="0"/>
    <s v="D62"/>
    <x v="0"/>
    <s v="City C"/>
    <n v="222"/>
    <n v="7"/>
    <x v="0"/>
    <x v="0"/>
    <x v="4"/>
    <x v="2"/>
    <x v="2"/>
    <d v="1899-12-30T12:08:00"/>
  </r>
  <r>
    <s v="2178"/>
    <s v="371 Cedar St, Cityc"/>
    <d v="2023-09-08T00:00:00"/>
    <s v="September"/>
    <x v="3"/>
    <d v="1899-12-30T10:28:00"/>
    <x v="0"/>
    <x v="0"/>
    <s v="D62"/>
    <x v="2"/>
    <s v="City B"/>
    <n v="114"/>
    <n v="23"/>
    <x v="2"/>
    <x v="0"/>
    <x v="3"/>
    <x v="1"/>
    <x v="1"/>
    <d v="1899-12-30T13:42:00"/>
  </r>
  <r>
    <s v="2263"/>
    <s v="747 Oak St, Citye"/>
    <d v="2023-09-02T00:00:00"/>
    <s v="September"/>
    <x v="4"/>
    <d v="1899-12-30T16:19:00"/>
    <x v="1"/>
    <x v="1"/>
    <s v="D62"/>
    <x v="2"/>
    <s v="City A"/>
    <n v="165"/>
    <n v="27"/>
    <x v="1"/>
    <x v="1"/>
    <x v="4"/>
    <x v="0"/>
    <x v="1"/>
    <d v="1899-12-30T15:51:00"/>
  </r>
  <r>
    <s v="2418"/>
    <s v="225 Pine St, Cityb"/>
    <d v="2023-09-02T00:00:00"/>
    <s v="September"/>
    <x v="4"/>
    <d v="1899-12-30T14:31:00"/>
    <x v="0"/>
    <x v="0"/>
    <s v="D62"/>
    <x v="0"/>
    <s v="City E"/>
    <n v="115"/>
    <n v="12"/>
    <x v="0"/>
    <x v="0"/>
    <x v="4"/>
    <x v="2"/>
    <x v="0"/>
    <d v="1899-12-30T11:59:00"/>
  </r>
  <r>
    <s v="2423"/>
    <s v="224 Pine St, Citya"/>
    <d v="2023-09-05T00:00:00"/>
    <s v="September"/>
    <x v="6"/>
    <d v="1899-12-30T10:37:00"/>
    <x v="1"/>
    <x v="1"/>
    <s v="D62"/>
    <x v="2"/>
    <s v="City B"/>
    <n v="80"/>
    <n v="22"/>
    <x v="1"/>
    <x v="1"/>
    <x v="2"/>
    <x v="0"/>
    <x v="2"/>
    <d v="1899-12-30T13:01:00"/>
  </r>
  <r>
    <s v="2479"/>
    <s v="709 Elm St, Citye"/>
    <d v="2023-09-08T00:00:00"/>
    <s v="September"/>
    <x v="3"/>
    <d v="1899-12-30T12:13:00"/>
    <x v="1"/>
    <x v="1"/>
    <s v="D62"/>
    <x v="1"/>
    <s v="City E"/>
    <n v="129"/>
    <n v="6"/>
    <x v="2"/>
    <x v="1"/>
    <x v="3"/>
    <x v="1"/>
    <x v="2"/>
    <d v="1899-12-30T08:51:00"/>
  </r>
  <r>
    <s v="1050"/>
    <s v="367 Main St, Cityd"/>
    <d v="2023-09-07T00:00:00"/>
    <s v="September"/>
    <x v="2"/>
    <d v="1899-12-30T11:51:00"/>
    <x v="0"/>
    <x v="0"/>
    <s v="D63"/>
    <x v="0"/>
    <s v="City A"/>
    <n v="94"/>
    <n v="15"/>
    <x v="2"/>
    <x v="0"/>
    <x v="3"/>
    <x v="2"/>
    <x v="0"/>
    <d v="1899-12-30T12:09:00"/>
  </r>
  <r>
    <s v="1055"/>
    <s v="535 Pine St, Citye"/>
    <d v="2023-09-06T00:00:00"/>
    <s v="September"/>
    <x v="5"/>
    <d v="1899-12-30T08:49:00"/>
    <x v="0"/>
    <x v="0"/>
    <s v="D63"/>
    <x v="2"/>
    <s v="City C"/>
    <n v="239"/>
    <n v="24"/>
    <x v="1"/>
    <x v="0"/>
    <x v="4"/>
    <x v="1"/>
    <x v="0"/>
    <d v="1899-12-30T09:20:00"/>
  </r>
  <r>
    <s v="1116"/>
    <s v="743 Oak St, Citya"/>
    <d v="2023-09-01T00:00:00"/>
    <s v="September"/>
    <x v="3"/>
    <d v="1899-12-30T09:25:00"/>
    <x v="0"/>
    <x v="0"/>
    <s v="D63"/>
    <x v="1"/>
    <s v="City B"/>
    <n v="117"/>
    <n v="15"/>
    <x v="0"/>
    <x v="0"/>
    <x v="3"/>
    <x v="1"/>
    <x v="2"/>
    <d v="1899-12-30T15:39:00"/>
  </r>
  <r>
    <s v="1506"/>
    <s v="651 Cedar St, Citye"/>
    <d v="2023-09-04T00:00:00"/>
    <s v="September"/>
    <x v="1"/>
    <d v="1899-12-30T15:10:00"/>
    <x v="1"/>
    <x v="1"/>
    <s v="D63"/>
    <x v="0"/>
    <s v="City E"/>
    <n v="74"/>
    <n v="28"/>
    <x v="2"/>
    <x v="1"/>
    <x v="3"/>
    <x v="2"/>
    <x v="2"/>
    <d v="1899-12-30T15:24:00"/>
  </r>
  <r>
    <s v="1560"/>
    <s v="69 Elm St, Citye"/>
    <d v="2023-09-02T00:00:00"/>
    <s v="September"/>
    <x v="4"/>
    <d v="1899-12-30T10:01:00"/>
    <x v="1"/>
    <x v="1"/>
    <s v="D63"/>
    <x v="2"/>
    <s v="City A"/>
    <n v="217"/>
    <n v="19"/>
    <x v="1"/>
    <x v="1"/>
    <x v="1"/>
    <x v="2"/>
    <x v="2"/>
    <d v="1899-12-30T13:03:00"/>
  </r>
  <r>
    <s v="1873"/>
    <s v="764 Pine St, Cityc"/>
    <d v="2023-09-05T00:00:00"/>
    <s v="September"/>
    <x v="6"/>
    <d v="1899-12-30T09:58:00"/>
    <x v="0"/>
    <x v="0"/>
    <s v="D63"/>
    <x v="1"/>
    <s v="City B"/>
    <n v="125"/>
    <n v="21"/>
    <x v="0"/>
    <x v="0"/>
    <x v="3"/>
    <x v="2"/>
    <x v="0"/>
    <d v="1899-12-30T16:34:00"/>
  </r>
  <r>
    <s v="1881"/>
    <s v="739 Elm St, Cityd"/>
    <d v="2023-09-03T00:00:00"/>
    <s v="September"/>
    <x v="0"/>
    <d v="1899-12-30T13:56:00"/>
    <x v="1"/>
    <x v="1"/>
    <s v="D63"/>
    <x v="2"/>
    <s v="City A"/>
    <n v="228"/>
    <n v="13"/>
    <x v="1"/>
    <x v="1"/>
    <x v="3"/>
    <x v="0"/>
    <x v="1"/>
    <d v="1899-12-30T13:32:00"/>
  </r>
  <r>
    <s v="2179"/>
    <s v="543 Elm St, Cityd"/>
    <d v="2023-09-03T00:00:00"/>
    <s v="September"/>
    <x v="0"/>
    <d v="1899-12-30T15:20:00"/>
    <x v="1"/>
    <x v="1"/>
    <s v="D63"/>
    <x v="0"/>
    <s v="City A"/>
    <n v="194"/>
    <n v="6"/>
    <x v="2"/>
    <x v="1"/>
    <x v="2"/>
    <x v="0"/>
    <x v="2"/>
    <d v="1899-12-30T15:38:00"/>
  </r>
  <r>
    <s v="2184"/>
    <s v="678 Main St, Cityc"/>
    <d v="2023-09-03T00:00:00"/>
    <s v="September"/>
    <x v="0"/>
    <d v="1899-12-30T10:51:00"/>
    <x v="0"/>
    <x v="0"/>
    <s v="D63"/>
    <x v="1"/>
    <s v="City D"/>
    <n v="205"/>
    <n v="20"/>
    <x v="1"/>
    <x v="0"/>
    <x v="0"/>
    <x v="0"/>
    <x v="1"/>
    <d v="1899-12-30T10:22:00"/>
  </r>
  <r>
    <s v="2340"/>
    <s v="984 Main St, Cityd"/>
    <d v="2023-09-01T00:00:00"/>
    <s v="September"/>
    <x v="3"/>
    <d v="1899-12-30T14:56:00"/>
    <x v="1"/>
    <x v="1"/>
    <s v="D63"/>
    <x v="0"/>
    <s v="City C"/>
    <n v="191"/>
    <n v="18"/>
    <x v="1"/>
    <x v="1"/>
    <x v="0"/>
    <x v="1"/>
    <x v="0"/>
    <d v="1899-12-30T13:18:00"/>
  </r>
  <r>
    <s v="2429"/>
    <s v="523 Main St, Citya"/>
    <d v="2023-09-01T00:00:00"/>
    <s v="September"/>
    <x v="3"/>
    <d v="1899-12-30T15:14:00"/>
    <x v="0"/>
    <x v="0"/>
    <s v="D63"/>
    <x v="1"/>
    <s v="City C"/>
    <n v="63"/>
    <n v="17"/>
    <x v="0"/>
    <x v="0"/>
    <x v="0"/>
    <x v="0"/>
    <x v="0"/>
    <d v="1899-12-30T14:27:00"/>
  </r>
  <r>
    <s v="1082"/>
    <s v="211 Main St, Cityc"/>
    <d v="2023-09-01T00:00:00"/>
    <s v="September"/>
    <x v="3"/>
    <d v="1899-12-30T09:13:00"/>
    <x v="0"/>
    <x v="0"/>
    <s v="D64"/>
    <x v="2"/>
    <s v="City B"/>
    <n v="180"/>
    <n v="24"/>
    <x v="2"/>
    <x v="0"/>
    <x v="4"/>
    <x v="2"/>
    <x v="2"/>
    <d v="1899-12-30T13:17:00"/>
  </r>
  <r>
    <s v="1144"/>
    <s v="628 Oak St, Cityc"/>
    <d v="2023-09-08T00:00:00"/>
    <s v="September"/>
    <x v="3"/>
    <d v="1899-12-30T16:58:00"/>
    <x v="1"/>
    <x v="1"/>
    <s v="D64"/>
    <x v="1"/>
    <s v="City D"/>
    <n v="215"/>
    <n v="24"/>
    <x v="2"/>
    <x v="1"/>
    <x v="1"/>
    <x v="2"/>
    <x v="2"/>
    <d v="1899-12-30T09:47:00"/>
  </r>
  <r>
    <s v="1210"/>
    <s v="908 Oak St, Citya"/>
    <d v="2023-09-08T00:00:00"/>
    <s v="September"/>
    <x v="3"/>
    <d v="1899-12-30T08:09:00"/>
    <x v="0"/>
    <x v="0"/>
    <s v="D64"/>
    <x v="2"/>
    <s v="City B"/>
    <n v="212"/>
    <n v="23"/>
    <x v="1"/>
    <x v="0"/>
    <x v="2"/>
    <x v="0"/>
    <x v="0"/>
    <d v="1899-12-30T10:59:00"/>
  </r>
  <r>
    <s v="1257"/>
    <s v="620 Elm St, Cityd"/>
    <d v="2023-09-01T00:00:00"/>
    <s v="September"/>
    <x v="3"/>
    <d v="1899-12-30T12:31:00"/>
    <x v="0"/>
    <x v="0"/>
    <s v="D64"/>
    <x v="2"/>
    <s v="City B"/>
    <n v="218"/>
    <n v="25"/>
    <x v="1"/>
    <x v="0"/>
    <x v="2"/>
    <x v="1"/>
    <x v="2"/>
    <d v="1899-12-30T17:15:00"/>
  </r>
  <r>
    <s v="1325"/>
    <s v="989 Oak St, Citye"/>
    <d v="2023-09-01T00:00:00"/>
    <s v="September"/>
    <x v="3"/>
    <d v="1899-12-30T15:42:00"/>
    <x v="1"/>
    <x v="1"/>
    <s v="D64"/>
    <x v="0"/>
    <s v="City B"/>
    <n v="201"/>
    <n v="7"/>
    <x v="1"/>
    <x v="1"/>
    <x v="4"/>
    <x v="0"/>
    <x v="2"/>
    <d v="1899-12-30T16:24:00"/>
  </r>
  <r>
    <s v="1358"/>
    <s v="283 Elm St, Citye"/>
    <d v="2023-09-03T00:00:00"/>
    <s v="September"/>
    <x v="0"/>
    <d v="1899-12-30T11:22:00"/>
    <x v="1"/>
    <x v="1"/>
    <s v="D64"/>
    <x v="2"/>
    <s v="City A"/>
    <n v="110"/>
    <n v="15"/>
    <x v="2"/>
    <x v="1"/>
    <x v="1"/>
    <x v="1"/>
    <x v="2"/>
    <d v="1899-12-30T14:31:00"/>
  </r>
  <r>
    <s v="1371"/>
    <s v="66 Main St, Cityb"/>
    <d v="2023-09-07T00:00:00"/>
    <s v="September"/>
    <x v="2"/>
    <d v="1899-12-30T12:01:00"/>
    <x v="1"/>
    <x v="1"/>
    <s v="D64"/>
    <x v="1"/>
    <s v="City C"/>
    <n v="172"/>
    <n v="27"/>
    <x v="2"/>
    <x v="1"/>
    <x v="0"/>
    <x v="1"/>
    <x v="1"/>
    <d v="1899-12-30T15:56:00"/>
  </r>
  <r>
    <s v="1614"/>
    <s v="271 Cedar St, Cityd"/>
    <d v="2023-09-06T00:00:00"/>
    <s v="September"/>
    <x v="5"/>
    <d v="1899-12-30T16:45:00"/>
    <x v="1"/>
    <x v="1"/>
    <s v="D64"/>
    <x v="2"/>
    <s v="City D"/>
    <n v="106"/>
    <n v="28"/>
    <x v="2"/>
    <x v="1"/>
    <x v="0"/>
    <x v="1"/>
    <x v="1"/>
    <d v="1899-12-30T15:13:00"/>
  </r>
  <r>
    <s v="1745"/>
    <s v="25 Oak St, Cityd"/>
    <d v="2023-09-06T00:00:00"/>
    <s v="September"/>
    <x v="5"/>
    <d v="1899-12-30T08:43:00"/>
    <x v="1"/>
    <x v="1"/>
    <s v="D64"/>
    <x v="0"/>
    <s v="City E"/>
    <n v="222"/>
    <n v="19"/>
    <x v="2"/>
    <x v="1"/>
    <x v="3"/>
    <x v="2"/>
    <x v="2"/>
    <d v="1899-12-30T15:44:00"/>
  </r>
  <r>
    <s v="1833"/>
    <s v="299 Oak St, Cityc"/>
    <d v="2023-09-01T00:00:00"/>
    <s v="September"/>
    <x v="3"/>
    <d v="1899-12-30T11:52:00"/>
    <x v="1"/>
    <x v="1"/>
    <s v="D64"/>
    <x v="2"/>
    <s v="City B"/>
    <n v="219"/>
    <n v="1"/>
    <x v="2"/>
    <x v="1"/>
    <x v="3"/>
    <x v="0"/>
    <x v="2"/>
    <d v="1899-12-30T10:44:00"/>
  </r>
  <r>
    <s v="1866"/>
    <s v="672 Main St, Cityc"/>
    <d v="2023-09-07T00:00:00"/>
    <s v="September"/>
    <x v="2"/>
    <d v="1899-12-30T15:36:00"/>
    <x v="0"/>
    <x v="0"/>
    <s v="D64"/>
    <x v="1"/>
    <s v="City D"/>
    <n v="157"/>
    <n v="6"/>
    <x v="1"/>
    <x v="0"/>
    <x v="1"/>
    <x v="1"/>
    <x v="2"/>
    <d v="1899-12-30T09:29:00"/>
  </r>
  <r>
    <s v="1985"/>
    <s v="103 Pine St, Citya"/>
    <d v="2023-09-08T00:00:00"/>
    <s v="September"/>
    <x v="3"/>
    <d v="1899-12-30T16:34:00"/>
    <x v="1"/>
    <x v="1"/>
    <s v="D64"/>
    <x v="1"/>
    <s v="City E"/>
    <n v="214"/>
    <n v="23"/>
    <x v="0"/>
    <x v="1"/>
    <x v="4"/>
    <x v="0"/>
    <x v="0"/>
    <d v="1899-12-30T11:22:00"/>
  </r>
  <r>
    <s v="2051"/>
    <s v="275 Oak St, Citye"/>
    <d v="2023-09-03T00:00:00"/>
    <s v="September"/>
    <x v="0"/>
    <d v="1899-12-30T10:54:00"/>
    <x v="1"/>
    <x v="1"/>
    <s v="D64"/>
    <x v="1"/>
    <s v="City E"/>
    <n v="147"/>
    <n v="28"/>
    <x v="2"/>
    <x v="1"/>
    <x v="0"/>
    <x v="1"/>
    <x v="2"/>
    <d v="1899-12-30T09:23:00"/>
  </r>
  <r>
    <s v="2087"/>
    <s v="915 Elm St, Citya"/>
    <d v="2023-09-02T00:00:00"/>
    <s v="September"/>
    <x v="4"/>
    <d v="1899-12-30T10:56:00"/>
    <x v="1"/>
    <x v="1"/>
    <s v="D64"/>
    <x v="2"/>
    <s v="City B"/>
    <n v="238"/>
    <n v="24"/>
    <x v="1"/>
    <x v="1"/>
    <x v="1"/>
    <x v="0"/>
    <x v="0"/>
    <d v="1899-12-30T14:20:00"/>
  </r>
  <r>
    <s v="2335"/>
    <s v="584 Cedar St, Cityb"/>
    <d v="2023-09-05T00:00:00"/>
    <s v="September"/>
    <x v="6"/>
    <d v="1899-12-30T15:34:00"/>
    <x v="1"/>
    <x v="1"/>
    <s v="D64"/>
    <x v="1"/>
    <s v="City C"/>
    <n v="74"/>
    <n v="6"/>
    <x v="0"/>
    <x v="1"/>
    <x v="4"/>
    <x v="2"/>
    <x v="1"/>
    <d v="1899-12-30T17:39:00"/>
  </r>
  <r>
    <s v="2359"/>
    <s v="693 Elm St, Cityd"/>
    <d v="2023-09-07T00:00:00"/>
    <s v="September"/>
    <x v="2"/>
    <d v="1899-12-30T15:57:00"/>
    <x v="1"/>
    <x v="1"/>
    <s v="D64"/>
    <x v="1"/>
    <s v="City D"/>
    <n v="103"/>
    <n v="15"/>
    <x v="1"/>
    <x v="1"/>
    <x v="4"/>
    <x v="1"/>
    <x v="1"/>
    <d v="1899-12-30T11:15:00"/>
  </r>
  <r>
    <s v="2368"/>
    <s v="586 Oak St, Citya"/>
    <d v="2023-09-01T00:00:00"/>
    <s v="September"/>
    <x v="3"/>
    <d v="1899-12-30T10:44:00"/>
    <x v="0"/>
    <x v="0"/>
    <s v="D64"/>
    <x v="1"/>
    <s v="City D"/>
    <n v="225"/>
    <n v="19"/>
    <x v="2"/>
    <x v="0"/>
    <x v="4"/>
    <x v="0"/>
    <x v="0"/>
    <d v="1899-12-30T14:55:00"/>
  </r>
  <r>
    <s v="1095"/>
    <s v="642 Pine St, Citya"/>
    <d v="2023-09-04T00:00:00"/>
    <s v="September"/>
    <x v="1"/>
    <d v="1899-12-30T09:33:00"/>
    <x v="0"/>
    <x v="0"/>
    <s v="D65"/>
    <x v="2"/>
    <s v="City E"/>
    <n v="157"/>
    <n v="1"/>
    <x v="0"/>
    <x v="0"/>
    <x v="4"/>
    <x v="1"/>
    <x v="2"/>
    <d v="1899-12-30T11:28:00"/>
  </r>
  <r>
    <s v="1139"/>
    <s v="578 Cedar St, Citya"/>
    <d v="2023-09-08T00:00:00"/>
    <s v="September"/>
    <x v="3"/>
    <d v="1899-12-30T10:57:00"/>
    <x v="1"/>
    <x v="1"/>
    <s v="D65"/>
    <x v="2"/>
    <s v="City E"/>
    <n v="97"/>
    <n v="13"/>
    <x v="0"/>
    <x v="1"/>
    <x v="2"/>
    <x v="1"/>
    <x v="2"/>
    <d v="1899-12-30T15:52:00"/>
  </r>
  <r>
    <s v="1143"/>
    <s v="461 Elm St, Cityd"/>
    <d v="2023-09-08T00:00:00"/>
    <s v="September"/>
    <x v="3"/>
    <d v="1899-12-30T11:42:00"/>
    <x v="1"/>
    <x v="1"/>
    <s v="D65"/>
    <x v="2"/>
    <s v="City D"/>
    <n v="223"/>
    <n v="12"/>
    <x v="2"/>
    <x v="1"/>
    <x v="0"/>
    <x v="1"/>
    <x v="1"/>
    <d v="1899-12-30T11:54:00"/>
  </r>
  <r>
    <s v="1488"/>
    <s v="705 Main St, Cityb"/>
    <d v="2023-09-04T00:00:00"/>
    <s v="September"/>
    <x v="1"/>
    <d v="1899-12-30T09:30:00"/>
    <x v="0"/>
    <x v="0"/>
    <s v="D65"/>
    <x v="2"/>
    <s v="City E"/>
    <n v="193"/>
    <n v="28"/>
    <x v="1"/>
    <x v="0"/>
    <x v="1"/>
    <x v="1"/>
    <x v="0"/>
    <d v="1899-12-30T14:13:00"/>
  </r>
  <r>
    <s v="1540"/>
    <s v="310 Elm St, Cityb"/>
    <d v="2023-09-07T00:00:00"/>
    <s v="September"/>
    <x v="2"/>
    <d v="1899-12-30T09:00:00"/>
    <x v="0"/>
    <x v="0"/>
    <s v="D65"/>
    <x v="0"/>
    <s v="City B"/>
    <n v="231"/>
    <n v="16"/>
    <x v="1"/>
    <x v="0"/>
    <x v="3"/>
    <x v="1"/>
    <x v="2"/>
    <d v="1899-12-30T11:07:00"/>
  </r>
  <r>
    <s v="1673"/>
    <s v="809 Cedar St, Cityc"/>
    <d v="2023-09-05T00:00:00"/>
    <s v="September"/>
    <x v="6"/>
    <d v="1899-12-30T08:28:00"/>
    <x v="0"/>
    <x v="0"/>
    <s v="D65"/>
    <x v="2"/>
    <s v="City B"/>
    <n v="115"/>
    <n v="6"/>
    <x v="1"/>
    <x v="0"/>
    <x v="4"/>
    <x v="0"/>
    <x v="2"/>
    <d v="1899-12-30T16:07:00"/>
  </r>
  <r>
    <s v="1726"/>
    <s v="588 Oak St, Cityd"/>
    <d v="2023-09-06T00:00:00"/>
    <s v="September"/>
    <x v="5"/>
    <d v="1899-12-30T08:18:00"/>
    <x v="1"/>
    <x v="1"/>
    <s v="D65"/>
    <x v="1"/>
    <s v="City B"/>
    <n v="153"/>
    <n v="26"/>
    <x v="2"/>
    <x v="1"/>
    <x v="4"/>
    <x v="2"/>
    <x v="0"/>
    <d v="1899-12-30T12:49:00"/>
  </r>
  <r>
    <s v="1743"/>
    <s v="619 Pine St, Cityd"/>
    <d v="2023-09-02T00:00:00"/>
    <s v="September"/>
    <x v="4"/>
    <d v="1899-12-30T09:22:00"/>
    <x v="0"/>
    <x v="0"/>
    <s v="D65"/>
    <x v="1"/>
    <s v="City B"/>
    <n v="194"/>
    <n v="14"/>
    <x v="1"/>
    <x v="0"/>
    <x v="3"/>
    <x v="1"/>
    <x v="1"/>
    <d v="1899-12-30T11:07:00"/>
  </r>
  <r>
    <s v="1935"/>
    <s v="559 Oak St, Citya"/>
    <d v="2023-09-04T00:00:00"/>
    <s v="September"/>
    <x v="1"/>
    <d v="1899-12-30T10:09:00"/>
    <x v="1"/>
    <x v="1"/>
    <s v="D65"/>
    <x v="0"/>
    <s v="City B"/>
    <n v="188"/>
    <n v="15"/>
    <x v="0"/>
    <x v="1"/>
    <x v="3"/>
    <x v="0"/>
    <x v="0"/>
    <d v="1899-12-30T13:37:00"/>
  </r>
  <r>
    <s v="2005"/>
    <s v="683 Pine St, Cityb"/>
    <d v="2023-09-02T00:00:00"/>
    <s v="September"/>
    <x v="4"/>
    <d v="1899-12-30T12:56:00"/>
    <x v="0"/>
    <x v="0"/>
    <s v="D65"/>
    <x v="1"/>
    <s v="City D"/>
    <n v="141"/>
    <n v="9"/>
    <x v="2"/>
    <x v="0"/>
    <x v="2"/>
    <x v="1"/>
    <x v="0"/>
    <d v="1899-12-30T14:20:00"/>
  </r>
  <r>
    <s v="2006"/>
    <s v="845 Cedar St, Cityc"/>
    <d v="2023-09-04T00:00:00"/>
    <s v="September"/>
    <x v="1"/>
    <d v="1899-12-30T14:52:00"/>
    <x v="0"/>
    <x v="0"/>
    <s v="D65"/>
    <x v="2"/>
    <s v="City C"/>
    <n v="230"/>
    <n v="23"/>
    <x v="2"/>
    <x v="0"/>
    <x v="1"/>
    <x v="2"/>
    <x v="0"/>
    <d v="1899-12-30T14:09:00"/>
  </r>
  <r>
    <s v="2057"/>
    <s v="830 Elm St, Citye"/>
    <d v="2023-09-01T00:00:00"/>
    <s v="September"/>
    <x v="3"/>
    <d v="1899-12-30T08:52:00"/>
    <x v="0"/>
    <x v="0"/>
    <s v="D65"/>
    <x v="2"/>
    <s v="City D"/>
    <n v="118"/>
    <n v="2"/>
    <x v="1"/>
    <x v="0"/>
    <x v="1"/>
    <x v="1"/>
    <x v="2"/>
    <d v="1899-12-30T17:34:00"/>
  </r>
  <r>
    <s v="2112"/>
    <s v="486 Pine St, Citya"/>
    <d v="2023-09-01T00:00:00"/>
    <s v="September"/>
    <x v="3"/>
    <d v="1899-12-30T11:57:00"/>
    <x v="0"/>
    <x v="0"/>
    <s v="D65"/>
    <x v="0"/>
    <s v="City A"/>
    <n v="64"/>
    <n v="10"/>
    <x v="0"/>
    <x v="0"/>
    <x v="1"/>
    <x v="0"/>
    <x v="0"/>
    <d v="1899-12-30T14:17:00"/>
  </r>
  <r>
    <s v="2204"/>
    <s v="542 Main St, Cityd"/>
    <d v="2023-09-05T00:00:00"/>
    <s v="September"/>
    <x v="6"/>
    <d v="1899-12-30T09:23:00"/>
    <x v="0"/>
    <x v="0"/>
    <s v="D65"/>
    <x v="1"/>
    <s v="City E"/>
    <n v="165"/>
    <n v="2"/>
    <x v="0"/>
    <x v="0"/>
    <x v="2"/>
    <x v="2"/>
    <x v="2"/>
    <d v="1899-12-30T16:38:00"/>
  </r>
  <r>
    <s v="2288"/>
    <s v="439 Pine St, Citya"/>
    <d v="2023-09-08T00:00:00"/>
    <s v="September"/>
    <x v="3"/>
    <d v="1899-12-30T10:20:00"/>
    <x v="0"/>
    <x v="0"/>
    <s v="D65"/>
    <x v="1"/>
    <s v="City B"/>
    <n v="230"/>
    <n v="5"/>
    <x v="1"/>
    <x v="0"/>
    <x v="1"/>
    <x v="1"/>
    <x v="1"/>
    <d v="1899-12-30T15:06:00"/>
  </r>
  <r>
    <s v="2341"/>
    <s v="638 Main St, Citye"/>
    <d v="2023-09-04T00:00:00"/>
    <s v="September"/>
    <x v="1"/>
    <d v="1899-12-30T08:07:00"/>
    <x v="0"/>
    <x v="0"/>
    <s v="D65"/>
    <x v="0"/>
    <s v="City B"/>
    <n v="150"/>
    <n v="9"/>
    <x v="0"/>
    <x v="0"/>
    <x v="2"/>
    <x v="2"/>
    <x v="1"/>
    <d v="1899-12-30T13:18:00"/>
  </r>
  <r>
    <s v="2369"/>
    <s v="258 Elm St, Cityc"/>
    <d v="2023-09-04T00:00:00"/>
    <s v="September"/>
    <x v="1"/>
    <d v="1899-12-30T08:47:00"/>
    <x v="0"/>
    <x v="0"/>
    <s v="D65"/>
    <x v="0"/>
    <s v="City A"/>
    <n v="207"/>
    <n v="2"/>
    <x v="1"/>
    <x v="0"/>
    <x v="0"/>
    <x v="0"/>
    <x v="1"/>
    <d v="1899-12-30T17:37:00"/>
  </r>
  <r>
    <s v="2410"/>
    <s v="978 Oak St, Cityc"/>
    <d v="2023-09-02T00:00:00"/>
    <s v="September"/>
    <x v="4"/>
    <d v="1899-12-30T13:11:00"/>
    <x v="0"/>
    <x v="0"/>
    <s v="D65"/>
    <x v="0"/>
    <s v="City D"/>
    <n v="156"/>
    <n v="16"/>
    <x v="0"/>
    <x v="0"/>
    <x v="0"/>
    <x v="1"/>
    <x v="0"/>
    <d v="1899-12-30T08:45:00"/>
  </r>
  <r>
    <s v="2441"/>
    <s v="532 Pine St, Cityb"/>
    <d v="2023-09-08T00:00:00"/>
    <s v="September"/>
    <x v="3"/>
    <d v="1899-12-30T09:28:00"/>
    <x v="1"/>
    <x v="1"/>
    <s v="D65"/>
    <x v="1"/>
    <s v="City C"/>
    <n v="90"/>
    <n v="10"/>
    <x v="1"/>
    <x v="1"/>
    <x v="1"/>
    <x v="0"/>
    <x v="0"/>
    <d v="1899-12-30T17:34:00"/>
  </r>
  <r>
    <s v="2499"/>
    <s v="938 Pine St, Citye"/>
    <d v="2023-09-04T00:00:00"/>
    <s v="September"/>
    <x v="1"/>
    <d v="1899-12-30T16:58:00"/>
    <x v="0"/>
    <x v="0"/>
    <s v="D65"/>
    <x v="2"/>
    <s v="City B"/>
    <n v="141"/>
    <n v="7"/>
    <x v="2"/>
    <x v="0"/>
    <x v="3"/>
    <x v="0"/>
    <x v="1"/>
    <d v="1899-12-30T15:47:00"/>
  </r>
  <r>
    <s v="1060"/>
    <s v="446 Pine St, Citya"/>
    <d v="2023-09-04T00:00:00"/>
    <s v="September"/>
    <x v="1"/>
    <d v="1899-12-30T13:08:00"/>
    <x v="0"/>
    <x v="0"/>
    <s v="D66"/>
    <x v="0"/>
    <s v="City D"/>
    <n v="132"/>
    <n v="11"/>
    <x v="2"/>
    <x v="0"/>
    <x v="0"/>
    <x v="2"/>
    <x v="0"/>
    <d v="1899-12-30T11:19:00"/>
  </r>
  <r>
    <s v="1100"/>
    <s v="188 Cedar St, Cityc"/>
    <d v="2023-09-07T00:00:00"/>
    <s v="September"/>
    <x v="2"/>
    <d v="1899-12-30T09:03:00"/>
    <x v="1"/>
    <x v="1"/>
    <s v="D66"/>
    <x v="2"/>
    <s v="City A"/>
    <n v="202"/>
    <n v="20"/>
    <x v="0"/>
    <x v="1"/>
    <x v="4"/>
    <x v="0"/>
    <x v="0"/>
    <d v="1899-12-30T12:17:00"/>
  </r>
  <r>
    <s v="1152"/>
    <s v="825 Oak St, Cityb"/>
    <d v="2023-09-08T00:00:00"/>
    <s v="September"/>
    <x v="3"/>
    <d v="1899-12-30T12:48:00"/>
    <x v="1"/>
    <x v="1"/>
    <s v="D66"/>
    <x v="0"/>
    <s v="City D"/>
    <n v="179"/>
    <n v="19"/>
    <x v="1"/>
    <x v="1"/>
    <x v="0"/>
    <x v="1"/>
    <x v="0"/>
    <d v="1899-12-30T09:06:00"/>
  </r>
  <r>
    <s v="1174"/>
    <s v="443 Elm St, Cityd"/>
    <d v="2023-09-03T00:00:00"/>
    <s v="September"/>
    <x v="0"/>
    <d v="1899-12-30T10:46:00"/>
    <x v="1"/>
    <x v="1"/>
    <s v="D66"/>
    <x v="1"/>
    <s v="City C"/>
    <n v="178"/>
    <n v="10"/>
    <x v="0"/>
    <x v="1"/>
    <x v="4"/>
    <x v="0"/>
    <x v="2"/>
    <d v="1899-12-30T16:13:00"/>
  </r>
  <r>
    <s v="1353"/>
    <s v="378 Pine St, Cityb"/>
    <d v="2023-09-07T00:00:00"/>
    <s v="September"/>
    <x v="2"/>
    <d v="1899-12-30T10:16:00"/>
    <x v="1"/>
    <x v="1"/>
    <s v="D66"/>
    <x v="0"/>
    <s v="City B"/>
    <n v="83"/>
    <n v="19"/>
    <x v="0"/>
    <x v="1"/>
    <x v="2"/>
    <x v="2"/>
    <x v="2"/>
    <d v="1899-12-30T15:04:00"/>
  </r>
  <r>
    <s v="1479"/>
    <s v="514 Cedar St, Citya"/>
    <d v="2023-09-01T00:00:00"/>
    <s v="September"/>
    <x v="3"/>
    <d v="1899-12-30T12:00:00"/>
    <x v="0"/>
    <x v="0"/>
    <s v="D66"/>
    <x v="0"/>
    <s v="City B"/>
    <n v="184"/>
    <n v="19"/>
    <x v="0"/>
    <x v="0"/>
    <x v="3"/>
    <x v="0"/>
    <x v="0"/>
    <d v="1899-12-30T12:41:00"/>
  </r>
  <r>
    <s v="1495"/>
    <s v="846 Elm St, Citye"/>
    <d v="2023-09-03T00:00:00"/>
    <s v="September"/>
    <x v="0"/>
    <d v="1899-12-30T14:37:00"/>
    <x v="0"/>
    <x v="0"/>
    <s v="D66"/>
    <x v="2"/>
    <s v="City A"/>
    <n v="118"/>
    <n v="29"/>
    <x v="0"/>
    <x v="0"/>
    <x v="3"/>
    <x v="1"/>
    <x v="2"/>
    <d v="1899-12-30T09:56:00"/>
  </r>
  <r>
    <s v="1535"/>
    <s v="437 Main St, Cityb"/>
    <d v="2023-09-07T00:00:00"/>
    <s v="September"/>
    <x v="2"/>
    <d v="1899-12-30T12:21:00"/>
    <x v="1"/>
    <x v="1"/>
    <s v="D66"/>
    <x v="2"/>
    <s v="City D"/>
    <n v="228"/>
    <n v="11"/>
    <x v="0"/>
    <x v="1"/>
    <x v="0"/>
    <x v="0"/>
    <x v="1"/>
    <d v="1899-12-30T10:42:00"/>
  </r>
  <r>
    <s v="1648"/>
    <s v="441 Elm St, Cityb"/>
    <d v="2023-09-04T00:00:00"/>
    <s v="September"/>
    <x v="1"/>
    <d v="1899-12-30T14:10:00"/>
    <x v="1"/>
    <x v="1"/>
    <s v="D66"/>
    <x v="1"/>
    <s v="City A"/>
    <n v="203"/>
    <n v="4"/>
    <x v="0"/>
    <x v="1"/>
    <x v="4"/>
    <x v="1"/>
    <x v="0"/>
    <d v="1899-12-30T08:58:00"/>
  </r>
  <r>
    <s v="1731"/>
    <s v="1 Oak St, Cityd"/>
    <d v="2023-09-04T00:00:00"/>
    <s v="September"/>
    <x v="1"/>
    <d v="1899-12-30T08:14:00"/>
    <x v="0"/>
    <x v="0"/>
    <s v="D66"/>
    <x v="1"/>
    <s v="City C"/>
    <n v="121"/>
    <n v="22"/>
    <x v="2"/>
    <x v="0"/>
    <x v="4"/>
    <x v="1"/>
    <x v="0"/>
    <d v="1899-12-30T15:36:00"/>
  </r>
  <r>
    <s v="1898"/>
    <s v="237 Oak St, Citye"/>
    <d v="2023-09-02T00:00:00"/>
    <s v="September"/>
    <x v="4"/>
    <d v="1899-12-30T11:36:00"/>
    <x v="1"/>
    <x v="1"/>
    <s v="D66"/>
    <x v="0"/>
    <s v="City E"/>
    <n v="172"/>
    <n v="28"/>
    <x v="1"/>
    <x v="1"/>
    <x v="4"/>
    <x v="2"/>
    <x v="2"/>
    <d v="1899-12-30T17:46:00"/>
  </r>
  <r>
    <s v="1915"/>
    <s v="559 Elm St, Citya"/>
    <d v="2023-09-04T00:00:00"/>
    <s v="September"/>
    <x v="1"/>
    <d v="1899-12-30T15:44:00"/>
    <x v="1"/>
    <x v="1"/>
    <s v="D66"/>
    <x v="0"/>
    <s v="City D"/>
    <n v="214"/>
    <n v="13"/>
    <x v="1"/>
    <x v="1"/>
    <x v="0"/>
    <x v="1"/>
    <x v="2"/>
    <d v="1899-12-30T15:14:00"/>
  </r>
  <r>
    <s v="1933"/>
    <s v="808 Main St, Cityc"/>
    <d v="2023-09-04T00:00:00"/>
    <s v="September"/>
    <x v="1"/>
    <d v="1899-12-30T14:30:00"/>
    <x v="0"/>
    <x v="0"/>
    <s v="D66"/>
    <x v="0"/>
    <s v="City B"/>
    <n v="85"/>
    <n v="22"/>
    <x v="0"/>
    <x v="0"/>
    <x v="3"/>
    <x v="2"/>
    <x v="2"/>
    <d v="1899-12-30T12:51:00"/>
  </r>
  <r>
    <s v="2163"/>
    <s v="814 Cedar St, Cityc"/>
    <d v="2023-09-04T00:00:00"/>
    <s v="September"/>
    <x v="1"/>
    <d v="1899-12-30T16:52:00"/>
    <x v="1"/>
    <x v="1"/>
    <s v="D66"/>
    <x v="2"/>
    <s v="City D"/>
    <n v="72"/>
    <n v="28"/>
    <x v="2"/>
    <x v="1"/>
    <x v="3"/>
    <x v="1"/>
    <x v="1"/>
    <d v="1899-12-30T08:34:00"/>
  </r>
  <r>
    <s v="1016"/>
    <s v="512 Main St, Cityb"/>
    <d v="2023-09-05T00:00:00"/>
    <s v="September"/>
    <x v="6"/>
    <d v="1899-12-30T13:52:00"/>
    <x v="0"/>
    <x v="0"/>
    <s v="D67"/>
    <x v="0"/>
    <s v="City C"/>
    <n v="163"/>
    <n v="6"/>
    <x v="0"/>
    <x v="0"/>
    <x v="0"/>
    <x v="1"/>
    <x v="1"/>
    <d v="1899-12-30T10:22:00"/>
  </r>
  <r>
    <s v="1141"/>
    <s v="661 Pine St, Cityc"/>
    <d v="2023-09-02T00:00:00"/>
    <s v="September"/>
    <x v="4"/>
    <d v="1899-12-30T10:28:00"/>
    <x v="1"/>
    <x v="1"/>
    <s v="D67"/>
    <x v="1"/>
    <s v="City B"/>
    <n v="126"/>
    <n v="19"/>
    <x v="0"/>
    <x v="1"/>
    <x v="3"/>
    <x v="2"/>
    <x v="2"/>
    <d v="1899-12-30T16:24:00"/>
  </r>
  <r>
    <s v="1576"/>
    <s v="150 Elm St, Citye"/>
    <d v="2023-09-02T00:00:00"/>
    <s v="September"/>
    <x v="4"/>
    <d v="1899-12-30T15:21:00"/>
    <x v="0"/>
    <x v="0"/>
    <s v="D67"/>
    <x v="1"/>
    <s v="City E"/>
    <n v="230"/>
    <n v="25"/>
    <x v="1"/>
    <x v="0"/>
    <x v="0"/>
    <x v="2"/>
    <x v="0"/>
    <d v="1899-12-30T11:38:00"/>
  </r>
  <r>
    <s v="1590"/>
    <s v="295 Pine St, Citya"/>
    <d v="2023-09-08T00:00:00"/>
    <s v="September"/>
    <x v="3"/>
    <d v="1899-12-30T10:17:00"/>
    <x v="0"/>
    <x v="0"/>
    <s v="D67"/>
    <x v="0"/>
    <s v="City C"/>
    <n v="187"/>
    <n v="14"/>
    <x v="2"/>
    <x v="0"/>
    <x v="0"/>
    <x v="0"/>
    <x v="2"/>
    <d v="1899-12-30T11:31:00"/>
  </r>
  <r>
    <s v="1591"/>
    <s v="444 Cedar St, Citya"/>
    <d v="2023-09-03T00:00:00"/>
    <s v="September"/>
    <x v="0"/>
    <d v="1899-12-30T10:32:00"/>
    <x v="0"/>
    <x v="0"/>
    <s v="D67"/>
    <x v="1"/>
    <s v="City D"/>
    <n v="237"/>
    <n v="8"/>
    <x v="0"/>
    <x v="0"/>
    <x v="1"/>
    <x v="2"/>
    <x v="0"/>
    <d v="1899-12-30T09:23:00"/>
  </r>
  <r>
    <s v="1661"/>
    <s v="625 Elm St, Cityb"/>
    <d v="2023-09-06T00:00:00"/>
    <s v="September"/>
    <x v="5"/>
    <d v="1899-12-30T14:45:00"/>
    <x v="1"/>
    <x v="1"/>
    <s v="D67"/>
    <x v="2"/>
    <s v="City C"/>
    <n v="135"/>
    <n v="18"/>
    <x v="1"/>
    <x v="1"/>
    <x v="1"/>
    <x v="2"/>
    <x v="2"/>
    <d v="1899-12-30T13:07:00"/>
  </r>
  <r>
    <s v="1807"/>
    <s v="844 Elm St, Citye"/>
    <d v="2023-09-01T00:00:00"/>
    <s v="September"/>
    <x v="3"/>
    <d v="1899-12-30T12:19:00"/>
    <x v="1"/>
    <x v="1"/>
    <s v="D67"/>
    <x v="0"/>
    <s v="City C"/>
    <n v="157"/>
    <n v="10"/>
    <x v="0"/>
    <x v="1"/>
    <x v="4"/>
    <x v="0"/>
    <x v="0"/>
    <d v="1899-12-30T16:43:00"/>
  </r>
  <r>
    <s v="2011"/>
    <s v="877 Main St, Cityd"/>
    <d v="2023-09-06T00:00:00"/>
    <s v="September"/>
    <x v="5"/>
    <d v="1899-12-30T11:22:00"/>
    <x v="0"/>
    <x v="0"/>
    <s v="D67"/>
    <x v="1"/>
    <s v="City A"/>
    <n v="217"/>
    <n v="29"/>
    <x v="1"/>
    <x v="0"/>
    <x v="3"/>
    <x v="0"/>
    <x v="0"/>
    <d v="1899-12-30T16:16:00"/>
  </r>
  <r>
    <s v="2143"/>
    <s v="96 Oak St, Cityc"/>
    <d v="2023-09-08T00:00:00"/>
    <s v="September"/>
    <x v="3"/>
    <d v="1899-12-30T09:33:00"/>
    <x v="0"/>
    <x v="0"/>
    <s v="D67"/>
    <x v="2"/>
    <s v="City B"/>
    <n v="184"/>
    <n v="1"/>
    <x v="2"/>
    <x v="0"/>
    <x v="4"/>
    <x v="2"/>
    <x v="1"/>
    <d v="1899-12-30T09:57:00"/>
  </r>
  <r>
    <s v="2270"/>
    <s v="828 Main St, Citye"/>
    <d v="2023-09-06T00:00:00"/>
    <s v="September"/>
    <x v="5"/>
    <d v="1899-12-30T16:30:00"/>
    <x v="0"/>
    <x v="0"/>
    <s v="D67"/>
    <x v="1"/>
    <s v="City A"/>
    <n v="226"/>
    <n v="15"/>
    <x v="0"/>
    <x v="0"/>
    <x v="0"/>
    <x v="0"/>
    <x v="1"/>
    <d v="1899-12-30T14:51:00"/>
  </r>
  <r>
    <s v="2464"/>
    <s v="796 Oak St, Citye"/>
    <d v="2023-09-06T00:00:00"/>
    <s v="September"/>
    <x v="5"/>
    <d v="1899-12-30T09:40:00"/>
    <x v="0"/>
    <x v="0"/>
    <s v="D67"/>
    <x v="1"/>
    <s v="City B"/>
    <n v="227"/>
    <n v="0"/>
    <x v="2"/>
    <x v="0"/>
    <x v="1"/>
    <x v="0"/>
    <x v="2"/>
    <d v="1899-12-30T09:09:00"/>
  </r>
  <r>
    <s v="1069"/>
    <s v="556 Elm St, Cityc"/>
    <d v="2023-09-05T00:00:00"/>
    <s v="September"/>
    <x v="6"/>
    <d v="1899-12-30T16:21:00"/>
    <x v="0"/>
    <x v="0"/>
    <s v="D68"/>
    <x v="1"/>
    <s v="City D"/>
    <n v="72"/>
    <n v="0"/>
    <x v="0"/>
    <x v="0"/>
    <x v="1"/>
    <x v="2"/>
    <x v="1"/>
    <d v="1899-12-30T08:54:00"/>
  </r>
  <r>
    <s v="1279"/>
    <s v="695 Main St, Citye"/>
    <d v="2023-09-08T00:00:00"/>
    <s v="September"/>
    <x v="3"/>
    <d v="1899-12-30T14:50:00"/>
    <x v="0"/>
    <x v="0"/>
    <s v="D68"/>
    <x v="2"/>
    <s v="City B"/>
    <n v="227"/>
    <n v="1"/>
    <x v="1"/>
    <x v="0"/>
    <x v="1"/>
    <x v="1"/>
    <x v="2"/>
    <d v="1899-12-30T14:19:00"/>
  </r>
  <r>
    <s v="1489"/>
    <s v="656 Pine St, Cityb"/>
    <d v="2023-09-02T00:00:00"/>
    <s v="September"/>
    <x v="4"/>
    <d v="1899-12-30T15:45:00"/>
    <x v="0"/>
    <x v="0"/>
    <s v="D68"/>
    <x v="1"/>
    <s v="City B"/>
    <n v="172"/>
    <n v="12"/>
    <x v="1"/>
    <x v="0"/>
    <x v="3"/>
    <x v="0"/>
    <x v="0"/>
    <d v="1899-12-30T11:36:00"/>
  </r>
  <r>
    <s v="1521"/>
    <s v="331 Oak St, Citye"/>
    <d v="2023-09-05T00:00:00"/>
    <s v="September"/>
    <x v="6"/>
    <d v="1899-12-30T16:05:00"/>
    <x v="1"/>
    <x v="1"/>
    <s v="D68"/>
    <x v="1"/>
    <s v="City A"/>
    <n v="205"/>
    <n v="15"/>
    <x v="2"/>
    <x v="1"/>
    <x v="3"/>
    <x v="1"/>
    <x v="2"/>
    <d v="1899-12-30T16:08:00"/>
  </r>
  <r>
    <s v="1545"/>
    <s v="25 Pine St, Cityd"/>
    <d v="2023-09-05T00:00:00"/>
    <s v="September"/>
    <x v="6"/>
    <d v="1899-12-30T14:39:00"/>
    <x v="0"/>
    <x v="0"/>
    <s v="D68"/>
    <x v="1"/>
    <s v="City C"/>
    <n v="198"/>
    <n v="0"/>
    <x v="0"/>
    <x v="0"/>
    <x v="1"/>
    <x v="2"/>
    <x v="0"/>
    <d v="1899-12-30T11:56:00"/>
  </r>
  <r>
    <s v="1741"/>
    <s v="76 Cedar St, Cityc"/>
    <d v="2023-09-07T00:00:00"/>
    <s v="September"/>
    <x v="2"/>
    <d v="1899-12-30T10:12:00"/>
    <x v="1"/>
    <x v="1"/>
    <s v="D68"/>
    <x v="0"/>
    <s v="City A"/>
    <n v="181"/>
    <n v="19"/>
    <x v="0"/>
    <x v="1"/>
    <x v="3"/>
    <x v="0"/>
    <x v="0"/>
    <d v="1899-12-30T13:26:00"/>
  </r>
  <r>
    <s v="1991"/>
    <s v="44 Pine St, Cityc"/>
    <d v="2023-09-06T00:00:00"/>
    <s v="September"/>
    <x v="5"/>
    <d v="1899-12-30T08:32:00"/>
    <x v="1"/>
    <x v="1"/>
    <s v="D68"/>
    <x v="0"/>
    <s v="City E"/>
    <n v="88"/>
    <n v="13"/>
    <x v="2"/>
    <x v="1"/>
    <x v="1"/>
    <x v="2"/>
    <x v="1"/>
    <d v="1899-12-30T11:47:00"/>
  </r>
  <r>
    <s v="2010"/>
    <s v="276 Elm St, Citye"/>
    <d v="2023-09-07T00:00:00"/>
    <s v="September"/>
    <x v="2"/>
    <d v="1899-12-30T08:01:00"/>
    <x v="1"/>
    <x v="1"/>
    <s v="D68"/>
    <x v="1"/>
    <s v="City B"/>
    <n v="210"/>
    <n v="0"/>
    <x v="2"/>
    <x v="1"/>
    <x v="0"/>
    <x v="2"/>
    <x v="0"/>
    <d v="1899-12-30T12:46:00"/>
  </r>
  <r>
    <s v="2047"/>
    <s v="449 Elm St, Citya"/>
    <d v="2023-09-06T00:00:00"/>
    <s v="September"/>
    <x v="5"/>
    <d v="1899-12-30T08:30:00"/>
    <x v="0"/>
    <x v="0"/>
    <s v="D68"/>
    <x v="2"/>
    <s v="City A"/>
    <n v="121"/>
    <n v="0"/>
    <x v="1"/>
    <x v="0"/>
    <x v="3"/>
    <x v="1"/>
    <x v="2"/>
    <d v="1899-12-30T15:32:00"/>
  </r>
  <r>
    <s v="2120"/>
    <s v="906 Cedar St, Citye"/>
    <d v="2023-09-08T00:00:00"/>
    <s v="September"/>
    <x v="3"/>
    <d v="1899-12-30T16:18:00"/>
    <x v="1"/>
    <x v="1"/>
    <s v="D68"/>
    <x v="0"/>
    <s v="City B"/>
    <n v="167"/>
    <n v="4"/>
    <x v="2"/>
    <x v="1"/>
    <x v="4"/>
    <x v="2"/>
    <x v="2"/>
    <d v="1899-12-30T11:04:00"/>
  </r>
  <r>
    <s v="2132"/>
    <s v="119 Elm St, Citya"/>
    <d v="2023-09-08T00:00:00"/>
    <s v="September"/>
    <x v="3"/>
    <d v="1899-12-30T16:55:00"/>
    <x v="0"/>
    <x v="0"/>
    <s v="D68"/>
    <x v="2"/>
    <s v="City A"/>
    <n v="75"/>
    <n v="28"/>
    <x v="0"/>
    <x v="0"/>
    <x v="3"/>
    <x v="2"/>
    <x v="0"/>
    <d v="1899-12-30T09:53:00"/>
  </r>
  <r>
    <s v="2140"/>
    <s v="906 Main St, Cityb"/>
    <d v="2023-09-02T00:00:00"/>
    <s v="September"/>
    <x v="4"/>
    <d v="1899-12-30T11:28:00"/>
    <x v="1"/>
    <x v="1"/>
    <s v="D68"/>
    <x v="2"/>
    <s v="City C"/>
    <n v="224"/>
    <n v="0"/>
    <x v="0"/>
    <x v="1"/>
    <x v="0"/>
    <x v="0"/>
    <x v="1"/>
    <d v="1899-12-30T16:54:00"/>
  </r>
  <r>
    <s v="2433"/>
    <s v="408 Pine St, Citye"/>
    <d v="2023-09-05T00:00:00"/>
    <s v="September"/>
    <x v="6"/>
    <d v="1899-12-30T16:18:00"/>
    <x v="1"/>
    <x v="1"/>
    <s v="D68"/>
    <x v="1"/>
    <s v="City A"/>
    <n v="195"/>
    <n v="25"/>
    <x v="1"/>
    <x v="1"/>
    <x v="4"/>
    <x v="0"/>
    <x v="2"/>
    <d v="1899-12-30T15:19:00"/>
  </r>
  <r>
    <s v="2458"/>
    <s v="374 Main St, Cityd"/>
    <d v="2023-09-02T00:00:00"/>
    <s v="September"/>
    <x v="4"/>
    <d v="1899-12-30T10:53:00"/>
    <x v="1"/>
    <x v="1"/>
    <s v="D68"/>
    <x v="2"/>
    <s v="City D"/>
    <n v="221"/>
    <n v="0"/>
    <x v="1"/>
    <x v="1"/>
    <x v="0"/>
    <x v="1"/>
    <x v="0"/>
    <d v="1899-12-30T16:55:00"/>
  </r>
  <r>
    <s v="2496"/>
    <s v="626 Cedar St, Cityd"/>
    <d v="2023-09-07T00:00:00"/>
    <s v="September"/>
    <x v="2"/>
    <d v="1899-12-30T09:06:00"/>
    <x v="0"/>
    <x v="0"/>
    <s v="D68"/>
    <x v="2"/>
    <s v="City E"/>
    <n v="213"/>
    <n v="18"/>
    <x v="1"/>
    <x v="0"/>
    <x v="3"/>
    <x v="1"/>
    <x v="2"/>
    <d v="1899-12-30T15:08:00"/>
  </r>
  <r>
    <s v="1035"/>
    <s v="520 Elm St, Cityd"/>
    <d v="2023-09-01T00:00:00"/>
    <s v="September"/>
    <x v="3"/>
    <d v="1899-12-30T12:14:00"/>
    <x v="1"/>
    <x v="1"/>
    <s v="D69"/>
    <x v="1"/>
    <s v="City B"/>
    <n v="64"/>
    <n v="6"/>
    <x v="0"/>
    <x v="1"/>
    <x v="1"/>
    <x v="2"/>
    <x v="1"/>
    <d v="1899-12-30T09:29:00"/>
  </r>
  <r>
    <s v="1096"/>
    <s v="713 Pine St, Cityb"/>
    <d v="2023-09-02T00:00:00"/>
    <s v="September"/>
    <x v="4"/>
    <d v="1899-12-30T10:45:00"/>
    <x v="1"/>
    <x v="1"/>
    <s v="D69"/>
    <x v="0"/>
    <s v="City B"/>
    <n v="201"/>
    <n v="5"/>
    <x v="1"/>
    <x v="1"/>
    <x v="2"/>
    <x v="1"/>
    <x v="1"/>
    <d v="1899-12-30T13:16:00"/>
  </r>
  <r>
    <s v="1112"/>
    <s v="447 Cedar St, Cityc"/>
    <d v="2023-09-01T00:00:00"/>
    <s v="September"/>
    <x v="3"/>
    <d v="1899-12-30T10:55:00"/>
    <x v="1"/>
    <x v="1"/>
    <s v="D69"/>
    <x v="2"/>
    <s v="City E"/>
    <n v="212"/>
    <n v="14"/>
    <x v="1"/>
    <x v="1"/>
    <x v="2"/>
    <x v="1"/>
    <x v="1"/>
    <d v="1899-12-30T12:29:00"/>
  </r>
  <r>
    <s v="1272"/>
    <s v="773 Elm St, Citya"/>
    <d v="2023-09-05T00:00:00"/>
    <s v="September"/>
    <x v="6"/>
    <d v="1899-12-30T08:01:00"/>
    <x v="0"/>
    <x v="0"/>
    <s v="D69"/>
    <x v="2"/>
    <s v="City A"/>
    <n v="235"/>
    <n v="18"/>
    <x v="2"/>
    <x v="0"/>
    <x v="2"/>
    <x v="0"/>
    <x v="2"/>
    <d v="1899-12-30T15:21:00"/>
  </r>
  <r>
    <s v="1461"/>
    <s v="675 Oak St, Citye"/>
    <d v="2023-09-02T00:00:00"/>
    <s v="September"/>
    <x v="4"/>
    <d v="1899-12-30T11:54:00"/>
    <x v="0"/>
    <x v="0"/>
    <s v="D69"/>
    <x v="2"/>
    <s v="City D"/>
    <n v="174"/>
    <n v="19"/>
    <x v="1"/>
    <x v="0"/>
    <x v="4"/>
    <x v="2"/>
    <x v="1"/>
    <d v="1899-12-30T09:39:00"/>
  </r>
  <r>
    <s v="1473"/>
    <s v="912 Main St, Cityc"/>
    <d v="2023-09-01T00:00:00"/>
    <s v="September"/>
    <x v="3"/>
    <d v="1899-12-30T14:15:00"/>
    <x v="0"/>
    <x v="0"/>
    <s v="D69"/>
    <x v="2"/>
    <s v="City B"/>
    <n v="104"/>
    <n v="19"/>
    <x v="1"/>
    <x v="0"/>
    <x v="4"/>
    <x v="2"/>
    <x v="2"/>
    <d v="1899-12-30T10:54:00"/>
  </r>
  <r>
    <s v="1620"/>
    <s v="533 Elm St, Citya"/>
    <d v="2023-09-02T00:00:00"/>
    <s v="September"/>
    <x v="4"/>
    <d v="1899-12-30T09:26:00"/>
    <x v="1"/>
    <x v="1"/>
    <s v="D69"/>
    <x v="1"/>
    <s v="City B"/>
    <n v="133"/>
    <n v="11"/>
    <x v="0"/>
    <x v="1"/>
    <x v="3"/>
    <x v="1"/>
    <x v="1"/>
    <d v="1899-12-30T15:29:00"/>
  </r>
  <r>
    <s v="1829"/>
    <s v="154 Cedar St, Cityd"/>
    <d v="2023-09-03T00:00:00"/>
    <s v="September"/>
    <x v="0"/>
    <d v="1899-12-30T12:29:00"/>
    <x v="1"/>
    <x v="1"/>
    <s v="D69"/>
    <x v="0"/>
    <s v="City D"/>
    <n v="131"/>
    <n v="3"/>
    <x v="0"/>
    <x v="1"/>
    <x v="4"/>
    <x v="1"/>
    <x v="0"/>
    <d v="1899-12-30T13:59:00"/>
  </r>
  <r>
    <s v="1883"/>
    <s v="729 Oak St, Citye"/>
    <d v="2023-09-03T00:00:00"/>
    <s v="September"/>
    <x v="0"/>
    <d v="1899-12-30T15:28:00"/>
    <x v="0"/>
    <x v="0"/>
    <s v="D69"/>
    <x v="0"/>
    <s v="City D"/>
    <n v="74"/>
    <n v="24"/>
    <x v="2"/>
    <x v="0"/>
    <x v="0"/>
    <x v="1"/>
    <x v="1"/>
    <d v="1899-12-30T11:30:00"/>
  </r>
  <r>
    <s v="2015"/>
    <s v="708 Elm St, Citye"/>
    <d v="2023-09-08T00:00:00"/>
    <s v="September"/>
    <x v="3"/>
    <d v="1899-12-30T10:29:00"/>
    <x v="1"/>
    <x v="1"/>
    <s v="D69"/>
    <x v="1"/>
    <s v="City E"/>
    <n v="198"/>
    <n v="27"/>
    <x v="2"/>
    <x v="1"/>
    <x v="2"/>
    <x v="0"/>
    <x v="2"/>
    <d v="1899-12-30T11:55:00"/>
  </r>
  <r>
    <s v="2182"/>
    <s v="817 Oak St, Citye"/>
    <d v="2023-09-07T00:00:00"/>
    <s v="September"/>
    <x v="2"/>
    <d v="1899-12-30T09:56:00"/>
    <x v="0"/>
    <x v="0"/>
    <s v="D69"/>
    <x v="0"/>
    <s v="City E"/>
    <n v="173"/>
    <n v="28"/>
    <x v="0"/>
    <x v="0"/>
    <x v="0"/>
    <x v="1"/>
    <x v="2"/>
    <d v="1899-12-30T09:05:00"/>
  </r>
  <r>
    <s v="2281"/>
    <s v="346 Pine St, Citya"/>
    <d v="2023-09-05T00:00:00"/>
    <s v="September"/>
    <x v="6"/>
    <d v="1899-12-30T16:44:00"/>
    <x v="0"/>
    <x v="0"/>
    <s v="D69"/>
    <x v="2"/>
    <s v="City E"/>
    <n v="159"/>
    <n v="24"/>
    <x v="2"/>
    <x v="0"/>
    <x v="4"/>
    <x v="2"/>
    <x v="2"/>
    <d v="1899-12-30T16:19:00"/>
  </r>
  <r>
    <s v="2419"/>
    <s v="845 Cedar St, Cityc"/>
    <d v="2023-09-07T00:00:00"/>
    <s v="September"/>
    <x v="2"/>
    <d v="1899-12-30T15:28:00"/>
    <x v="1"/>
    <x v="1"/>
    <s v="D69"/>
    <x v="1"/>
    <s v="City C"/>
    <n v="108"/>
    <n v="9"/>
    <x v="0"/>
    <x v="1"/>
    <x v="1"/>
    <x v="1"/>
    <x v="0"/>
    <d v="1899-12-30T16:25:00"/>
  </r>
  <r>
    <s v="1274"/>
    <s v="353 Main St, Citye"/>
    <d v="2023-09-01T00:00:00"/>
    <s v="September"/>
    <x v="3"/>
    <d v="1899-12-30T12:36:00"/>
    <x v="0"/>
    <x v="0"/>
    <s v="D7"/>
    <x v="0"/>
    <s v="City B"/>
    <n v="163"/>
    <n v="10"/>
    <x v="0"/>
    <x v="0"/>
    <x v="2"/>
    <x v="2"/>
    <x v="2"/>
    <d v="1899-12-30T09:27:00"/>
  </r>
  <r>
    <s v="1285"/>
    <s v="44 Oak St, Cityd"/>
    <d v="2023-09-04T00:00:00"/>
    <s v="September"/>
    <x v="1"/>
    <d v="1899-12-30T09:09:00"/>
    <x v="1"/>
    <x v="1"/>
    <s v="D7"/>
    <x v="2"/>
    <s v="City C"/>
    <n v="159"/>
    <n v="6"/>
    <x v="1"/>
    <x v="1"/>
    <x v="0"/>
    <x v="0"/>
    <x v="0"/>
    <d v="1899-12-30T14:27:00"/>
  </r>
  <r>
    <s v="1384"/>
    <s v="25 Main St, Cityb"/>
    <d v="2023-09-04T00:00:00"/>
    <s v="September"/>
    <x v="1"/>
    <d v="1899-12-30T16:39:00"/>
    <x v="0"/>
    <x v="0"/>
    <s v="D7"/>
    <x v="0"/>
    <s v="City E"/>
    <n v="140"/>
    <n v="7"/>
    <x v="2"/>
    <x v="0"/>
    <x v="2"/>
    <x v="0"/>
    <x v="1"/>
    <d v="1899-12-30T10:23:00"/>
  </r>
  <r>
    <s v="1515"/>
    <s v="986 Pine St, Citya"/>
    <d v="2023-09-01T00:00:00"/>
    <s v="September"/>
    <x v="3"/>
    <d v="1899-12-30T10:56:00"/>
    <x v="0"/>
    <x v="0"/>
    <s v="D7"/>
    <x v="0"/>
    <s v="City D"/>
    <n v="188"/>
    <n v="16"/>
    <x v="0"/>
    <x v="0"/>
    <x v="2"/>
    <x v="1"/>
    <x v="2"/>
    <d v="1899-12-30T10:36:00"/>
  </r>
  <r>
    <s v="1644"/>
    <s v="948 Pine St, Cityb"/>
    <d v="2023-09-05T00:00:00"/>
    <s v="September"/>
    <x v="6"/>
    <d v="1899-12-30T15:59:00"/>
    <x v="1"/>
    <x v="1"/>
    <s v="D7"/>
    <x v="2"/>
    <s v="City E"/>
    <n v="226"/>
    <n v="15"/>
    <x v="0"/>
    <x v="1"/>
    <x v="1"/>
    <x v="1"/>
    <x v="1"/>
    <d v="1899-12-30T10:53:00"/>
  </r>
  <r>
    <s v="1711"/>
    <s v="965 Pine St, Cityb"/>
    <d v="2023-09-07T00:00:00"/>
    <s v="September"/>
    <x v="2"/>
    <d v="1899-12-30T12:08:00"/>
    <x v="0"/>
    <x v="0"/>
    <s v="D7"/>
    <x v="2"/>
    <s v="City E"/>
    <n v="151"/>
    <n v="7"/>
    <x v="2"/>
    <x v="0"/>
    <x v="0"/>
    <x v="2"/>
    <x v="0"/>
    <d v="1899-12-30T09:32:00"/>
  </r>
  <r>
    <s v="1802"/>
    <s v="495 Oak St, Cityc"/>
    <d v="2023-09-01T00:00:00"/>
    <s v="September"/>
    <x v="3"/>
    <d v="1899-12-30T15:48:00"/>
    <x v="1"/>
    <x v="1"/>
    <s v="D7"/>
    <x v="0"/>
    <s v="City E"/>
    <n v="235"/>
    <n v="7"/>
    <x v="2"/>
    <x v="1"/>
    <x v="1"/>
    <x v="1"/>
    <x v="2"/>
    <d v="1899-12-30T17:26:00"/>
  </r>
  <r>
    <s v="1946"/>
    <s v="855 Pine St, Citye"/>
    <d v="2023-09-02T00:00:00"/>
    <s v="September"/>
    <x v="4"/>
    <d v="1899-12-30T11:04:00"/>
    <x v="1"/>
    <x v="1"/>
    <s v="D7"/>
    <x v="1"/>
    <s v="City D"/>
    <n v="128"/>
    <n v="13"/>
    <x v="2"/>
    <x v="1"/>
    <x v="0"/>
    <x v="1"/>
    <x v="2"/>
    <d v="1899-12-30T13:18:00"/>
  </r>
  <r>
    <s v="2043"/>
    <s v="311 Elm St, Cityd"/>
    <d v="2023-09-03T00:00:00"/>
    <s v="September"/>
    <x v="0"/>
    <d v="1899-12-30T09:15:00"/>
    <x v="1"/>
    <x v="1"/>
    <s v="D7"/>
    <x v="2"/>
    <s v="City A"/>
    <n v="131"/>
    <n v="7"/>
    <x v="0"/>
    <x v="1"/>
    <x v="2"/>
    <x v="2"/>
    <x v="2"/>
    <d v="1899-12-30T10:21:00"/>
  </r>
  <r>
    <s v="2059"/>
    <s v="819 Cedar St, Cityb"/>
    <d v="2023-09-02T00:00:00"/>
    <s v="September"/>
    <x v="4"/>
    <d v="1899-12-30T09:08:00"/>
    <x v="1"/>
    <x v="1"/>
    <s v="D7"/>
    <x v="0"/>
    <s v="City A"/>
    <n v="183"/>
    <n v="14"/>
    <x v="2"/>
    <x v="1"/>
    <x v="3"/>
    <x v="0"/>
    <x v="0"/>
    <d v="1899-12-30T09:22:00"/>
  </r>
  <r>
    <s v="2073"/>
    <s v="546 Oak St, Cityd"/>
    <d v="2023-09-03T00:00:00"/>
    <s v="September"/>
    <x v="0"/>
    <d v="1899-12-30T12:56:00"/>
    <x v="0"/>
    <x v="0"/>
    <s v="D7"/>
    <x v="2"/>
    <s v="City C"/>
    <n v="110"/>
    <n v="13"/>
    <x v="1"/>
    <x v="0"/>
    <x v="1"/>
    <x v="2"/>
    <x v="2"/>
    <d v="1899-12-30T13:54:00"/>
  </r>
  <r>
    <s v="2110"/>
    <s v="643 Oak St, Cityd"/>
    <d v="2023-09-08T00:00:00"/>
    <s v="September"/>
    <x v="3"/>
    <d v="1899-12-30T10:49:00"/>
    <x v="1"/>
    <x v="1"/>
    <s v="D7"/>
    <x v="2"/>
    <s v="City D"/>
    <n v="238"/>
    <n v="16"/>
    <x v="2"/>
    <x v="1"/>
    <x v="0"/>
    <x v="1"/>
    <x v="1"/>
    <d v="1899-12-30T16:04:00"/>
  </r>
  <r>
    <s v="2448"/>
    <s v="419 Main St, Cityc"/>
    <d v="2023-09-04T00:00:00"/>
    <s v="September"/>
    <x v="1"/>
    <d v="1899-12-30T12:50:00"/>
    <x v="0"/>
    <x v="0"/>
    <s v="D7"/>
    <x v="0"/>
    <s v="City C"/>
    <n v="232"/>
    <n v="5"/>
    <x v="0"/>
    <x v="0"/>
    <x v="0"/>
    <x v="2"/>
    <x v="1"/>
    <d v="1899-12-30T14:50:00"/>
  </r>
  <r>
    <s v="1004"/>
    <s v="66 Cedar St, Cityd"/>
    <d v="2023-09-03T00:00:00"/>
    <s v="September"/>
    <x v="0"/>
    <d v="1899-12-30T14:41:00"/>
    <x v="1"/>
    <x v="1"/>
    <s v="D70"/>
    <x v="2"/>
    <s v="City A"/>
    <n v="143"/>
    <n v="17"/>
    <x v="0"/>
    <x v="1"/>
    <x v="2"/>
    <x v="0"/>
    <x v="0"/>
    <d v="1899-12-30T15:23:00"/>
  </r>
  <r>
    <s v="1047"/>
    <s v="347 Elm St, Cityc"/>
    <d v="2023-09-03T00:00:00"/>
    <s v="September"/>
    <x v="0"/>
    <d v="1899-12-30T11:46:00"/>
    <x v="1"/>
    <x v="1"/>
    <s v="D70"/>
    <x v="0"/>
    <s v="City C"/>
    <n v="123"/>
    <n v="14"/>
    <x v="0"/>
    <x v="1"/>
    <x v="3"/>
    <x v="1"/>
    <x v="0"/>
    <d v="1899-12-30T13:14:00"/>
  </r>
  <r>
    <s v="1179"/>
    <s v="801 Elm St, Cityb"/>
    <d v="2023-09-07T00:00:00"/>
    <s v="September"/>
    <x v="2"/>
    <d v="1899-12-30T09:07:00"/>
    <x v="1"/>
    <x v="1"/>
    <s v="D70"/>
    <x v="0"/>
    <s v="City B"/>
    <n v="109"/>
    <n v="22"/>
    <x v="1"/>
    <x v="1"/>
    <x v="0"/>
    <x v="1"/>
    <x v="0"/>
    <d v="1899-12-30T15:47:00"/>
  </r>
  <r>
    <s v="1238"/>
    <s v="825 Oak St, Citye"/>
    <d v="2023-09-02T00:00:00"/>
    <s v="September"/>
    <x v="4"/>
    <d v="1899-12-30T12:48:00"/>
    <x v="0"/>
    <x v="0"/>
    <s v="D70"/>
    <x v="2"/>
    <s v="City A"/>
    <n v="111"/>
    <n v="19"/>
    <x v="0"/>
    <x v="0"/>
    <x v="1"/>
    <x v="0"/>
    <x v="1"/>
    <d v="1899-12-30T17:32:00"/>
  </r>
  <r>
    <s v="1289"/>
    <s v="157 Elm St, Cityd"/>
    <d v="2023-09-03T00:00:00"/>
    <s v="September"/>
    <x v="0"/>
    <d v="1899-12-30T13:27:00"/>
    <x v="0"/>
    <x v="0"/>
    <s v="D70"/>
    <x v="2"/>
    <s v="City B"/>
    <n v="145"/>
    <n v="13"/>
    <x v="1"/>
    <x v="0"/>
    <x v="1"/>
    <x v="0"/>
    <x v="1"/>
    <d v="1899-12-30T08:57:00"/>
  </r>
  <r>
    <s v="1313"/>
    <s v="440 Cedar St, Citya"/>
    <d v="2023-09-01T00:00:00"/>
    <s v="September"/>
    <x v="3"/>
    <d v="1899-12-30T16:11:00"/>
    <x v="1"/>
    <x v="1"/>
    <s v="D70"/>
    <x v="2"/>
    <s v="City A"/>
    <n v="182"/>
    <n v="15"/>
    <x v="1"/>
    <x v="1"/>
    <x v="4"/>
    <x v="2"/>
    <x v="0"/>
    <d v="1899-12-30T14:14:00"/>
  </r>
  <r>
    <s v="1348"/>
    <s v="255 Pine St, Cityd"/>
    <d v="2023-09-03T00:00:00"/>
    <s v="September"/>
    <x v="0"/>
    <d v="1899-12-30T12:34:00"/>
    <x v="1"/>
    <x v="1"/>
    <s v="D70"/>
    <x v="2"/>
    <s v="City C"/>
    <n v="156"/>
    <n v="1"/>
    <x v="2"/>
    <x v="1"/>
    <x v="4"/>
    <x v="1"/>
    <x v="2"/>
    <d v="1899-12-30T16:11:00"/>
  </r>
  <r>
    <s v="1449"/>
    <s v="983 Oak St, Cityc"/>
    <d v="2023-09-07T00:00:00"/>
    <s v="September"/>
    <x v="2"/>
    <d v="1899-12-30T14:22:00"/>
    <x v="1"/>
    <x v="1"/>
    <s v="D70"/>
    <x v="2"/>
    <s v="City B"/>
    <n v="176"/>
    <n v="16"/>
    <x v="1"/>
    <x v="1"/>
    <x v="4"/>
    <x v="1"/>
    <x v="0"/>
    <d v="1899-12-30T11:26:00"/>
  </r>
  <r>
    <s v="1466"/>
    <s v="786 Oak St, Cityb"/>
    <d v="2023-09-04T00:00:00"/>
    <s v="September"/>
    <x v="1"/>
    <d v="1899-12-30T14:48:00"/>
    <x v="0"/>
    <x v="0"/>
    <s v="D70"/>
    <x v="0"/>
    <s v="City A"/>
    <n v="178"/>
    <n v="2"/>
    <x v="0"/>
    <x v="0"/>
    <x v="0"/>
    <x v="0"/>
    <x v="2"/>
    <d v="1899-12-30T15:27:00"/>
  </r>
  <r>
    <s v="1533"/>
    <s v="875 Elm St, Citya"/>
    <d v="2023-09-07T00:00:00"/>
    <s v="September"/>
    <x v="2"/>
    <d v="1899-12-30T15:53:00"/>
    <x v="0"/>
    <x v="0"/>
    <s v="D70"/>
    <x v="2"/>
    <s v="City A"/>
    <n v="208"/>
    <n v="10"/>
    <x v="2"/>
    <x v="0"/>
    <x v="4"/>
    <x v="0"/>
    <x v="0"/>
    <d v="1899-12-30T09:22:00"/>
  </r>
  <r>
    <s v="1631"/>
    <s v="194 Oak St, Cityd"/>
    <d v="2023-09-03T00:00:00"/>
    <s v="September"/>
    <x v="0"/>
    <d v="1899-12-30T13:55:00"/>
    <x v="1"/>
    <x v="1"/>
    <s v="D70"/>
    <x v="2"/>
    <s v="City B"/>
    <n v="116"/>
    <n v="1"/>
    <x v="0"/>
    <x v="1"/>
    <x v="1"/>
    <x v="2"/>
    <x v="0"/>
    <d v="1899-12-30T10:28:00"/>
  </r>
  <r>
    <s v="1635"/>
    <s v="273 Main St, Cityd"/>
    <d v="2023-09-04T00:00:00"/>
    <s v="September"/>
    <x v="1"/>
    <d v="1899-12-30T14:28:00"/>
    <x v="0"/>
    <x v="0"/>
    <s v="D70"/>
    <x v="0"/>
    <s v="City C"/>
    <n v="129"/>
    <n v="24"/>
    <x v="1"/>
    <x v="0"/>
    <x v="1"/>
    <x v="2"/>
    <x v="1"/>
    <d v="1899-12-30T09:24:00"/>
  </r>
  <r>
    <s v="1723"/>
    <s v="139 Elm St, Citya"/>
    <d v="2023-09-02T00:00:00"/>
    <s v="September"/>
    <x v="4"/>
    <d v="1899-12-30T08:09:00"/>
    <x v="0"/>
    <x v="0"/>
    <s v="D70"/>
    <x v="0"/>
    <s v="City A"/>
    <n v="112"/>
    <n v="1"/>
    <x v="2"/>
    <x v="0"/>
    <x v="2"/>
    <x v="1"/>
    <x v="0"/>
    <d v="1899-12-30T16:32:00"/>
  </r>
  <r>
    <s v="1913"/>
    <s v="948 Pine St, Citye"/>
    <d v="2023-09-03T00:00:00"/>
    <s v="September"/>
    <x v="0"/>
    <d v="1899-12-30T16:38:00"/>
    <x v="0"/>
    <x v="0"/>
    <s v="D70"/>
    <x v="0"/>
    <s v="City B"/>
    <n v="68"/>
    <n v="14"/>
    <x v="0"/>
    <x v="0"/>
    <x v="0"/>
    <x v="2"/>
    <x v="0"/>
    <d v="1899-12-30T16:15:00"/>
  </r>
  <r>
    <s v="1988"/>
    <s v="759 Main St, Cityb"/>
    <d v="2023-09-02T00:00:00"/>
    <s v="September"/>
    <x v="4"/>
    <d v="1899-12-30T12:12:00"/>
    <x v="0"/>
    <x v="0"/>
    <s v="D70"/>
    <x v="2"/>
    <s v="City A"/>
    <n v="131"/>
    <n v="21"/>
    <x v="1"/>
    <x v="0"/>
    <x v="3"/>
    <x v="0"/>
    <x v="0"/>
    <d v="1899-12-30T08:39:00"/>
  </r>
  <r>
    <s v="2286"/>
    <s v="646 Main St, Cityc"/>
    <d v="2023-09-03T00:00:00"/>
    <s v="September"/>
    <x v="0"/>
    <d v="1899-12-30T16:24:00"/>
    <x v="1"/>
    <x v="1"/>
    <s v="D70"/>
    <x v="2"/>
    <s v="City D"/>
    <n v="105"/>
    <n v="20"/>
    <x v="0"/>
    <x v="1"/>
    <x v="0"/>
    <x v="2"/>
    <x v="0"/>
    <d v="1899-12-30T09:49:00"/>
  </r>
  <r>
    <s v="2355"/>
    <s v="924 Cedar St, Citye"/>
    <d v="2023-09-01T00:00:00"/>
    <s v="September"/>
    <x v="3"/>
    <d v="1899-12-30T09:38:00"/>
    <x v="0"/>
    <x v="0"/>
    <s v="D70"/>
    <x v="1"/>
    <s v="City A"/>
    <n v="141"/>
    <n v="2"/>
    <x v="0"/>
    <x v="0"/>
    <x v="0"/>
    <x v="2"/>
    <x v="0"/>
    <d v="1899-12-30T10:16:00"/>
  </r>
  <r>
    <s v="1124"/>
    <s v="674 Pine St, Citya"/>
    <d v="2023-09-03T00:00:00"/>
    <s v="September"/>
    <x v="0"/>
    <d v="1899-12-30T14:56:00"/>
    <x v="1"/>
    <x v="1"/>
    <s v="D71"/>
    <x v="0"/>
    <s v="City A"/>
    <n v="83"/>
    <n v="2"/>
    <x v="1"/>
    <x v="1"/>
    <x v="2"/>
    <x v="2"/>
    <x v="1"/>
    <d v="1899-12-30T14:42:00"/>
  </r>
  <r>
    <s v="1146"/>
    <s v="942 Elm St, Cityd"/>
    <d v="2023-09-04T00:00:00"/>
    <s v="September"/>
    <x v="1"/>
    <d v="1899-12-30T13:08:00"/>
    <x v="0"/>
    <x v="0"/>
    <s v="D71"/>
    <x v="1"/>
    <s v="City C"/>
    <n v="172"/>
    <n v="15"/>
    <x v="2"/>
    <x v="0"/>
    <x v="3"/>
    <x v="0"/>
    <x v="0"/>
    <d v="1899-12-30T13:58:00"/>
  </r>
  <r>
    <s v="1223"/>
    <s v="346 Main St, Cityc"/>
    <d v="2023-09-01T00:00:00"/>
    <s v="September"/>
    <x v="3"/>
    <d v="1899-12-30T08:15:00"/>
    <x v="1"/>
    <x v="1"/>
    <s v="D71"/>
    <x v="0"/>
    <s v="City C"/>
    <n v="103"/>
    <n v="15"/>
    <x v="1"/>
    <x v="1"/>
    <x v="3"/>
    <x v="0"/>
    <x v="1"/>
    <d v="1899-12-30T12:21:00"/>
  </r>
  <r>
    <s v="1375"/>
    <s v="347 Main St, Cityd"/>
    <d v="2023-09-01T00:00:00"/>
    <s v="September"/>
    <x v="3"/>
    <d v="1899-12-30T12:38:00"/>
    <x v="0"/>
    <x v="0"/>
    <s v="D71"/>
    <x v="0"/>
    <s v="City A"/>
    <n v="61"/>
    <n v="20"/>
    <x v="2"/>
    <x v="0"/>
    <x v="1"/>
    <x v="0"/>
    <x v="2"/>
    <d v="1899-12-30T09:28:00"/>
  </r>
  <r>
    <s v="1575"/>
    <s v="649 Cedar St, Citya"/>
    <d v="2023-09-03T00:00:00"/>
    <s v="September"/>
    <x v="0"/>
    <d v="1899-12-30T10:10:00"/>
    <x v="1"/>
    <x v="1"/>
    <s v="D71"/>
    <x v="1"/>
    <s v="City A"/>
    <n v="165"/>
    <n v="6"/>
    <x v="0"/>
    <x v="1"/>
    <x v="0"/>
    <x v="0"/>
    <x v="0"/>
    <d v="1899-12-30T16:20:00"/>
  </r>
  <r>
    <s v="1637"/>
    <s v="111 Pine St, Cityd"/>
    <d v="2023-09-04T00:00:00"/>
    <s v="September"/>
    <x v="1"/>
    <d v="1899-12-30T12:59:00"/>
    <x v="1"/>
    <x v="1"/>
    <s v="D71"/>
    <x v="2"/>
    <s v="City A"/>
    <n v="204"/>
    <n v="24"/>
    <x v="0"/>
    <x v="1"/>
    <x v="3"/>
    <x v="1"/>
    <x v="2"/>
    <d v="1899-12-30T10:07:00"/>
  </r>
  <r>
    <s v="1714"/>
    <s v="792 Main St, Cityc"/>
    <d v="2023-09-01T00:00:00"/>
    <s v="September"/>
    <x v="3"/>
    <d v="1899-12-30T10:37:00"/>
    <x v="1"/>
    <x v="1"/>
    <s v="D71"/>
    <x v="0"/>
    <s v="City C"/>
    <n v="150"/>
    <n v="27"/>
    <x v="2"/>
    <x v="1"/>
    <x v="0"/>
    <x v="0"/>
    <x v="0"/>
    <d v="1899-12-30T15:47:00"/>
  </r>
  <r>
    <s v="1771"/>
    <s v="356 Cedar St, Cityc"/>
    <d v="2023-09-01T00:00:00"/>
    <s v="September"/>
    <x v="3"/>
    <d v="1899-12-30T10:47:00"/>
    <x v="1"/>
    <x v="1"/>
    <s v="D71"/>
    <x v="0"/>
    <s v="City C"/>
    <n v="61"/>
    <n v="10"/>
    <x v="1"/>
    <x v="1"/>
    <x v="2"/>
    <x v="0"/>
    <x v="1"/>
    <d v="1899-12-30T08:55:00"/>
  </r>
  <r>
    <s v="1775"/>
    <s v="444 Cedar St, Citya"/>
    <d v="2023-09-08T00:00:00"/>
    <s v="September"/>
    <x v="3"/>
    <d v="1899-12-30T10:45:00"/>
    <x v="0"/>
    <x v="0"/>
    <s v="D71"/>
    <x v="1"/>
    <s v="City D"/>
    <n v="125"/>
    <n v="13"/>
    <x v="2"/>
    <x v="0"/>
    <x v="3"/>
    <x v="0"/>
    <x v="0"/>
    <d v="1899-12-30T08:42:00"/>
  </r>
  <r>
    <s v="1953"/>
    <s v="426 Main St, Cityc"/>
    <d v="2023-09-02T00:00:00"/>
    <s v="September"/>
    <x v="4"/>
    <d v="1899-12-30T10:00:00"/>
    <x v="1"/>
    <x v="1"/>
    <s v="D71"/>
    <x v="0"/>
    <s v="City C"/>
    <n v="65"/>
    <n v="0"/>
    <x v="0"/>
    <x v="1"/>
    <x v="3"/>
    <x v="0"/>
    <x v="1"/>
    <d v="1899-12-30T16:49:00"/>
  </r>
  <r>
    <s v="1989"/>
    <s v="71 Main St, Citye"/>
    <d v="2023-09-07T00:00:00"/>
    <s v="September"/>
    <x v="2"/>
    <d v="1899-12-30T09:40:00"/>
    <x v="1"/>
    <x v="1"/>
    <s v="D71"/>
    <x v="1"/>
    <s v="City D"/>
    <n v="165"/>
    <n v="12"/>
    <x v="2"/>
    <x v="1"/>
    <x v="2"/>
    <x v="1"/>
    <x v="0"/>
    <d v="1899-12-30T11:14:00"/>
  </r>
  <r>
    <s v="2069"/>
    <s v="99 Pine St, Cityd"/>
    <d v="2023-09-04T00:00:00"/>
    <s v="September"/>
    <x v="1"/>
    <d v="1899-12-30T14:24:00"/>
    <x v="0"/>
    <x v="0"/>
    <s v="D71"/>
    <x v="0"/>
    <s v="City A"/>
    <n v="199"/>
    <n v="9"/>
    <x v="0"/>
    <x v="0"/>
    <x v="4"/>
    <x v="1"/>
    <x v="1"/>
    <d v="1899-12-30T12:31:00"/>
  </r>
  <r>
    <s v="2161"/>
    <s v="737 Elm St, Cityc"/>
    <d v="2023-09-04T00:00:00"/>
    <s v="September"/>
    <x v="1"/>
    <d v="1899-12-30T14:54:00"/>
    <x v="0"/>
    <x v="0"/>
    <s v="D71"/>
    <x v="0"/>
    <s v="City D"/>
    <n v="60"/>
    <n v="16"/>
    <x v="2"/>
    <x v="0"/>
    <x v="0"/>
    <x v="1"/>
    <x v="1"/>
    <d v="1899-12-30T08:46:00"/>
  </r>
  <r>
    <s v="2195"/>
    <s v="275 Main St, Citya"/>
    <d v="2023-09-06T00:00:00"/>
    <s v="September"/>
    <x v="5"/>
    <d v="1899-12-30T14:04:00"/>
    <x v="1"/>
    <x v="1"/>
    <s v="D71"/>
    <x v="2"/>
    <s v="City A"/>
    <n v="135"/>
    <n v="12"/>
    <x v="2"/>
    <x v="1"/>
    <x v="0"/>
    <x v="0"/>
    <x v="0"/>
    <d v="1899-12-30T11:36:00"/>
  </r>
  <r>
    <s v="2200"/>
    <s v="641 Oak St, Cityb"/>
    <d v="2023-09-04T00:00:00"/>
    <s v="September"/>
    <x v="1"/>
    <d v="1899-12-30T08:17:00"/>
    <x v="1"/>
    <x v="1"/>
    <s v="D71"/>
    <x v="0"/>
    <s v="City B"/>
    <n v="163"/>
    <n v="9"/>
    <x v="1"/>
    <x v="1"/>
    <x v="4"/>
    <x v="1"/>
    <x v="1"/>
    <d v="1899-12-30T13:03:00"/>
  </r>
  <r>
    <s v="2228"/>
    <s v="749 Main St, Cityc"/>
    <d v="2023-09-05T00:00:00"/>
    <s v="September"/>
    <x v="6"/>
    <d v="1899-12-30T09:02:00"/>
    <x v="0"/>
    <x v="0"/>
    <s v="D71"/>
    <x v="0"/>
    <s v="City A"/>
    <n v="145"/>
    <n v="5"/>
    <x v="2"/>
    <x v="0"/>
    <x v="0"/>
    <x v="1"/>
    <x v="2"/>
    <d v="1899-12-30T11:58:00"/>
  </r>
  <r>
    <s v="2313"/>
    <s v="140 Pine St, Citya"/>
    <d v="2023-09-03T00:00:00"/>
    <s v="September"/>
    <x v="0"/>
    <d v="1899-12-30T08:20:00"/>
    <x v="1"/>
    <x v="1"/>
    <s v="D71"/>
    <x v="2"/>
    <s v="City B"/>
    <n v="95"/>
    <n v="4"/>
    <x v="2"/>
    <x v="1"/>
    <x v="4"/>
    <x v="2"/>
    <x v="0"/>
    <d v="1899-12-30T11:49:00"/>
  </r>
  <r>
    <s v="2326"/>
    <s v="587 Pine St, Cityc"/>
    <d v="2023-09-03T00:00:00"/>
    <s v="September"/>
    <x v="0"/>
    <d v="1899-12-30T11:00:00"/>
    <x v="0"/>
    <x v="0"/>
    <s v="D71"/>
    <x v="0"/>
    <s v="City A"/>
    <n v="230"/>
    <n v="26"/>
    <x v="1"/>
    <x v="0"/>
    <x v="2"/>
    <x v="0"/>
    <x v="1"/>
    <d v="1899-12-30T14:01:00"/>
  </r>
  <r>
    <s v="2348"/>
    <s v="622 Elm St, Cityc"/>
    <d v="2023-09-05T00:00:00"/>
    <s v="September"/>
    <x v="6"/>
    <d v="1899-12-30T13:10:00"/>
    <x v="0"/>
    <x v="0"/>
    <s v="D71"/>
    <x v="0"/>
    <s v="City B"/>
    <n v="161"/>
    <n v="25"/>
    <x v="1"/>
    <x v="0"/>
    <x v="0"/>
    <x v="1"/>
    <x v="1"/>
    <d v="1899-12-30T12:06:00"/>
  </r>
  <r>
    <s v="2486"/>
    <s v="642 Cedar St, Citye"/>
    <d v="2023-09-06T00:00:00"/>
    <s v="September"/>
    <x v="5"/>
    <d v="1899-12-30T11:13:00"/>
    <x v="0"/>
    <x v="0"/>
    <s v="D71"/>
    <x v="2"/>
    <s v="City A"/>
    <n v="159"/>
    <n v="6"/>
    <x v="2"/>
    <x v="0"/>
    <x v="2"/>
    <x v="2"/>
    <x v="0"/>
    <d v="1899-12-30T12:06:00"/>
  </r>
  <r>
    <s v="1046"/>
    <s v="685 Cedar St, Citya"/>
    <d v="2023-09-02T00:00:00"/>
    <s v="September"/>
    <x v="4"/>
    <d v="1899-12-30T13:12:00"/>
    <x v="1"/>
    <x v="1"/>
    <s v="D72"/>
    <x v="0"/>
    <s v="City C"/>
    <n v="94"/>
    <n v="4"/>
    <x v="2"/>
    <x v="1"/>
    <x v="3"/>
    <x v="2"/>
    <x v="2"/>
    <d v="1899-12-30T14:59:00"/>
  </r>
  <r>
    <s v="1125"/>
    <s v="893 Pine St, Citya"/>
    <d v="2023-09-07T00:00:00"/>
    <s v="September"/>
    <x v="2"/>
    <d v="1899-12-30T09:46:00"/>
    <x v="0"/>
    <x v="0"/>
    <s v="D72"/>
    <x v="0"/>
    <s v="City A"/>
    <n v="178"/>
    <n v="28"/>
    <x v="1"/>
    <x v="0"/>
    <x v="4"/>
    <x v="2"/>
    <x v="0"/>
    <d v="1899-12-30T15:40:00"/>
  </r>
  <r>
    <s v="1244"/>
    <s v="885 Main St, Citya"/>
    <d v="2023-09-01T00:00:00"/>
    <s v="September"/>
    <x v="3"/>
    <d v="1899-12-30T13:45:00"/>
    <x v="1"/>
    <x v="1"/>
    <s v="D72"/>
    <x v="0"/>
    <s v="City B"/>
    <n v="74"/>
    <n v="26"/>
    <x v="0"/>
    <x v="1"/>
    <x v="0"/>
    <x v="0"/>
    <x v="2"/>
    <d v="1899-12-30T09:54:00"/>
  </r>
  <r>
    <s v="1440"/>
    <s v="891 Cedar St, Citye"/>
    <d v="2023-09-06T00:00:00"/>
    <s v="September"/>
    <x v="5"/>
    <d v="1899-12-30T09:11:00"/>
    <x v="1"/>
    <x v="1"/>
    <s v="D72"/>
    <x v="1"/>
    <s v="City D"/>
    <n v="107"/>
    <n v="9"/>
    <x v="0"/>
    <x v="1"/>
    <x v="4"/>
    <x v="2"/>
    <x v="2"/>
    <d v="1899-12-30T12:05:00"/>
  </r>
  <r>
    <s v="1477"/>
    <s v="836 Elm St, Cityd"/>
    <d v="2023-09-04T00:00:00"/>
    <s v="September"/>
    <x v="1"/>
    <d v="1899-12-30T12:39:00"/>
    <x v="0"/>
    <x v="0"/>
    <s v="D72"/>
    <x v="1"/>
    <s v="City D"/>
    <n v="178"/>
    <n v="25"/>
    <x v="0"/>
    <x v="0"/>
    <x v="3"/>
    <x v="2"/>
    <x v="1"/>
    <d v="1899-12-30T15:06:00"/>
  </r>
  <r>
    <s v="1500"/>
    <s v="260 Pine St, Citya"/>
    <d v="2023-09-04T00:00:00"/>
    <s v="September"/>
    <x v="1"/>
    <d v="1899-12-30T12:24:00"/>
    <x v="0"/>
    <x v="0"/>
    <s v="D72"/>
    <x v="0"/>
    <s v="City B"/>
    <n v="85"/>
    <n v="7"/>
    <x v="1"/>
    <x v="0"/>
    <x v="1"/>
    <x v="2"/>
    <x v="0"/>
    <d v="1899-12-30T13:39:00"/>
  </r>
  <r>
    <s v="1667"/>
    <s v="103 Main St, Cityd"/>
    <d v="2023-09-03T00:00:00"/>
    <s v="September"/>
    <x v="0"/>
    <d v="1899-12-30T08:00:00"/>
    <x v="1"/>
    <x v="1"/>
    <s v="D72"/>
    <x v="1"/>
    <s v="City A"/>
    <n v="80"/>
    <n v="19"/>
    <x v="1"/>
    <x v="1"/>
    <x v="4"/>
    <x v="2"/>
    <x v="0"/>
    <d v="1899-12-30T13:42:00"/>
  </r>
  <r>
    <s v="1769"/>
    <s v="25 Pine St, Cityd"/>
    <d v="2023-09-06T00:00:00"/>
    <s v="September"/>
    <x v="5"/>
    <d v="1899-12-30T09:26:00"/>
    <x v="0"/>
    <x v="0"/>
    <s v="D72"/>
    <x v="1"/>
    <s v="City C"/>
    <n v="222"/>
    <n v="27"/>
    <x v="1"/>
    <x v="0"/>
    <x v="2"/>
    <x v="0"/>
    <x v="2"/>
    <d v="1899-12-30T13:32:00"/>
  </r>
  <r>
    <s v="1805"/>
    <s v="975 Cedar St, Cityc"/>
    <d v="2023-09-01T00:00:00"/>
    <s v="September"/>
    <x v="3"/>
    <d v="1899-12-30T13:23:00"/>
    <x v="0"/>
    <x v="0"/>
    <s v="D72"/>
    <x v="2"/>
    <s v="City C"/>
    <n v="153"/>
    <n v="3"/>
    <x v="0"/>
    <x v="0"/>
    <x v="3"/>
    <x v="0"/>
    <x v="2"/>
    <d v="1899-12-30T17:23:00"/>
  </r>
  <r>
    <s v="1878"/>
    <s v="44 Elm St, Cityb"/>
    <d v="2023-09-08T00:00:00"/>
    <s v="September"/>
    <x v="3"/>
    <d v="1899-12-30T08:07:00"/>
    <x v="0"/>
    <x v="0"/>
    <s v="D72"/>
    <x v="2"/>
    <s v="City C"/>
    <n v="173"/>
    <n v="10"/>
    <x v="2"/>
    <x v="0"/>
    <x v="2"/>
    <x v="2"/>
    <x v="1"/>
    <d v="1899-12-30T09:52:00"/>
  </r>
  <r>
    <s v="2094"/>
    <s v="837 Elm St, Cityd"/>
    <d v="2023-09-03T00:00:00"/>
    <s v="September"/>
    <x v="0"/>
    <d v="1899-12-30T08:10:00"/>
    <x v="1"/>
    <x v="1"/>
    <s v="D72"/>
    <x v="0"/>
    <s v="City B"/>
    <n v="125"/>
    <n v="25"/>
    <x v="1"/>
    <x v="1"/>
    <x v="1"/>
    <x v="1"/>
    <x v="1"/>
    <d v="1899-12-30T13:58:00"/>
  </r>
  <r>
    <s v="2139"/>
    <s v="879 Cedar St, Citye"/>
    <d v="2023-09-04T00:00:00"/>
    <s v="September"/>
    <x v="1"/>
    <d v="1899-12-30T11:31:00"/>
    <x v="0"/>
    <x v="0"/>
    <s v="D72"/>
    <x v="2"/>
    <s v="City D"/>
    <n v="73"/>
    <n v="9"/>
    <x v="0"/>
    <x v="0"/>
    <x v="3"/>
    <x v="0"/>
    <x v="0"/>
    <d v="1899-12-30T14:51:00"/>
  </r>
  <r>
    <s v="2190"/>
    <s v="877 Cedar St, Citye"/>
    <d v="2023-09-07T00:00:00"/>
    <s v="September"/>
    <x v="2"/>
    <d v="1899-12-30T13:48:00"/>
    <x v="0"/>
    <x v="0"/>
    <s v="D72"/>
    <x v="2"/>
    <s v="City B"/>
    <n v="166"/>
    <n v="17"/>
    <x v="2"/>
    <x v="0"/>
    <x v="0"/>
    <x v="2"/>
    <x v="1"/>
    <d v="1899-12-30T16:34:00"/>
  </r>
  <r>
    <s v="2463"/>
    <s v="403 Oak St, Citya"/>
    <d v="2023-09-06T00:00:00"/>
    <s v="September"/>
    <x v="5"/>
    <d v="1899-12-30T11:52:00"/>
    <x v="0"/>
    <x v="0"/>
    <s v="D72"/>
    <x v="0"/>
    <s v="City E"/>
    <n v="189"/>
    <n v="27"/>
    <x v="0"/>
    <x v="0"/>
    <x v="0"/>
    <x v="1"/>
    <x v="0"/>
    <d v="1899-12-30T13:11:00"/>
  </r>
  <r>
    <s v="1092"/>
    <s v="844 Pine St, Cityd"/>
    <d v="2023-09-01T00:00:00"/>
    <s v="September"/>
    <x v="3"/>
    <d v="1899-12-30T10:47:00"/>
    <x v="1"/>
    <x v="1"/>
    <s v="D73"/>
    <x v="2"/>
    <s v="City E"/>
    <n v="198"/>
    <n v="23"/>
    <x v="1"/>
    <x v="1"/>
    <x v="3"/>
    <x v="0"/>
    <x v="1"/>
    <d v="1899-12-30T13:49:00"/>
  </r>
  <r>
    <s v="1216"/>
    <s v="637 Cedar St, Cityd"/>
    <d v="2023-09-01T00:00:00"/>
    <s v="September"/>
    <x v="3"/>
    <d v="1899-12-30T14:27:00"/>
    <x v="0"/>
    <x v="0"/>
    <s v="D73"/>
    <x v="0"/>
    <s v="City C"/>
    <n v="136"/>
    <n v="2"/>
    <x v="0"/>
    <x v="0"/>
    <x v="1"/>
    <x v="1"/>
    <x v="0"/>
    <d v="1899-12-30T14:34:00"/>
  </r>
  <r>
    <s v="1329"/>
    <s v="912 Main St, Cityc"/>
    <d v="2023-09-06T00:00:00"/>
    <s v="September"/>
    <x v="5"/>
    <d v="1899-12-30T14:07:00"/>
    <x v="1"/>
    <x v="1"/>
    <s v="D73"/>
    <x v="0"/>
    <s v="City B"/>
    <n v="191"/>
    <n v="9"/>
    <x v="1"/>
    <x v="1"/>
    <x v="4"/>
    <x v="1"/>
    <x v="1"/>
    <d v="1899-12-30T08:42:00"/>
  </r>
  <r>
    <s v="1350"/>
    <s v="268 Elm St, Cityb"/>
    <d v="2023-09-07T00:00:00"/>
    <s v="September"/>
    <x v="2"/>
    <d v="1899-12-30T12:34:00"/>
    <x v="0"/>
    <x v="0"/>
    <s v="D73"/>
    <x v="2"/>
    <s v="City A"/>
    <n v="107"/>
    <n v="26"/>
    <x v="2"/>
    <x v="0"/>
    <x v="4"/>
    <x v="0"/>
    <x v="2"/>
    <d v="1899-12-30T14:52:00"/>
  </r>
  <r>
    <s v="1373"/>
    <s v="168 Elm St, Citya"/>
    <d v="2023-09-08T00:00:00"/>
    <s v="September"/>
    <x v="3"/>
    <d v="1899-12-30T15:48:00"/>
    <x v="1"/>
    <x v="1"/>
    <s v="D73"/>
    <x v="1"/>
    <s v="City A"/>
    <n v="165"/>
    <n v="6"/>
    <x v="0"/>
    <x v="1"/>
    <x v="3"/>
    <x v="0"/>
    <x v="1"/>
    <d v="1899-12-30T11:30:00"/>
  </r>
  <r>
    <s v="1502"/>
    <s v="11 Cedar St, Cityc"/>
    <d v="2023-09-07T00:00:00"/>
    <s v="September"/>
    <x v="2"/>
    <d v="1899-12-30T16:47:00"/>
    <x v="0"/>
    <x v="0"/>
    <s v="D73"/>
    <x v="2"/>
    <s v="City B"/>
    <n v="125"/>
    <n v="16"/>
    <x v="2"/>
    <x v="0"/>
    <x v="2"/>
    <x v="1"/>
    <x v="0"/>
    <d v="1899-12-30T12:49:00"/>
  </r>
  <r>
    <s v="1509"/>
    <s v="32 Oak St, Cityd"/>
    <d v="2023-09-03T00:00:00"/>
    <s v="September"/>
    <x v="0"/>
    <d v="1899-12-30T08:25:00"/>
    <x v="0"/>
    <x v="0"/>
    <s v="D73"/>
    <x v="1"/>
    <s v="City D"/>
    <n v="62"/>
    <n v="28"/>
    <x v="0"/>
    <x v="0"/>
    <x v="1"/>
    <x v="1"/>
    <x v="2"/>
    <d v="1899-12-30T13:52:00"/>
  </r>
  <r>
    <s v="1595"/>
    <s v="288 Pine St, Cityc"/>
    <d v="2023-09-05T00:00:00"/>
    <s v="September"/>
    <x v="6"/>
    <d v="1899-12-30T10:44:00"/>
    <x v="1"/>
    <x v="1"/>
    <s v="D73"/>
    <x v="1"/>
    <s v="City D"/>
    <n v="135"/>
    <n v="27"/>
    <x v="0"/>
    <x v="1"/>
    <x v="0"/>
    <x v="2"/>
    <x v="0"/>
    <d v="1899-12-30T11:39:00"/>
  </r>
  <r>
    <s v="1606"/>
    <s v="645 Oak St, Cityc"/>
    <d v="2023-09-01T00:00:00"/>
    <s v="September"/>
    <x v="3"/>
    <d v="1899-12-30T14:05:00"/>
    <x v="0"/>
    <x v="0"/>
    <s v="D73"/>
    <x v="2"/>
    <s v="City C"/>
    <n v="234"/>
    <n v="28"/>
    <x v="2"/>
    <x v="0"/>
    <x v="4"/>
    <x v="1"/>
    <x v="1"/>
    <d v="1899-12-30T09:25:00"/>
  </r>
  <r>
    <s v="1785"/>
    <s v="429 Cedar St, Cityb"/>
    <d v="2023-09-02T00:00:00"/>
    <s v="September"/>
    <x v="4"/>
    <d v="1899-12-30T13:25:00"/>
    <x v="1"/>
    <x v="1"/>
    <s v="D73"/>
    <x v="2"/>
    <s v="City E"/>
    <n v="143"/>
    <n v="21"/>
    <x v="1"/>
    <x v="1"/>
    <x v="4"/>
    <x v="0"/>
    <x v="0"/>
    <d v="1899-12-30T13:05:00"/>
  </r>
  <r>
    <s v="1818"/>
    <s v="425 Pine St, Citya"/>
    <d v="2023-09-03T00:00:00"/>
    <s v="September"/>
    <x v="0"/>
    <d v="1899-12-30T14:42:00"/>
    <x v="1"/>
    <x v="1"/>
    <s v="D73"/>
    <x v="2"/>
    <s v="City E"/>
    <n v="182"/>
    <n v="25"/>
    <x v="1"/>
    <x v="1"/>
    <x v="2"/>
    <x v="1"/>
    <x v="2"/>
    <d v="1899-12-30T12:25:00"/>
  </r>
  <r>
    <s v="1936"/>
    <s v="933 Cedar St, Citya"/>
    <d v="2023-09-03T00:00:00"/>
    <s v="September"/>
    <x v="0"/>
    <d v="1899-12-30T11:44:00"/>
    <x v="1"/>
    <x v="1"/>
    <s v="D73"/>
    <x v="1"/>
    <s v="City C"/>
    <n v="173"/>
    <n v="19"/>
    <x v="1"/>
    <x v="1"/>
    <x v="2"/>
    <x v="0"/>
    <x v="1"/>
    <d v="1899-12-30T15:04:00"/>
  </r>
  <r>
    <s v="2367"/>
    <s v="827 Cedar St, Cityc"/>
    <d v="2023-09-02T00:00:00"/>
    <s v="September"/>
    <x v="4"/>
    <d v="1899-12-30T13:13:00"/>
    <x v="0"/>
    <x v="0"/>
    <s v="D73"/>
    <x v="2"/>
    <s v="City B"/>
    <n v="152"/>
    <n v="22"/>
    <x v="1"/>
    <x v="0"/>
    <x v="2"/>
    <x v="1"/>
    <x v="2"/>
    <d v="1899-12-30T10:38:00"/>
  </r>
  <r>
    <s v="2450"/>
    <s v="983 Main St, Cityd"/>
    <d v="2023-09-02T00:00:00"/>
    <s v="September"/>
    <x v="4"/>
    <d v="1899-12-30T16:25:00"/>
    <x v="0"/>
    <x v="0"/>
    <s v="D73"/>
    <x v="0"/>
    <s v="City D"/>
    <n v="199"/>
    <n v="5"/>
    <x v="1"/>
    <x v="0"/>
    <x v="2"/>
    <x v="2"/>
    <x v="1"/>
    <d v="1899-12-30T11:52:00"/>
  </r>
  <r>
    <s v="1077"/>
    <s v="102 Pine St, Cityb"/>
    <d v="2023-09-05T00:00:00"/>
    <s v="September"/>
    <x v="6"/>
    <d v="1899-12-30T08:09:00"/>
    <x v="0"/>
    <x v="0"/>
    <s v="D74"/>
    <x v="2"/>
    <s v="City E"/>
    <n v="187"/>
    <n v="21"/>
    <x v="2"/>
    <x v="0"/>
    <x v="3"/>
    <x v="0"/>
    <x v="2"/>
    <d v="1899-12-30T16:29:00"/>
  </r>
  <r>
    <s v="1079"/>
    <s v="75 Elm St, Cityd"/>
    <d v="2023-09-04T00:00:00"/>
    <s v="September"/>
    <x v="1"/>
    <d v="1899-12-30T11:04:00"/>
    <x v="1"/>
    <x v="1"/>
    <s v="D74"/>
    <x v="0"/>
    <s v="City D"/>
    <n v="141"/>
    <n v="22"/>
    <x v="2"/>
    <x v="1"/>
    <x v="3"/>
    <x v="0"/>
    <x v="1"/>
    <d v="1899-12-30T14:50:00"/>
  </r>
  <r>
    <s v="1250"/>
    <s v="722 Elm St, Cityb"/>
    <d v="2023-09-05T00:00:00"/>
    <s v="September"/>
    <x v="6"/>
    <d v="1899-12-30T12:23:00"/>
    <x v="1"/>
    <x v="1"/>
    <s v="D74"/>
    <x v="2"/>
    <s v="City E"/>
    <n v="97"/>
    <n v="5"/>
    <x v="1"/>
    <x v="1"/>
    <x v="2"/>
    <x v="2"/>
    <x v="1"/>
    <d v="1899-12-30T11:48:00"/>
  </r>
  <r>
    <s v="1309"/>
    <s v="823 Elm St, Cityd"/>
    <d v="2023-09-06T00:00:00"/>
    <s v="September"/>
    <x v="5"/>
    <d v="1899-12-30T15:56:00"/>
    <x v="1"/>
    <x v="1"/>
    <s v="D74"/>
    <x v="0"/>
    <s v="City C"/>
    <n v="201"/>
    <n v="11"/>
    <x v="1"/>
    <x v="1"/>
    <x v="3"/>
    <x v="2"/>
    <x v="0"/>
    <d v="1899-12-30T09:35:00"/>
  </r>
  <r>
    <s v="1457"/>
    <s v="733 Main St, Cityc"/>
    <d v="2023-09-07T00:00:00"/>
    <s v="September"/>
    <x v="2"/>
    <d v="1899-12-30T08:02:00"/>
    <x v="0"/>
    <x v="0"/>
    <s v="D74"/>
    <x v="2"/>
    <s v="City E"/>
    <n v="198"/>
    <n v="28"/>
    <x v="1"/>
    <x v="0"/>
    <x v="2"/>
    <x v="2"/>
    <x v="1"/>
    <d v="1899-12-30T12:55:00"/>
  </r>
  <r>
    <s v="1504"/>
    <s v="214 Oak St, Cityd"/>
    <d v="2023-09-04T00:00:00"/>
    <s v="September"/>
    <x v="1"/>
    <d v="1899-12-30T10:57:00"/>
    <x v="0"/>
    <x v="0"/>
    <s v="D74"/>
    <x v="2"/>
    <s v="City A"/>
    <n v="75"/>
    <n v="28"/>
    <x v="2"/>
    <x v="0"/>
    <x v="0"/>
    <x v="1"/>
    <x v="2"/>
    <d v="1899-12-30T09:27:00"/>
  </r>
  <r>
    <s v="1517"/>
    <s v="95 Main St, Cityb"/>
    <d v="2023-09-07T00:00:00"/>
    <s v="September"/>
    <x v="2"/>
    <d v="1899-12-30T15:27:00"/>
    <x v="0"/>
    <x v="0"/>
    <s v="D74"/>
    <x v="0"/>
    <s v="City E"/>
    <n v="231"/>
    <n v="16"/>
    <x v="0"/>
    <x v="0"/>
    <x v="3"/>
    <x v="1"/>
    <x v="1"/>
    <d v="1899-12-30T16:45:00"/>
  </r>
  <r>
    <s v="1544"/>
    <s v="136 Cedar St, Citye"/>
    <d v="2023-09-02T00:00:00"/>
    <s v="September"/>
    <x v="4"/>
    <d v="1899-12-30T16:20:00"/>
    <x v="1"/>
    <x v="1"/>
    <s v="D74"/>
    <x v="1"/>
    <s v="City C"/>
    <n v="179"/>
    <n v="9"/>
    <x v="2"/>
    <x v="1"/>
    <x v="1"/>
    <x v="2"/>
    <x v="1"/>
    <d v="1899-12-30T10:51:00"/>
  </r>
  <r>
    <s v="1592"/>
    <s v="428 Main St, Citye"/>
    <d v="2023-09-06T00:00:00"/>
    <s v="September"/>
    <x v="5"/>
    <d v="1899-12-30T16:39:00"/>
    <x v="0"/>
    <x v="0"/>
    <s v="D74"/>
    <x v="1"/>
    <s v="City A"/>
    <n v="159"/>
    <n v="14"/>
    <x v="0"/>
    <x v="0"/>
    <x v="4"/>
    <x v="0"/>
    <x v="2"/>
    <d v="1899-12-30T16:06:00"/>
  </r>
  <r>
    <s v="1622"/>
    <s v="211 Cedar St, Cityc"/>
    <d v="2023-09-05T00:00:00"/>
    <s v="September"/>
    <x v="6"/>
    <d v="1899-12-30T15:12:00"/>
    <x v="0"/>
    <x v="0"/>
    <s v="D74"/>
    <x v="2"/>
    <s v="City A"/>
    <n v="196"/>
    <n v="17"/>
    <x v="2"/>
    <x v="0"/>
    <x v="0"/>
    <x v="1"/>
    <x v="2"/>
    <d v="1899-12-30T09:39:00"/>
  </r>
  <r>
    <s v="1676"/>
    <s v="859 Pine St, Citye"/>
    <d v="2023-09-03T00:00:00"/>
    <s v="September"/>
    <x v="0"/>
    <d v="1899-12-30T11:54:00"/>
    <x v="1"/>
    <x v="1"/>
    <s v="D74"/>
    <x v="2"/>
    <s v="City B"/>
    <n v="161"/>
    <n v="1"/>
    <x v="1"/>
    <x v="1"/>
    <x v="2"/>
    <x v="2"/>
    <x v="2"/>
    <d v="1899-12-30T10:49:00"/>
  </r>
  <r>
    <s v="1698"/>
    <s v="374 Main St, Cityb"/>
    <d v="2023-09-08T00:00:00"/>
    <s v="September"/>
    <x v="3"/>
    <d v="1899-12-30T16:24:00"/>
    <x v="0"/>
    <x v="0"/>
    <s v="D74"/>
    <x v="0"/>
    <s v="City C"/>
    <n v="86"/>
    <n v="0"/>
    <x v="2"/>
    <x v="0"/>
    <x v="0"/>
    <x v="1"/>
    <x v="2"/>
    <d v="1899-12-30T11:10:00"/>
  </r>
  <r>
    <s v="1969"/>
    <s v="77 Pine St, Cityc"/>
    <d v="2023-09-03T00:00:00"/>
    <s v="September"/>
    <x v="0"/>
    <d v="1899-12-30T13:51:00"/>
    <x v="0"/>
    <x v="0"/>
    <s v="D74"/>
    <x v="1"/>
    <s v="City A"/>
    <n v="219"/>
    <n v="13"/>
    <x v="1"/>
    <x v="0"/>
    <x v="4"/>
    <x v="0"/>
    <x v="2"/>
    <d v="1899-12-30T12:33:00"/>
  </r>
  <r>
    <s v="2247"/>
    <s v="415 Oak St, Cityb"/>
    <d v="2023-09-04T00:00:00"/>
    <s v="September"/>
    <x v="1"/>
    <d v="1899-12-30T12:15:00"/>
    <x v="0"/>
    <x v="0"/>
    <s v="D74"/>
    <x v="0"/>
    <s v="City B"/>
    <n v="224"/>
    <n v="12"/>
    <x v="0"/>
    <x v="0"/>
    <x v="4"/>
    <x v="1"/>
    <x v="0"/>
    <d v="1899-12-30T16:46:00"/>
  </r>
  <r>
    <s v="2283"/>
    <s v="713 Oak St, Cityb"/>
    <d v="2023-09-01T00:00:00"/>
    <s v="September"/>
    <x v="3"/>
    <d v="1899-12-30T10:47:00"/>
    <x v="0"/>
    <x v="0"/>
    <s v="D74"/>
    <x v="2"/>
    <s v="City E"/>
    <n v="105"/>
    <n v="10"/>
    <x v="2"/>
    <x v="0"/>
    <x v="0"/>
    <x v="1"/>
    <x v="2"/>
    <d v="1899-12-30T11:34:00"/>
  </r>
  <r>
    <s v="1071"/>
    <s v="29 Main St, Cityc"/>
    <d v="2023-09-06T00:00:00"/>
    <s v="September"/>
    <x v="5"/>
    <d v="1899-12-30T14:23:00"/>
    <x v="0"/>
    <x v="0"/>
    <s v="D75"/>
    <x v="1"/>
    <s v="City A"/>
    <n v="188"/>
    <n v="21"/>
    <x v="2"/>
    <x v="0"/>
    <x v="0"/>
    <x v="2"/>
    <x v="0"/>
    <d v="1899-12-30T12:18:00"/>
  </r>
  <r>
    <s v="1314"/>
    <s v="614 Elm St, Citye"/>
    <d v="2023-09-01T00:00:00"/>
    <s v="September"/>
    <x v="3"/>
    <d v="1899-12-30T08:16:00"/>
    <x v="1"/>
    <x v="1"/>
    <s v="D75"/>
    <x v="1"/>
    <s v="City D"/>
    <n v="96"/>
    <n v="4"/>
    <x v="0"/>
    <x v="1"/>
    <x v="2"/>
    <x v="0"/>
    <x v="2"/>
    <d v="1899-12-30T09:35:00"/>
  </r>
  <r>
    <s v="1411"/>
    <s v="778 Cedar St, Cityc"/>
    <d v="2023-09-08T00:00:00"/>
    <s v="September"/>
    <x v="3"/>
    <d v="1899-12-30T13:31:00"/>
    <x v="1"/>
    <x v="1"/>
    <s v="D75"/>
    <x v="1"/>
    <s v="City A"/>
    <n v="203"/>
    <n v="14"/>
    <x v="1"/>
    <x v="1"/>
    <x v="4"/>
    <x v="0"/>
    <x v="1"/>
    <d v="1899-12-30T16:45:00"/>
  </r>
  <r>
    <s v="1448"/>
    <s v="919 Main St, Citya"/>
    <d v="2023-09-04T00:00:00"/>
    <s v="September"/>
    <x v="1"/>
    <d v="1899-12-30T15:21:00"/>
    <x v="1"/>
    <x v="1"/>
    <s v="D75"/>
    <x v="0"/>
    <s v="City B"/>
    <n v="206"/>
    <n v="3"/>
    <x v="0"/>
    <x v="1"/>
    <x v="0"/>
    <x v="0"/>
    <x v="1"/>
    <d v="1899-12-30T09:59:00"/>
  </r>
  <r>
    <s v="1462"/>
    <s v="554 Elm St, Cityc"/>
    <d v="2023-09-04T00:00:00"/>
    <s v="September"/>
    <x v="1"/>
    <d v="1899-12-30T09:08:00"/>
    <x v="1"/>
    <x v="1"/>
    <s v="D75"/>
    <x v="0"/>
    <s v="City E"/>
    <n v="122"/>
    <n v="0"/>
    <x v="0"/>
    <x v="1"/>
    <x v="0"/>
    <x v="0"/>
    <x v="1"/>
    <d v="1899-12-30T09:57:00"/>
  </r>
  <r>
    <s v="1603"/>
    <s v="709 Pine St, Cityc"/>
    <d v="2023-09-03T00:00:00"/>
    <s v="September"/>
    <x v="0"/>
    <d v="1899-12-30T08:39:00"/>
    <x v="1"/>
    <x v="1"/>
    <s v="D75"/>
    <x v="1"/>
    <s v="City A"/>
    <n v="226"/>
    <n v="0"/>
    <x v="0"/>
    <x v="1"/>
    <x v="0"/>
    <x v="2"/>
    <x v="1"/>
    <d v="1899-12-30T10:30:00"/>
  </r>
  <r>
    <s v="1618"/>
    <s v="567 Oak St, Cityb"/>
    <d v="2023-09-03T00:00:00"/>
    <s v="September"/>
    <x v="0"/>
    <d v="1899-12-30T14:22:00"/>
    <x v="1"/>
    <x v="1"/>
    <s v="D75"/>
    <x v="1"/>
    <s v="City A"/>
    <n v="215"/>
    <n v="6"/>
    <x v="0"/>
    <x v="1"/>
    <x v="4"/>
    <x v="2"/>
    <x v="1"/>
    <d v="1899-12-30T15:16:00"/>
  </r>
  <r>
    <s v="1703"/>
    <s v="153 Oak St, Cityb"/>
    <d v="2023-09-06T00:00:00"/>
    <s v="September"/>
    <x v="5"/>
    <d v="1899-12-30T12:37:00"/>
    <x v="0"/>
    <x v="0"/>
    <s v="D75"/>
    <x v="2"/>
    <s v="City C"/>
    <n v="90"/>
    <n v="13"/>
    <x v="2"/>
    <x v="0"/>
    <x v="0"/>
    <x v="0"/>
    <x v="2"/>
    <d v="1899-12-30T14:19:00"/>
  </r>
  <r>
    <s v="1924"/>
    <s v="556 Cedar St, Citya"/>
    <d v="2023-09-03T00:00:00"/>
    <s v="September"/>
    <x v="0"/>
    <d v="1899-12-30T16:51:00"/>
    <x v="0"/>
    <x v="0"/>
    <s v="D75"/>
    <x v="0"/>
    <s v="City B"/>
    <n v="115"/>
    <n v="9"/>
    <x v="1"/>
    <x v="0"/>
    <x v="0"/>
    <x v="1"/>
    <x v="0"/>
    <d v="1899-12-30T15:16:00"/>
  </r>
  <r>
    <s v="2115"/>
    <s v="112 Main St, Cityb"/>
    <d v="2023-09-04T00:00:00"/>
    <s v="September"/>
    <x v="1"/>
    <d v="1899-12-30T10:58:00"/>
    <x v="1"/>
    <x v="1"/>
    <s v="D75"/>
    <x v="0"/>
    <s v="City D"/>
    <n v="62"/>
    <n v="27"/>
    <x v="1"/>
    <x v="1"/>
    <x v="2"/>
    <x v="2"/>
    <x v="1"/>
    <d v="1899-12-30T17:02:00"/>
  </r>
  <r>
    <s v="2221"/>
    <s v="349 Cedar St, Cityb"/>
    <d v="2023-09-02T00:00:00"/>
    <s v="September"/>
    <x v="4"/>
    <d v="1899-12-30T12:49:00"/>
    <x v="0"/>
    <x v="0"/>
    <s v="D75"/>
    <x v="2"/>
    <s v="City D"/>
    <n v="186"/>
    <n v="17"/>
    <x v="2"/>
    <x v="0"/>
    <x v="2"/>
    <x v="1"/>
    <x v="2"/>
    <d v="1899-12-30T11:36:00"/>
  </r>
  <r>
    <s v="2342"/>
    <s v="485 Elm St, Cityd"/>
    <d v="2023-09-02T00:00:00"/>
    <s v="September"/>
    <x v="4"/>
    <d v="1899-12-30T14:23:00"/>
    <x v="0"/>
    <x v="0"/>
    <s v="D75"/>
    <x v="1"/>
    <s v="City C"/>
    <n v="148"/>
    <n v="17"/>
    <x v="2"/>
    <x v="0"/>
    <x v="2"/>
    <x v="2"/>
    <x v="0"/>
    <d v="1899-12-30T09:17:00"/>
  </r>
  <r>
    <s v="1073"/>
    <s v="988 Cedar St, Citya"/>
    <d v="2023-09-02T00:00:00"/>
    <s v="September"/>
    <x v="4"/>
    <d v="1899-12-30T12:39:00"/>
    <x v="0"/>
    <x v="0"/>
    <s v="D76"/>
    <x v="0"/>
    <s v="City D"/>
    <n v="220"/>
    <n v="17"/>
    <x v="2"/>
    <x v="0"/>
    <x v="1"/>
    <x v="0"/>
    <x v="2"/>
    <d v="1899-12-30T14:08:00"/>
  </r>
  <r>
    <s v="1138"/>
    <s v="878 Elm St, Citya"/>
    <d v="2023-09-02T00:00:00"/>
    <s v="September"/>
    <x v="4"/>
    <d v="1899-12-30T15:39:00"/>
    <x v="1"/>
    <x v="1"/>
    <s v="D76"/>
    <x v="1"/>
    <s v="City C"/>
    <n v="72"/>
    <n v="11"/>
    <x v="0"/>
    <x v="1"/>
    <x v="3"/>
    <x v="0"/>
    <x v="1"/>
    <d v="1899-12-30T16:23:00"/>
  </r>
  <r>
    <s v="1212"/>
    <s v="308 Pine St, Cityb"/>
    <d v="2023-09-03T00:00:00"/>
    <s v="September"/>
    <x v="0"/>
    <d v="1899-12-30T13:39:00"/>
    <x v="1"/>
    <x v="1"/>
    <s v="D76"/>
    <x v="1"/>
    <s v="City D"/>
    <n v="105"/>
    <n v="6"/>
    <x v="2"/>
    <x v="1"/>
    <x v="4"/>
    <x v="1"/>
    <x v="1"/>
    <d v="1899-12-30T15:03:00"/>
  </r>
  <r>
    <s v="1241"/>
    <s v="249 Main St, Cityb"/>
    <d v="2023-09-06T00:00:00"/>
    <s v="September"/>
    <x v="5"/>
    <d v="1899-12-30T16:06:00"/>
    <x v="1"/>
    <x v="1"/>
    <s v="D76"/>
    <x v="0"/>
    <s v="City A"/>
    <n v="225"/>
    <n v="5"/>
    <x v="1"/>
    <x v="1"/>
    <x v="4"/>
    <x v="0"/>
    <x v="0"/>
    <d v="1899-12-30T13:34:00"/>
  </r>
  <r>
    <s v="1402"/>
    <s v="855 Elm St, Citye"/>
    <d v="2023-09-05T00:00:00"/>
    <s v="September"/>
    <x v="6"/>
    <d v="1899-12-30T08:01:00"/>
    <x v="0"/>
    <x v="0"/>
    <s v="D76"/>
    <x v="0"/>
    <s v="City A"/>
    <n v="216"/>
    <n v="20"/>
    <x v="1"/>
    <x v="0"/>
    <x v="3"/>
    <x v="2"/>
    <x v="1"/>
    <d v="1899-12-30T16:56:00"/>
  </r>
  <r>
    <s v="1585"/>
    <s v="401 Pine St, Citye"/>
    <d v="2023-09-01T00:00:00"/>
    <s v="September"/>
    <x v="3"/>
    <d v="1899-12-30T08:46:00"/>
    <x v="0"/>
    <x v="0"/>
    <s v="D76"/>
    <x v="0"/>
    <s v="City D"/>
    <n v="66"/>
    <n v="21"/>
    <x v="0"/>
    <x v="0"/>
    <x v="3"/>
    <x v="2"/>
    <x v="0"/>
    <d v="1899-12-30T11:18:00"/>
  </r>
  <r>
    <s v="1647"/>
    <s v="640 Oak St, Cityc"/>
    <d v="2023-09-06T00:00:00"/>
    <s v="September"/>
    <x v="5"/>
    <d v="1899-12-30T13:05:00"/>
    <x v="0"/>
    <x v="0"/>
    <s v="D76"/>
    <x v="1"/>
    <s v="City D"/>
    <n v="221"/>
    <n v="24"/>
    <x v="2"/>
    <x v="0"/>
    <x v="2"/>
    <x v="2"/>
    <x v="2"/>
    <d v="1899-12-30T08:48:00"/>
  </r>
  <r>
    <s v="2003"/>
    <s v="561 Elm St, Citya"/>
    <d v="2023-09-05T00:00:00"/>
    <s v="September"/>
    <x v="6"/>
    <d v="1899-12-30T15:25:00"/>
    <x v="1"/>
    <x v="1"/>
    <s v="D76"/>
    <x v="1"/>
    <s v="City E"/>
    <n v="158"/>
    <n v="16"/>
    <x v="2"/>
    <x v="1"/>
    <x v="3"/>
    <x v="2"/>
    <x v="0"/>
    <d v="1899-12-30T08:56:00"/>
  </r>
  <r>
    <s v="2013"/>
    <s v="2 Main St, Cityd"/>
    <d v="2023-09-07T00:00:00"/>
    <s v="September"/>
    <x v="2"/>
    <d v="1899-12-30T08:37:00"/>
    <x v="0"/>
    <x v="0"/>
    <s v="D76"/>
    <x v="0"/>
    <s v="City E"/>
    <n v="94"/>
    <n v="28"/>
    <x v="0"/>
    <x v="0"/>
    <x v="4"/>
    <x v="0"/>
    <x v="2"/>
    <d v="1899-12-30T13:39:00"/>
  </r>
  <r>
    <s v="2070"/>
    <s v="640 Elm St, Cityb"/>
    <d v="2023-09-04T00:00:00"/>
    <s v="September"/>
    <x v="1"/>
    <d v="1899-12-30T09:04:00"/>
    <x v="1"/>
    <x v="1"/>
    <s v="D76"/>
    <x v="0"/>
    <s v="City B"/>
    <n v="207"/>
    <n v="5"/>
    <x v="2"/>
    <x v="1"/>
    <x v="2"/>
    <x v="1"/>
    <x v="2"/>
    <d v="1899-12-30T10:08:00"/>
  </r>
  <r>
    <s v="2090"/>
    <s v="811 Cedar St, Citye"/>
    <d v="2023-09-05T00:00:00"/>
    <s v="September"/>
    <x v="6"/>
    <d v="1899-12-30T11:02:00"/>
    <x v="0"/>
    <x v="0"/>
    <s v="D76"/>
    <x v="2"/>
    <s v="City B"/>
    <n v="119"/>
    <n v="9"/>
    <x v="2"/>
    <x v="0"/>
    <x v="3"/>
    <x v="1"/>
    <x v="0"/>
    <d v="1899-12-30T09:20:00"/>
  </r>
  <r>
    <s v="2174"/>
    <s v="27 Main St, Citye"/>
    <d v="2023-09-03T00:00:00"/>
    <s v="September"/>
    <x v="0"/>
    <d v="1899-12-30T15:16:00"/>
    <x v="0"/>
    <x v="0"/>
    <s v="D76"/>
    <x v="0"/>
    <s v="City C"/>
    <n v="89"/>
    <n v="18"/>
    <x v="2"/>
    <x v="0"/>
    <x v="3"/>
    <x v="2"/>
    <x v="2"/>
    <d v="1899-12-30T16:15:00"/>
  </r>
  <r>
    <s v="2364"/>
    <s v="16 Cedar St, Cityd"/>
    <d v="2023-09-06T00:00:00"/>
    <s v="September"/>
    <x v="5"/>
    <d v="1899-12-30T16:14:00"/>
    <x v="0"/>
    <x v="0"/>
    <s v="D76"/>
    <x v="0"/>
    <s v="City D"/>
    <n v="202"/>
    <n v="6"/>
    <x v="2"/>
    <x v="0"/>
    <x v="1"/>
    <x v="1"/>
    <x v="0"/>
    <d v="1899-12-30T15:45:00"/>
  </r>
  <r>
    <s v="1005"/>
    <s v="748 Elm St, Cityb"/>
    <d v="2023-09-01T00:00:00"/>
    <s v="September"/>
    <x v="3"/>
    <d v="1899-12-30T11:23:00"/>
    <x v="1"/>
    <x v="1"/>
    <s v="D77"/>
    <x v="1"/>
    <s v="City C"/>
    <n v="103"/>
    <n v="17"/>
    <x v="2"/>
    <x v="1"/>
    <x v="3"/>
    <x v="1"/>
    <x v="2"/>
    <d v="1899-12-30T12:08:00"/>
  </r>
  <r>
    <s v="1300"/>
    <s v="311 Cedar St, Cityc"/>
    <d v="2023-09-02T00:00:00"/>
    <s v="September"/>
    <x v="4"/>
    <d v="1899-12-30T09:54:00"/>
    <x v="0"/>
    <x v="0"/>
    <s v="D77"/>
    <x v="0"/>
    <s v="City E"/>
    <n v="178"/>
    <n v="29"/>
    <x v="0"/>
    <x v="0"/>
    <x v="1"/>
    <x v="2"/>
    <x v="1"/>
    <d v="1899-12-30T16:17:00"/>
  </r>
  <r>
    <s v="1646"/>
    <s v="11 Main St, Cityc"/>
    <d v="2023-09-06T00:00:00"/>
    <s v="September"/>
    <x v="5"/>
    <d v="1899-12-30T15:39:00"/>
    <x v="1"/>
    <x v="1"/>
    <s v="D77"/>
    <x v="2"/>
    <s v="City D"/>
    <n v="97"/>
    <n v="5"/>
    <x v="1"/>
    <x v="1"/>
    <x v="3"/>
    <x v="0"/>
    <x v="2"/>
    <d v="1899-12-30T14:49:00"/>
  </r>
  <r>
    <s v="1700"/>
    <s v="631 Cedar St, Citya"/>
    <d v="2023-09-05T00:00:00"/>
    <s v="September"/>
    <x v="6"/>
    <d v="1899-12-30T11:30:00"/>
    <x v="1"/>
    <x v="1"/>
    <s v="D77"/>
    <x v="0"/>
    <s v="City E"/>
    <n v="225"/>
    <n v="12"/>
    <x v="2"/>
    <x v="1"/>
    <x v="0"/>
    <x v="1"/>
    <x v="0"/>
    <d v="1899-12-30T17:13:00"/>
  </r>
  <r>
    <s v="1733"/>
    <s v="564 Cedar St, Cityd"/>
    <d v="2023-09-03T00:00:00"/>
    <s v="September"/>
    <x v="0"/>
    <d v="1899-12-30T08:56:00"/>
    <x v="1"/>
    <x v="1"/>
    <s v="D77"/>
    <x v="1"/>
    <s v="City A"/>
    <n v="137"/>
    <n v="24"/>
    <x v="2"/>
    <x v="1"/>
    <x v="1"/>
    <x v="2"/>
    <x v="2"/>
    <d v="1899-12-30T11:24:00"/>
  </r>
  <r>
    <s v="2067"/>
    <s v="205 Pine St, Citye"/>
    <d v="2023-09-04T00:00:00"/>
    <s v="September"/>
    <x v="1"/>
    <d v="1899-12-30T16:19:00"/>
    <x v="1"/>
    <x v="1"/>
    <s v="D77"/>
    <x v="1"/>
    <s v="City A"/>
    <n v="86"/>
    <n v="13"/>
    <x v="2"/>
    <x v="1"/>
    <x v="1"/>
    <x v="1"/>
    <x v="0"/>
    <d v="1899-12-30T15:47:00"/>
  </r>
  <r>
    <s v="2150"/>
    <s v="739 Cedar St, Citya"/>
    <d v="2023-09-05T00:00:00"/>
    <s v="September"/>
    <x v="6"/>
    <d v="1899-12-30T13:06:00"/>
    <x v="1"/>
    <x v="1"/>
    <s v="D77"/>
    <x v="1"/>
    <s v="City E"/>
    <n v="182"/>
    <n v="24"/>
    <x v="0"/>
    <x v="1"/>
    <x v="1"/>
    <x v="1"/>
    <x v="2"/>
    <d v="1899-12-30T13:21:00"/>
  </r>
  <r>
    <s v="2172"/>
    <s v="389 Pine St, Citya"/>
    <d v="2023-09-06T00:00:00"/>
    <s v="September"/>
    <x v="5"/>
    <d v="1899-12-30T09:39:00"/>
    <x v="1"/>
    <x v="1"/>
    <s v="D77"/>
    <x v="0"/>
    <s v="City C"/>
    <n v="164"/>
    <n v="6"/>
    <x v="0"/>
    <x v="1"/>
    <x v="1"/>
    <x v="2"/>
    <x v="0"/>
    <d v="1899-12-30T11:49:00"/>
  </r>
  <r>
    <s v="2297"/>
    <s v="329 Elm St, Citya"/>
    <d v="2023-09-08T00:00:00"/>
    <s v="September"/>
    <x v="3"/>
    <d v="1899-12-30T09:48:00"/>
    <x v="1"/>
    <x v="1"/>
    <s v="D77"/>
    <x v="0"/>
    <s v="City B"/>
    <n v="132"/>
    <n v="3"/>
    <x v="0"/>
    <x v="1"/>
    <x v="2"/>
    <x v="2"/>
    <x v="0"/>
    <d v="1899-12-30T14:50:00"/>
  </r>
  <r>
    <s v="2380"/>
    <s v="207 Main St, Citya"/>
    <d v="2023-09-06T00:00:00"/>
    <s v="September"/>
    <x v="5"/>
    <d v="1899-12-30T10:45:00"/>
    <x v="0"/>
    <x v="0"/>
    <s v="D77"/>
    <x v="2"/>
    <s v="City B"/>
    <n v="117"/>
    <n v="2"/>
    <x v="2"/>
    <x v="0"/>
    <x v="2"/>
    <x v="1"/>
    <x v="0"/>
    <d v="1899-12-30T15:59:00"/>
  </r>
  <r>
    <s v="1088"/>
    <s v="904 Pine St, Citye"/>
    <d v="2023-09-08T00:00:00"/>
    <s v="September"/>
    <x v="3"/>
    <d v="1899-12-30T14:37:00"/>
    <x v="0"/>
    <x v="0"/>
    <s v="D78"/>
    <x v="2"/>
    <s v="City C"/>
    <n v="199"/>
    <n v="18"/>
    <x v="1"/>
    <x v="0"/>
    <x v="4"/>
    <x v="2"/>
    <x v="2"/>
    <d v="1899-12-30T09:15:00"/>
  </r>
  <r>
    <s v="1168"/>
    <s v="403 Elm St, Cityd"/>
    <d v="2023-09-01T00:00:00"/>
    <s v="September"/>
    <x v="3"/>
    <d v="1899-12-30T16:12:00"/>
    <x v="1"/>
    <x v="1"/>
    <s v="D78"/>
    <x v="1"/>
    <s v="City A"/>
    <n v="81"/>
    <n v="15"/>
    <x v="1"/>
    <x v="1"/>
    <x v="0"/>
    <x v="2"/>
    <x v="1"/>
    <d v="1899-12-30T10:50:00"/>
  </r>
  <r>
    <s v="1320"/>
    <s v="968 Oak St, Cityb"/>
    <d v="2023-09-02T00:00:00"/>
    <s v="September"/>
    <x v="4"/>
    <d v="1899-12-30T09:48:00"/>
    <x v="1"/>
    <x v="1"/>
    <s v="D78"/>
    <x v="0"/>
    <s v="City E"/>
    <n v="102"/>
    <n v="9"/>
    <x v="1"/>
    <x v="1"/>
    <x v="4"/>
    <x v="0"/>
    <x v="2"/>
    <d v="1899-12-30T09:26:00"/>
  </r>
  <r>
    <s v="1437"/>
    <s v="942 Main St, Cityd"/>
    <d v="2023-09-07T00:00:00"/>
    <s v="September"/>
    <x v="2"/>
    <d v="1899-12-30T09:30:00"/>
    <x v="1"/>
    <x v="1"/>
    <s v="D78"/>
    <x v="2"/>
    <s v="City C"/>
    <n v="221"/>
    <n v="29"/>
    <x v="0"/>
    <x v="1"/>
    <x v="3"/>
    <x v="1"/>
    <x v="2"/>
    <d v="1899-12-30T17:41:00"/>
  </r>
  <r>
    <s v="1472"/>
    <s v="462 Cedar St, Cityb"/>
    <d v="2023-09-02T00:00:00"/>
    <s v="September"/>
    <x v="4"/>
    <d v="1899-12-30T16:03:00"/>
    <x v="0"/>
    <x v="0"/>
    <s v="D78"/>
    <x v="1"/>
    <s v="City E"/>
    <n v="204"/>
    <n v="5"/>
    <x v="2"/>
    <x v="0"/>
    <x v="2"/>
    <x v="0"/>
    <x v="2"/>
    <d v="1899-12-30T16:58:00"/>
  </r>
  <r>
    <s v="1525"/>
    <s v="884 Main St, Citye"/>
    <d v="2023-09-04T00:00:00"/>
    <s v="September"/>
    <x v="1"/>
    <d v="1899-12-30T13:41:00"/>
    <x v="1"/>
    <x v="1"/>
    <s v="D78"/>
    <x v="1"/>
    <s v="City C"/>
    <n v="120"/>
    <n v="18"/>
    <x v="2"/>
    <x v="1"/>
    <x v="2"/>
    <x v="1"/>
    <x v="0"/>
    <d v="1899-12-30T15:19:00"/>
  </r>
  <r>
    <s v="1666"/>
    <s v="457 Elm St, Cityb"/>
    <d v="2023-09-06T00:00:00"/>
    <s v="September"/>
    <x v="5"/>
    <d v="1899-12-30T13:50:00"/>
    <x v="0"/>
    <x v="0"/>
    <s v="D78"/>
    <x v="2"/>
    <s v="City D"/>
    <n v="233"/>
    <n v="22"/>
    <x v="1"/>
    <x v="0"/>
    <x v="4"/>
    <x v="2"/>
    <x v="0"/>
    <d v="1899-12-30T09:37:00"/>
  </r>
  <r>
    <s v="1699"/>
    <s v="93 Elm St, Citya"/>
    <d v="2023-09-01T00:00:00"/>
    <s v="September"/>
    <x v="3"/>
    <d v="1899-12-30T15:16:00"/>
    <x v="1"/>
    <x v="1"/>
    <s v="D78"/>
    <x v="1"/>
    <s v="City D"/>
    <n v="230"/>
    <n v="24"/>
    <x v="2"/>
    <x v="1"/>
    <x v="0"/>
    <x v="2"/>
    <x v="1"/>
    <d v="1899-12-30T14:59:00"/>
  </r>
  <r>
    <s v="1794"/>
    <s v="632 Oak St, Cityd"/>
    <d v="2023-09-05T00:00:00"/>
    <s v="September"/>
    <x v="6"/>
    <d v="1899-12-30T16:52:00"/>
    <x v="1"/>
    <x v="1"/>
    <s v="D78"/>
    <x v="0"/>
    <s v="City E"/>
    <n v="89"/>
    <n v="7"/>
    <x v="1"/>
    <x v="1"/>
    <x v="1"/>
    <x v="2"/>
    <x v="2"/>
    <d v="1899-12-30T10:21:00"/>
  </r>
  <r>
    <s v="1962"/>
    <s v="842 Pine St, Cityc"/>
    <d v="2023-09-02T00:00:00"/>
    <s v="September"/>
    <x v="4"/>
    <d v="1899-12-30T10:59:00"/>
    <x v="1"/>
    <x v="1"/>
    <s v="D78"/>
    <x v="2"/>
    <s v="City B"/>
    <n v="224"/>
    <n v="10"/>
    <x v="2"/>
    <x v="1"/>
    <x v="3"/>
    <x v="1"/>
    <x v="0"/>
    <d v="1899-12-30T16:27:00"/>
  </r>
  <r>
    <s v="2072"/>
    <s v="366 Pine St, Cityb"/>
    <d v="2023-09-04T00:00:00"/>
    <s v="September"/>
    <x v="1"/>
    <d v="1899-12-30T08:56:00"/>
    <x v="1"/>
    <x v="1"/>
    <s v="D78"/>
    <x v="1"/>
    <s v="City B"/>
    <n v="170"/>
    <n v="14"/>
    <x v="2"/>
    <x v="1"/>
    <x v="0"/>
    <x v="2"/>
    <x v="0"/>
    <d v="1899-12-30T09:16:00"/>
  </r>
  <r>
    <s v="2224"/>
    <s v="387 Oak St, Cityd"/>
    <d v="2023-09-03T00:00:00"/>
    <s v="September"/>
    <x v="0"/>
    <d v="1899-12-30T09:39:00"/>
    <x v="1"/>
    <x v="1"/>
    <s v="D78"/>
    <x v="1"/>
    <s v="City C"/>
    <n v="176"/>
    <n v="12"/>
    <x v="1"/>
    <x v="1"/>
    <x v="0"/>
    <x v="1"/>
    <x v="0"/>
    <d v="1899-12-30T11:28:00"/>
  </r>
  <r>
    <s v="2493"/>
    <s v="282 Pine St, Citya"/>
    <d v="2023-09-07T00:00:00"/>
    <s v="September"/>
    <x v="2"/>
    <d v="1899-12-30T14:52:00"/>
    <x v="0"/>
    <x v="0"/>
    <s v="D78"/>
    <x v="1"/>
    <s v="City C"/>
    <n v="104"/>
    <n v="2"/>
    <x v="1"/>
    <x v="0"/>
    <x v="1"/>
    <x v="1"/>
    <x v="0"/>
    <d v="1899-12-30T11:25:00"/>
  </r>
  <r>
    <s v="1099"/>
    <s v="163 Pine St, Citya"/>
    <d v="2023-09-05T00:00:00"/>
    <s v="September"/>
    <x v="6"/>
    <d v="1899-12-30T08:40:00"/>
    <x v="1"/>
    <x v="1"/>
    <s v="D79"/>
    <x v="2"/>
    <s v="City B"/>
    <n v="173"/>
    <n v="3"/>
    <x v="2"/>
    <x v="1"/>
    <x v="2"/>
    <x v="1"/>
    <x v="0"/>
    <d v="1899-12-30T14:24:00"/>
  </r>
  <r>
    <s v="1193"/>
    <s v="311 Main St, Citye"/>
    <d v="2023-09-06T00:00:00"/>
    <s v="September"/>
    <x v="5"/>
    <d v="1899-12-30T16:08:00"/>
    <x v="1"/>
    <x v="1"/>
    <s v="D79"/>
    <x v="1"/>
    <s v="City A"/>
    <n v="233"/>
    <n v="5"/>
    <x v="0"/>
    <x v="1"/>
    <x v="4"/>
    <x v="2"/>
    <x v="2"/>
    <d v="1899-12-30T13:16:00"/>
  </r>
  <r>
    <s v="1230"/>
    <s v="398 Main St, Cityc"/>
    <d v="2023-09-08T00:00:00"/>
    <s v="September"/>
    <x v="3"/>
    <d v="1899-12-30T11:16:00"/>
    <x v="1"/>
    <x v="1"/>
    <s v="D79"/>
    <x v="0"/>
    <s v="City B"/>
    <n v="205"/>
    <n v="3"/>
    <x v="2"/>
    <x v="1"/>
    <x v="1"/>
    <x v="2"/>
    <x v="1"/>
    <d v="1899-12-30T12:01:00"/>
  </r>
  <r>
    <s v="1334"/>
    <s v="923 Oak St, Citya"/>
    <d v="2023-09-07T00:00:00"/>
    <s v="September"/>
    <x v="2"/>
    <d v="1899-12-30T13:46:00"/>
    <x v="1"/>
    <x v="1"/>
    <s v="D79"/>
    <x v="0"/>
    <s v="City E"/>
    <n v="190"/>
    <n v="28"/>
    <x v="2"/>
    <x v="1"/>
    <x v="2"/>
    <x v="0"/>
    <x v="2"/>
    <d v="1899-12-30T16:20:00"/>
  </r>
  <r>
    <s v="1419"/>
    <s v="512 Pine St, Cityc"/>
    <d v="2023-09-07T00:00:00"/>
    <s v="September"/>
    <x v="2"/>
    <d v="1899-12-30T10:49:00"/>
    <x v="1"/>
    <x v="1"/>
    <s v="D79"/>
    <x v="0"/>
    <s v="City D"/>
    <n v="231"/>
    <n v="11"/>
    <x v="2"/>
    <x v="1"/>
    <x v="1"/>
    <x v="0"/>
    <x v="0"/>
    <d v="1899-12-30T11:06:00"/>
  </r>
  <r>
    <s v="1587"/>
    <s v="491 Cedar St, Citye"/>
    <d v="2023-09-06T00:00:00"/>
    <s v="September"/>
    <x v="5"/>
    <d v="1899-12-30T11:59:00"/>
    <x v="0"/>
    <x v="0"/>
    <s v="D79"/>
    <x v="0"/>
    <s v="City A"/>
    <n v="178"/>
    <n v="5"/>
    <x v="2"/>
    <x v="0"/>
    <x v="0"/>
    <x v="1"/>
    <x v="2"/>
    <d v="1899-12-30T13:10:00"/>
  </r>
  <r>
    <s v="1984"/>
    <s v="305 Cedar St, Cityc"/>
    <d v="2023-09-06T00:00:00"/>
    <s v="September"/>
    <x v="5"/>
    <d v="1899-12-30T08:29:00"/>
    <x v="1"/>
    <x v="1"/>
    <s v="D79"/>
    <x v="1"/>
    <s v="City C"/>
    <n v="61"/>
    <n v="29"/>
    <x v="2"/>
    <x v="1"/>
    <x v="0"/>
    <x v="0"/>
    <x v="1"/>
    <d v="1899-12-30T13:58:00"/>
  </r>
  <r>
    <s v="2045"/>
    <s v="987 Pine St, Cityc"/>
    <d v="2023-09-03T00:00:00"/>
    <s v="September"/>
    <x v="0"/>
    <d v="1899-12-30T10:03:00"/>
    <x v="0"/>
    <x v="0"/>
    <s v="D79"/>
    <x v="2"/>
    <s v="City D"/>
    <n v="102"/>
    <n v="4"/>
    <x v="1"/>
    <x v="0"/>
    <x v="3"/>
    <x v="2"/>
    <x v="0"/>
    <d v="1899-12-30T13:46:00"/>
  </r>
  <r>
    <s v="2108"/>
    <s v="634 Elm St, Citya"/>
    <d v="2023-09-01T00:00:00"/>
    <s v="September"/>
    <x v="3"/>
    <d v="1899-12-30T15:23:00"/>
    <x v="0"/>
    <x v="0"/>
    <s v="D79"/>
    <x v="2"/>
    <s v="City C"/>
    <n v="65"/>
    <n v="11"/>
    <x v="2"/>
    <x v="0"/>
    <x v="1"/>
    <x v="2"/>
    <x v="1"/>
    <d v="1899-12-30T10:59:00"/>
  </r>
  <r>
    <s v="2166"/>
    <s v="833 Elm St, Citye"/>
    <d v="2023-09-08T00:00:00"/>
    <s v="September"/>
    <x v="3"/>
    <d v="1899-12-30T12:32:00"/>
    <x v="1"/>
    <x v="1"/>
    <s v="D79"/>
    <x v="1"/>
    <s v="City E"/>
    <n v="212"/>
    <n v="9"/>
    <x v="0"/>
    <x v="1"/>
    <x v="3"/>
    <x v="1"/>
    <x v="1"/>
    <d v="1899-12-30T09:47:00"/>
  </r>
  <r>
    <s v="2322"/>
    <s v="958 Main St, Cityd"/>
    <d v="2023-09-08T00:00:00"/>
    <s v="September"/>
    <x v="3"/>
    <d v="1899-12-30T08:21:00"/>
    <x v="0"/>
    <x v="0"/>
    <s v="D79"/>
    <x v="2"/>
    <s v="City A"/>
    <n v="192"/>
    <n v="2"/>
    <x v="0"/>
    <x v="0"/>
    <x v="1"/>
    <x v="2"/>
    <x v="2"/>
    <d v="1899-12-30T15:40:00"/>
  </r>
  <r>
    <s v="1207"/>
    <s v="459 Main St, Cityd"/>
    <d v="2023-09-03T00:00:00"/>
    <s v="September"/>
    <x v="0"/>
    <d v="1899-12-30T14:19:00"/>
    <x v="1"/>
    <x v="1"/>
    <s v="D8"/>
    <x v="1"/>
    <s v="City E"/>
    <n v="107"/>
    <n v="11"/>
    <x v="2"/>
    <x v="1"/>
    <x v="0"/>
    <x v="0"/>
    <x v="2"/>
    <d v="1899-12-30T15:20:00"/>
  </r>
  <r>
    <s v="1226"/>
    <s v="134 Cedar St, Citya"/>
    <d v="2023-09-05T00:00:00"/>
    <s v="September"/>
    <x v="6"/>
    <d v="1899-12-30T13:27:00"/>
    <x v="1"/>
    <x v="1"/>
    <s v="D8"/>
    <x v="1"/>
    <s v="City D"/>
    <n v="88"/>
    <n v="27"/>
    <x v="0"/>
    <x v="1"/>
    <x v="2"/>
    <x v="0"/>
    <x v="0"/>
    <d v="1899-12-30T09:54:00"/>
  </r>
  <r>
    <s v="1295"/>
    <s v="608 Elm St, Cityb"/>
    <d v="2023-09-08T00:00:00"/>
    <s v="September"/>
    <x v="3"/>
    <d v="1899-12-30T15:03:00"/>
    <x v="1"/>
    <x v="1"/>
    <s v="D8"/>
    <x v="0"/>
    <s v="City B"/>
    <n v="99"/>
    <n v="12"/>
    <x v="1"/>
    <x v="1"/>
    <x v="0"/>
    <x v="1"/>
    <x v="2"/>
    <d v="1899-12-30T12:26:00"/>
  </r>
  <r>
    <s v="1323"/>
    <s v="349 Cedar St, Cityc"/>
    <d v="2023-09-03T00:00:00"/>
    <s v="September"/>
    <x v="0"/>
    <d v="1899-12-30T14:35:00"/>
    <x v="1"/>
    <x v="1"/>
    <s v="D8"/>
    <x v="2"/>
    <s v="City A"/>
    <n v="213"/>
    <n v="4"/>
    <x v="0"/>
    <x v="1"/>
    <x v="4"/>
    <x v="1"/>
    <x v="0"/>
    <d v="1899-12-30T16:01:00"/>
  </r>
  <r>
    <s v="1486"/>
    <s v="673 Pine St, Cityb"/>
    <d v="2023-09-04T00:00:00"/>
    <s v="September"/>
    <x v="1"/>
    <d v="1899-12-30T14:03:00"/>
    <x v="0"/>
    <x v="0"/>
    <s v="D8"/>
    <x v="0"/>
    <s v="City D"/>
    <n v="116"/>
    <n v="11"/>
    <x v="2"/>
    <x v="0"/>
    <x v="4"/>
    <x v="0"/>
    <x v="2"/>
    <d v="1899-12-30T12:02:00"/>
  </r>
  <r>
    <s v="1572"/>
    <s v="680 Pine St, Cityd"/>
    <d v="2023-09-03T00:00:00"/>
    <s v="September"/>
    <x v="0"/>
    <d v="1899-12-30T09:06:00"/>
    <x v="1"/>
    <x v="1"/>
    <s v="D8"/>
    <x v="1"/>
    <s v="City C"/>
    <n v="114"/>
    <n v="1"/>
    <x v="0"/>
    <x v="1"/>
    <x v="1"/>
    <x v="0"/>
    <x v="2"/>
    <d v="1899-12-30T12:56:00"/>
  </r>
  <r>
    <s v="1713"/>
    <s v="618 Main St, Citya"/>
    <d v="2023-09-05T00:00:00"/>
    <s v="September"/>
    <x v="6"/>
    <d v="1899-12-30T15:34:00"/>
    <x v="0"/>
    <x v="0"/>
    <s v="D8"/>
    <x v="2"/>
    <s v="City A"/>
    <n v="204"/>
    <n v="0"/>
    <x v="1"/>
    <x v="0"/>
    <x v="1"/>
    <x v="1"/>
    <x v="2"/>
    <d v="1899-12-30T16:11:00"/>
  </r>
  <r>
    <s v="1792"/>
    <s v="948 Pine St, Citya"/>
    <d v="2023-09-02T00:00:00"/>
    <s v="September"/>
    <x v="4"/>
    <d v="1899-12-30T16:13:00"/>
    <x v="1"/>
    <x v="1"/>
    <s v="D8"/>
    <x v="0"/>
    <s v="City D"/>
    <n v="198"/>
    <n v="5"/>
    <x v="0"/>
    <x v="1"/>
    <x v="2"/>
    <x v="0"/>
    <x v="0"/>
    <d v="1899-12-30T10:10:00"/>
  </r>
  <r>
    <s v="1797"/>
    <s v="647 Oak St, Citye"/>
    <d v="2023-09-04T00:00:00"/>
    <s v="September"/>
    <x v="1"/>
    <d v="1899-12-30T09:51:00"/>
    <x v="0"/>
    <x v="0"/>
    <s v="D8"/>
    <x v="2"/>
    <s v="City E"/>
    <n v="208"/>
    <n v="6"/>
    <x v="2"/>
    <x v="0"/>
    <x v="3"/>
    <x v="0"/>
    <x v="0"/>
    <d v="1899-12-30T10:20:00"/>
  </r>
  <r>
    <s v="1925"/>
    <s v="79 Elm St, Citya"/>
    <d v="2023-09-01T00:00:00"/>
    <s v="September"/>
    <x v="3"/>
    <d v="1899-12-30T11:24:00"/>
    <x v="1"/>
    <x v="1"/>
    <s v="D8"/>
    <x v="1"/>
    <s v="City D"/>
    <n v="198"/>
    <n v="17"/>
    <x v="1"/>
    <x v="1"/>
    <x v="4"/>
    <x v="0"/>
    <x v="0"/>
    <d v="1899-12-30T09:03:00"/>
  </r>
  <r>
    <s v="2060"/>
    <s v="643 Pine St, Citye"/>
    <d v="2023-09-08T00:00:00"/>
    <s v="September"/>
    <x v="3"/>
    <d v="1899-12-30T11:46:00"/>
    <x v="0"/>
    <x v="0"/>
    <s v="D8"/>
    <x v="1"/>
    <s v="City E"/>
    <n v="149"/>
    <n v="29"/>
    <x v="0"/>
    <x v="0"/>
    <x v="3"/>
    <x v="2"/>
    <x v="1"/>
    <d v="1899-12-30T12:49:00"/>
  </r>
  <r>
    <s v="2063"/>
    <s v="582 Oak St, Citya"/>
    <d v="2023-09-06T00:00:00"/>
    <s v="September"/>
    <x v="5"/>
    <d v="1899-12-30T11:21:00"/>
    <x v="0"/>
    <x v="0"/>
    <s v="D8"/>
    <x v="0"/>
    <s v="City B"/>
    <n v="135"/>
    <n v="24"/>
    <x v="2"/>
    <x v="0"/>
    <x v="0"/>
    <x v="1"/>
    <x v="0"/>
    <d v="1899-12-30T11:18:00"/>
  </r>
  <r>
    <s v="2152"/>
    <s v="169 Oak St, Cityc"/>
    <d v="2023-09-02T00:00:00"/>
    <s v="September"/>
    <x v="4"/>
    <d v="1899-12-30T09:31:00"/>
    <x v="1"/>
    <x v="1"/>
    <s v="D8"/>
    <x v="0"/>
    <s v="City C"/>
    <n v="84"/>
    <n v="7"/>
    <x v="2"/>
    <x v="1"/>
    <x v="1"/>
    <x v="1"/>
    <x v="1"/>
    <d v="1899-12-30T11:25:00"/>
  </r>
  <r>
    <s v="2254"/>
    <s v="738 Cedar St, Citya"/>
    <d v="2023-09-04T00:00:00"/>
    <s v="September"/>
    <x v="1"/>
    <d v="1899-12-30T14:59:00"/>
    <x v="1"/>
    <x v="1"/>
    <s v="D8"/>
    <x v="0"/>
    <s v="City C"/>
    <n v="75"/>
    <n v="8"/>
    <x v="2"/>
    <x v="1"/>
    <x v="4"/>
    <x v="1"/>
    <x v="1"/>
    <d v="1899-12-30T15:44:00"/>
  </r>
  <r>
    <s v="2409"/>
    <s v="238 Main St, Cityb"/>
    <d v="2023-09-02T00:00:00"/>
    <s v="September"/>
    <x v="4"/>
    <d v="1899-12-30T13:43:00"/>
    <x v="0"/>
    <x v="0"/>
    <s v="D8"/>
    <x v="0"/>
    <s v="City A"/>
    <n v="195"/>
    <n v="21"/>
    <x v="1"/>
    <x v="0"/>
    <x v="2"/>
    <x v="0"/>
    <x v="0"/>
    <d v="1899-12-30T11:01:00"/>
  </r>
  <r>
    <s v="2426"/>
    <s v="51 Elm St, Citye"/>
    <d v="2023-09-01T00:00:00"/>
    <s v="September"/>
    <x v="3"/>
    <d v="1899-12-30T08:39:00"/>
    <x v="0"/>
    <x v="0"/>
    <s v="D8"/>
    <x v="0"/>
    <s v="City C"/>
    <n v="194"/>
    <n v="23"/>
    <x v="1"/>
    <x v="0"/>
    <x v="2"/>
    <x v="1"/>
    <x v="1"/>
    <d v="1899-12-30T15:38:00"/>
  </r>
  <r>
    <s v="1028"/>
    <s v="979 Elm St, Cityb"/>
    <d v="2023-09-02T00:00:00"/>
    <s v="September"/>
    <x v="4"/>
    <d v="1899-12-30T09:14:00"/>
    <x v="1"/>
    <x v="1"/>
    <s v="D80"/>
    <x v="2"/>
    <s v="City C"/>
    <n v="165"/>
    <n v="17"/>
    <x v="0"/>
    <x v="1"/>
    <x v="2"/>
    <x v="1"/>
    <x v="2"/>
    <d v="1899-12-30T16:34:00"/>
  </r>
  <r>
    <s v="1170"/>
    <s v="308 Cedar St, Cityd"/>
    <d v="2023-09-02T00:00:00"/>
    <s v="September"/>
    <x v="4"/>
    <d v="1899-12-30T14:30:00"/>
    <x v="0"/>
    <x v="0"/>
    <s v="D80"/>
    <x v="1"/>
    <s v="City C"/>
    <n v="64"/>
    <n v="25"/>
    <x v="0"/>
    <x v="0"/>
    <x v="2"/>
    <x v="0"/>
    <x v="2"/>
    <d v="1899-12-30T13:13:00"/>
  </r>
  <r>
    <s v="1227"/>
    <s v="753 Cedar St, Citya"/>
    <d v="2023-09-08T00:00:00"/>
    <s v="September"/>
    <x v="3"/>
    <d v="1899-12-30T09:23:00"/>
    <x v="1"/>
    <x v="1"/>
    <s v="D80"/>
    <x v="0"/>
    <s v="City C"/>
    <n v="92"/>
    <n v="21"/>
    <x v="2"/>
    <x v="1"/>
    <x v="3"/>
    <x v="0"/>
    <x v="1"/>
    <d v="1899-12-30T16:29:00"/>
  </r>
  <r>
    <s v="1273"/>
    <s v="64 Main St, Cityd"/>
    <d v="2023-09-02T00:00:00"/>
    <s v="September"/>
    <x v="4"/>
    <d v="1899-12-30T11:34:00"/>
    <x v="0"/>
    <x v="0"/>
    <s v="D80"/>
    <x v="2"/>
    <s v="City E"/>
    <n v="221"/>
    <n v="24"/>
    <x v="0"/>
    <x v="0"/>
    <x v="2"/>
    <x v="0"/>
    <x v="0"/>
    <d v="1899-12-30T14:58:00"/>
  </r>
  <r>
    <s v="1508"/>
    <s v="512 Oak St, Cityc"/>
    <d v="2023-09-08T00:00:00"/>
    <s v="September"/>
    <x v="3"/>
    <d v="1899-12-30T10:07:00"/>
    <x v="0"/>
    <x v="0"/>
    <s v="D80"/>
    <x v="0"/>
    <s v="City C"/>
    <n v="69"/>
    <n v="9"/>
    <x v="2"/>
    <x v="0"/>
    <x v="2"/>
    <x v="0"/>
    <x v="1"/>
    <d v="1899-12-30T10:09:00"/>
  </r>
  <r>
    <s v="1627"/>
    <s v="150 Oak St, Citye"/>
    <d v="2023-09-03T00:00:00"/>
    <s v="September"/>
    <x v="0"/>
    <d v="1899-12-30T11:43:00"/>
    <x v="0"/>
    <x v="0"/>
    <s v="D80"/>
    <x v="1"/>
    <s v="City A"/>
    <n v="223"/>
    <n v="19"/>
    <x v="1"/>
    <x v="0"/>
    <x v="3"/>
    <x v="2"/>
    <x v="0"/>
    <d v="1899-12-30T17:22:00"/>
  </r>
  <r>
    <s v="1766"/>
    <s v="150 Cedar St, Cityc"/>
    <d v="2023-09-08T00:00:00"/>
    <s v="September"/>
    <x v="3"/>
    <d v="1899-12-30T12:17:00"/>
    <x v="1"/>
    <x v="1"/>
    <s v="D80"/>
    <x v="1"/>
    <s v="City A"/>
    <n v="134"/>
    <n v="13"/>
    <x v="2"/>
    <x v="1"/>
    <x v="3"/>
    <x v="2"/>
    <x v="0"/>
    <d v="1899-12-30T08:59:00"/>
  </r>
  <r>
    <s v="1860"/>
    <s v="153 Main St, Cityc"/>
    <d v="2023-09-05T00:00:00"/>
    <s v="September"/>
    <x v="6"/>
    <d v="1899-12-30T08:42:00"/>
    <x v="1"/>
    <x v="1"/>
    <s v="D80"/>
    <x v="2"/>
    <s v="City C"/>
    <n v="222"/>
    <n v="22"/>
    <x v="1"/>
    <x v="1"/>
    <x v="1"/>
    <x v="0"/>
    <x v="1"/>
    <d v="1899-12-30T15:00:00"/>
  </r>
  <r>
    <s v="1910"/>
    <s v="509 Cedar St, Cityb"/>
    <d v="2023-09-04T00:00:00"/>
    <s v="September"/>
    <x v="1"/>
    <d v="1899-12-30T11:58:00"/>
    <x v="1"/>
    <x v="1"/>
    <s v="D80"/>
    <x v="0"/>
    <s v="City B"/>
    <n v="204"/>
    <n v="17"/>
    <x v="2"/>
    <x v="1"/>
    <x v="3"/>
    <x v="0"/>
    <x v="2"/>
    <d v="1899-12-30T16:12:00"/>
  </r>
  <r>
    <s v="1917"/>
    <s v="337 Elm St, Cityd"/>
    <d v="2023-09-07T00:00:00"/>
    <s v="September"/>
    <x v="2"/>
    <d v="1899-12-30T11:27:00"/>
    <x v="1"/>
    <x v="1"/>
    <s v="D80"/>
    <x v="1"/>
    <s v="City D"/>
    <n v="140"/>
    <n v="3"/>
    <x v="0"/>
    <x v="1"/>
    <x v="3"/>
    <x v="0"/>
    <x v="2"/>
    <d v="1899-12-30T13:55:00"/>
  </r>
  <r>
    <s v="2071"/>
    <s v="333 Main St, Cityc"/>
    <d v="2023-09-06T00:00:00"/>
    <s v="September"/>
    <x v="5"/>
    <d v="1899-12-30T16:35:00"/>
    <x v="0"/>
    <x v="0"/>
    <s v="D80"/>
    <x v="2"/>
    <s v="City D"/>
    <n v="202"/>
    <n v="1"/>
    <x v="0"/>
    <x v="0"/>
    <x v="0"/>
    <x v="1"/>
    <x v="1"/>
    <d v="1899-12-30T10:06:00"/>
  </r>
  <r>
    <s v="2243"/>
    <s v="558 Main St, Citye"/>
    <d v="2023-09-04T00:00:00"/>
    <s v="September"/>
    <x v="1"/>
    <d v="1899-12-30T16:21:00"/>
    <x v="1"/>
    <x v="1"/>
    <s v="D80"/>
    <x v="1"/>
    <s v="City B"/>
    <n v="131"/>
    <n v="26"/>
    <x v="0"/>
    <x v="1"/>
    <x v="1"/>
    <x v="2"/>
    <x v="1"/>
    <d v="1899-12-30T12:21:00"/>
  </r>
  <r>
    <s v="2280"/>
    <s v="463 Oak St, Cityc"/>
    <d v="2023-09-04T00:00:00"/>
    <s v="September"/>
    <x v="1"/>
    <d v="1899-12-30T16:41:00"/>
    <x v="0"/>
    <x v="0"/>
    <s v="D80"/>
    <x v="1"/>
    <s v="City A"/>
    <n v="163"/>
    <n v="19"/>
    <x v="2"/>
    <x v="0"/>
    <x v="3"/>
    <x v="2"/>
    <x v="0"/>
    <d v="1899-12-30T11:58:00"/>
  </r>
  <r>
    <s v="1089"/>
    <s v="728 Oak St, Cityb"/>
    <d v="2023-09-04T00:00:00"/>
    <s v="September"/>
    <x v="1"/>
    <d v="1899-12-30T10:31:00"/>
    <x v="0"/>
    <x v="0"/>
    <s v="D81"/>
    <x v="0"/>
    <s v="City A"/>
    <n v="78"/>
    <n v="6"/>
    <x v="2"/>
    <x v="0"/>
    <x v="0"/>
    <x v="1"/>
    <x v="2"/>
    <d v="1899-12-30T10:20:00"/>
  </r>
  <r>
    <s v="1426"/>
    <s v="52 Main St, Cityc"/>
    <d v="2023-09-03T00:00:00"/>
    <s v="September"/>
    <x v="0"/>
    <d v="1899-12-30T09:11:00"/>
    <x v="1"/>
    <x v="1"/>
    <s v="D81"/>
    <x v="1"/>
    <s v="City A"/>
    <n v="120"/>
    <n v="0"/>
    <x v="2"/>
    <x v="1"/>
    <x v="0"/>
    <x v="0"/>
    <x v="2"/>
    <d v="1899-12-30T10:21:00"/>
  </r>
  <r>
    <s v="1527"/>
    <s v="186 Pine St, Cityc"/>
    <d v="2023-09-07T00:00:00"/>
    <s v="September"/>
    <x v="2"/>
    <d v="1899-12-30T15:17:00"/>
    <x v="1"/>
    <x v="1"/>
    <s v="D81"/>
    <x v="1"/>
    <s v="City C"/>
    <n v="159"/>
    <n v="27"/>
    <x v="2"/>
    <x v="1"/>
    <x v="1"/>
    <x v="0"/>
    <x v="1"/>
    <d v="1899-12-30T10:59:00"/>
  </r>
  <r>
    <s v="1609"/>
    <s v="950 Oak St, Cityb"/>
    <d v="2023-09-01T00:00:00"/>
    <s v="September"/>
    <x v="3"/>
    <d v="1899-12-30T11:02:00"/>
    <x v="0"/>
    <x v="0"/>
    <s v="D81"/>
    <x v="0"/>
    <s v="City B"/>
    <n v="114"/>
    <n v="15"/>
    <x v="2"/>
    <x v="0"/>
    <x v="4"/>
    <x v="0"/>
    <x v="2"/>
    <d v="1899-12-30T14:50:00"/>
  </r>
  <r>
    <s v="1780"/>
    <s v="148 Elm St, Cityb"/>
    <d v="2023-09-01T00:00:00"/>
    <s v="September"/>
    <x v="3"/>
    <d v="1899-12-30T13:56:00"/>
    <x v="1"/>
    <x v="1"/>
    <s v="D81"/>
    <x v="2"/>
    <s v="City C"/>
    <n v="184"/>
    <n v="7"/>
    <x v="1"/>
    <x v="1"/>
    <x v="0"/>
    <x v="1"/>
    <x v="2"/>
    <d v="1899-12-30T10:35:00"/>
  </r>
  <r>
    <s v="1782"/>
    <s v="283 Pine St, Cityb"/>
    <d v="2023-09-01T00:00:00"/>
    <s v="September"/>
    <x v="3"/>
    <d v="1899-12-30T11:00:00"/>
    <x v="1"/>
    <x v="1"/>
    <s v="D81"/>
    <x v="2"/>
    <s v="City A"/>
    <n v="146"/>
    <n v="29"/>
    <x v="2"/>
    <x v="1"/>
    <x v="2"/>
    <x v="1"/>
    <x v="2"/>
    <d v="1899-12-30T11:01:00"/>
  </r>
  <r>
    <s v="1820"/>
    <s v="316 Elm St, Cityd"/>
    <d v="2023-09-03T00:00:00"/>
    <s v="September"/>
    <x v="0"/>
    <d v="1899-12-30T12:43:00"/>
    <x v="1"/>
    <x v="1"/>
    <s v="D81"/>
    <x v="0"/>
    <s v="City B"/>
    <n v="136"/>
    <n v="22"/>
    <x v="2"/>
    <x v="1"/>
    <x v="3"/>
    <x v="1"/>
    <x v="1"/>
    <d v="1899-12-30T12:59:00"/>
  </r>
  <r>
    <s v="1869"/>
    <s v="33 Oak St, Cityd"/>
    <d v="2023-09-02T00:00:00"/>
    <s v="September"/>
    <x v="4"/>
    <d v="1899-12-30T08:34:00"/>
    <x v="1"/>
    <x v="1"/>
    <s v="D81"/>
    <x v="1"/>
    <s v="City C"/>
    <n v="146"/>
    <n v="8"/>
    <x v="1"/>
    <x v="1"/>
    <x v="1"/>
    <x v="0"/>
    <x v="2"/>
    <d v="1899-12-30T10:46:00"/>
  </r>
  <r>
    <s v="2100"/>
    <s v="570 Elm St, Citya"/>
    <d v="2023-09-03T00:00:00"/>
    <s v="September"/>
    <x v="0"/>
    <d v="1899-12-30T11:00:00"/>
    <x v="1"/>
    <x v="1"/>
    <s v="D81"/>
    <x v="0"/>
    <s v="City B"/>
    <n v="79"/>
    <n v="11"/>
    <x v="0"/>
    <x v="1"/>
    <x v="3"/>
    <x v="0"/>
    <x v="1"/>
    <d v="1899-12-30T10:52:00"/>
  </r>
  <r>
    <s v="2124"/>
    <s v="677 Cedar St, Cityb"/>
    <d v="2023-09-06T00:00:00"/>
    <s v="September"/>
    <x v="5"/>
    <d v="1899-12-30T12:03:00"/>
    <x v="1"/>
    <x v="1"/>
    <s v="D81"/>
    <x v="2"/>
    <s v="City C"/>
    <n v="111"/>
    <n v="15"/>
    <x v="2"/>
    <x v="1"/>
    <x v="2"/>
    <x v="1"/>
    <x v="2"/>
    <d v="1899-12-30T14:56:00"/>
  </r>
  <r>
    <s v="1032"/>
    <s v="894 Elm St, Citye"/>
    <d v="2023-09-06T00:00:00"/>
    <s v="September"/>
    <x v="5"/>
    <d v="1899-12-30T14:54:00"/>
    <x v="1"/>
    <x v="1"/>
    <s v="D82"/>
    <x v="1"/>
    <s v="City C"/>
    <n v="162"/>
    <n v="28"/>
    <x v="1"/>
    <x v="1"/>
    <x v="1"/>
    <x v="2"/>
    <x v="0"/>
    <d v="1899-12-30T15:47:00"/>
  </r>
  <r>
    <s v="1036"/>
    <s v="32 Cedar St, Citya"/>
    <d v="2023-09-02T00:00:00"/>
    <s v="September"/>
    <x v="4"/>
    <d v="1899-12-30T11:19:00"/>
    <x v="1"/>
    <x v="1"/>
    <s v="D82"/>
    <x v="1"/>
    <s v="City C"/>
    <n v="182"/>
    <n v="15"/>
    <x v="0"/>
    <x v="1"/>
    <x v="0"/>
    <x v="2"/>
    <x v="0"/>
    <d v="1899-12-30T11:38:00"/>
  </r>
  <r>
    <s v="1063"/>
    <s v="496 Cedar St, Cityd"/>
    <d v="2023-09-07T00:00:00"/>
    <s v="September"/>
    <x v="2"/>
    <d v="1899-12-30T13:35:00"/>
    <x v="0"/>
    <x v="0"/>
    <s v="D82"/>
    <x v="1"/>
    <s v="City B"/>
    <n v="64"/>
    <n v="20"/>
    <x v="0"/>
    <x v="0"/>
    <x v="1"/>
    <x v="1"/>
    <x v="1"/>
    <d v="1899-12-30T09:13:00"/>
  </r>
  <r>
    <s v="1175"/>
    <s v="25 Elm St, Cityd"/>
    <d v="2023-09-03T00:00:00"/>
    <s v="September"/>
    <x v="0"/>
    <d v="1899-12-30T09:13:00"/>
    <x v="0"/>
    <x v="0"/>
    <s v="D82"/>
    <x v="1"/>
    <s v="City A"/>
    <n v="135"/>
    <n v="16"/>
    <x v="2"/>
    <x v="0"/>
    <x v="0"/>
    <x v="2"/>
    <x v="1"/>
    <d v="1899-12-30T14:00:00"/>
  </r>
  <r>
    <s v="1233"/>
    <s v="417 Oak St, Cityb"/>
    <d v="2023-09-01T00:00:00"/>
    <s v="September"/>
    <x v="3"/>
    <d v="1899-12-30T09:02:00"/>
    <x v="0"/>
    <x v="0"/>
    <s v="D82"/>
    <x v="2"/>
    <s v="City A"/>
    <n v="63"/>
    <n v="8"/>
    <x v="1"/>
    <x v="0"/>
    <x v="3"/>
    <x v="0"/>
    <x v="0"/>
    <d v="1899-12-30T10:55:00"/>
  </r>
  <r>
    <s v="1681"/>
    <s v="224 Oak St, Cityc"/>
    <d v="2023-09-04T00:00:00"/>
    <s v="September"/>
    <x v="1"/>
    <d v="1899-12-30T14:18:00"/>
    <x v="1"/>
    <x v="1"/>
    <s v="D82"/>
    <x v="1"/>
    <s v="City B"/>
    <n v="134"/>
    <n v="5"/>
    <x v="0"/>
    <x v="1"/>
    <x v="4"/>
    <x v="0"/>
    <x v="0"/>
    <d v="1899-12-30T16:42:00"/>
  </r>
  <r>
    <s v="1753"/>
    <s v="478 Pine St, Cityc"/>
    <d v="2023-09-06T00:00:00"/>
    <s v="September"/>
    <x v="5"/>
    <d v="1899-12-30T08:48:00"/>
    <x v="1"/>
    <x v="1"/>
    <s v="D82"/>
    <x v="2"/>
    <s v="City A"/>
    <n v="227"/>
    <n v="1"/>
    <x v="1"/>
    <x v="1"/>
    <x v="1"/>
    <x v="2"/>
    <x v="2"/>
    <d v="1899-12-30T08:32:00"/>
  </r>
  <r>
    <s v="1855"/>
    <s v="247 Pine St, Cityb"/>
    <d v="2023-09-08T00:00:00"/>
    <s v="September"/>
    <x v="3"/>
    <d v="1899-12-30T11:00:00"/>
    <x v="1"/>
    <x v="1"/>
    <s v="D82"/>
    <x v="1"/>
    <s v="City D"/>
    <n v="155"/>
    <n v="20"/>
    <x v="1"/>
    <x v="1"/>
    <x v="1"/>
    <x v="2"/>
    <x v="2"/>
    <d v="1899-12-30T15:06:00"/>
  </r>
  <r>
    <s v="1926"/>
    <s v="874 Main St, Cityb"/>
    <d v="2023-09-08T00:00:00"/>
    <s v="September"/>
    <x v="3"/>
    <d v="1899-12-30T09:00:00"/>
    <x v="0"/>
    <x v="0"/>
    <s v="D82"/>
    <x v="0"/>
    <s v="City E"/>
    <n v="181"/>
    <n v="7"/>
    <x v="2"/>
    <x v="0"/>
    <x v="1"/>
    <x v="2"/>
    <x v="1"/>
    <d v="1899-12-30T14:06:00"/>
  </r>
  <r>
    <s v="1959"/>
    <s v="744 Oak St, Citya"/>
    <d v="2023-09-05T00:00:00"/>
    <s v="September"/>
    <x v="6"/>
    <d v="1899-12-30T13:46:00"/>
    <x v="0"/>
    <x v="0"/>
    <s v="D82"/>
    <x v="1"/>
    <s v="City C"/>
    <n v="63"/>
    <n v="10"/>
    <x v="1"/>
    <x v="0"/>
    <x v="2"/>
    <x v="1"/>
    <x v="0"/>
    <d v="1899-12-30T13:55:00"/>
  </r>
  <r>
    <s v="2118"/>
    <s v="235 Elm St, Cityc"/>
    <d v="2023-09-05T00:00:00"/>
    <s v="September"/>
    <x v="6"/>
    <d v="1899-12-30T08:13:00"/>
    <x v="1"/>
    <x v="1"/>
    <s v="D82"/>
    <x v="1"/>
    <s v="City B"/>
    <n v="134"/>
    <n v="14"/>
    <x v="0"/>
    <x v="1"/>
    <x v="2"/>
    <x v="1"/>
    <x v="2"/>
    <d v="1899-12-30T16:13:00"/>
  </r>
  <r>
    <s v="2175"/>
    <s v="51 Main St, Cityc"/>
    <d v="2023-09-04T00:00:00"/>
    <s v="September"/>
    <x v="1"/>
    <d v="1899-12-30T14:27:00"/>
    <x v="1"/>
    <x v="1"/>
    <s v="D82"/>
    <x v="1"/>
    <s v="City E"/>
    <n v="110"/>
    <n v="19"/>
    <x v="2"/>
    <x v="1"/>
    <x v="0"/>
    <x v="1"/>
    <x v="1"/>
    <d v="1899-12-30T09:19:00"/>
  </r>
  <r>
    <s v="2376"/>
    <s v="7 Cedar St, Cityd"/>
    <d v="2023-09-06T00:00:00"/>
    <s v="September"/>
    <x v="5"/>
    <d v="1899-12-30T13:35:00"/>
    <x v="1"/>
    <x v="1"/>
    <s v="D82"/>
    <x v="0"/>
    <s v="City E"/>
    <n v="229"/>
    <n v="2"/>
    <x v="2"/>
    <x v="1"/>
    <x v="4"/>
    <x v="2"/>
    <x v="0"/>
    <d v="1899-12-30T15:55:00"/>
  </r>
  <r>
    <s v="1122"/>
    <s v="518 Main St, Cityb"/>
    <d v="2023-09-03T00:00:00"/>
    <s v="September"/>
    <x v="0"/>
    <d v="1899-12-30T08:20:00"/>
    <x v="1"/>
    <x v="1"/>
    <s v="D83"/>
    <x v="2"/>
    <s v="City D"/>
    <n v="81"/>
    <n v="15"/>
    <x v="2"/>
    <x v="1"/>
    <x v="4"/>
    <x v="0"/>
    <x v="2"/>
    <d v="1899-12-30T15:02:00"/>
  </r>
  <r>
    <s v="1224"/>
    <s v="768 Pine St, Citya"/>
    <d v="2023-09-06T00:00:00"/>
    <s v="September"/>
    <x v="5"/>
    <d v="1899-12-30T09:01:00"/>
    <x v="1"/>
    <x v="1"/>
    <s v="D83"/>
    <x v="2"/>
    <s v="City A"/>
    <n v="61"/>
    <n v="29"/>
    <x v="0"/>
    <x v="1"/>
    <x v="4"/>
    <x v="1"/>
    <x v="2"/>
    <d v="1899-12-30T16:23:00"/>
  </r>
  <r>
    <s v="1265"/>
    <s v="192 Oak St, Cityb"/>
    <d v="2023-09-01T00:00:00"/>
    <s v="September"/>
    <x v="3"/>
    <d v="1899-12-30T15:01:00"/>
    <x v="1"/>
    <x v="1"/>
    <s v="D83"/>
    <x v="0"/>
    <s v="City A"/>
    <n v="123"/>
    <n v="2"/>
    <x v="2"/>
    <x v="1"/>
    <x v="2"/>
    <x v="1"/>
    <x v="2"/>
    <d v="1899-12-30T16:23:00"/>
  </r>
  <r>
    <s v="1395"/>
    <s v="8 Oak St, Citya"/>
    <d v="2023-09-01T00:00:00"/>
    <s v="September"/>
    <x v="3"/>
    <d v="1899-12-30T14:43:00"/>
    <x v="0"/>
    <x v="0"/>
    <s v="D83"/>
    <x v="1"/>
    <s v="City A"/>
    <n v="185"/>
    <n v="12"/>
    <x v="0"/>
    <x v="0"/>
    <x v="4"/>
    <x v="1"/>
    <x v="2"/>
    <d v="1899-12-30T15:45:00"/>
  </r>
  <r>
    <s v="1425"/>
    <s v="874 Main St, Citye"/>
    <d v="2023-09-03T00:00:00"/>
    <s v="September"/>
    <x v="0"/>
    <d v="1899-12-30T10:54:00"/>
    <x v="1"/>
    <x v="1"/>
    <s v="D83"/>
    <x v="0"/>
    <s v="City B"/>
    <n v="194"/>
    <n v="12"/>
    <x v="2"/>
    <x v="1"/>
    <x v="2"/>
    <x v="2"/>
    <x v="1"/>
    <d v="1899-12-30T15:35:00"/>
  </r>
  <r>
    <s v="1668"/>
    <s v="730 Pine St, Cityd"/>
    <d v="2023-09-01T00:00:00"/>
    <s v="September"/>
    <x v="3"/>
    <d v="1899-12-30T14:48:00"/>
    <x v="0"/>
    <x v="0"/>
    <s v="D83"/>
    <x v="0"/>
    <s v="City A"/>
    <n v="161"/>
    <n v="21"/>
    <x v="1"/>
    <x v="0"/>
    <x v="4"/>
    <x v="1"/>
    <x v="0"/>
    <d v="1899-12-30T16:22:00"/>
  </r>
  <r>
    <s v="1717"/>
    <s v="780 Oak St, Cityb"/>
    <d v="2023-09-02T00:00:00"/>
    <s v="September"/>
    <x v="4"/>
    <d v="1899-12-30T12:21:00"/>
    <x v="1"/>
    <x v="1"/>
    <s v="D83"/>
    <x v="2"/>
    <s v="City B"/>
    <n v="161"/>
    <n v="24"/>
    <x v="1"/>
    <x v="1"/>
    <x v="2"/>
    <x v="1"/>
    <x v="0"/>
    <d v="1899-12-30T11:32:00"/>
  </r>
  <r>
    <s v="1977"/>
    <s v="326 Main St, Cityb"/>
    <d v="2023-09-07T00:00:00"/>
    <s v="September"/>
    <x v="2"/>
    <d v="1899-12-30T14:57:00"/>
    <x v="1"/>
    <x v="1"/>
    <s v="D83"/>
    <x v="0"/>
    <s v="City E"/>
    <n v="205"/>
    <n v="21"/>
    <x v="2"/>
    <x v="1"/>
    <x v="1"/>
    <x v="2"/>
    <x v="2"/>
    <d v="1899-12-30T09:38:00"/>
  </r>
  <r>
    <s v="2056"/>
    <s v="248 Oak St, Cityc"/>
    <d v="2023-09-04T00:00:00"/>
    <s v="September"/>
    <x v="1"/>
    <d v="1899-12-30T10:46:00"/>
    <x v="1"/>
    <x v="1"/>
    <s v="D83"/>
    <x v="2"/>
    <s v="City D"/>
    <n v="177"/>
    <n v="18"/>
    <x v="1"/>
    <x v="1"/>
    <x v="0"/>
    <x v="1"/>
    <x v="2"/>
    <d v="1899-12-30T12:24:00"/>
  </r>
  <r>
    <s v="2116"/>
    <s v="217 Main St, Cityb"/>
    <d v="2023-09-05T00:00:00"/>
    <s v="September"/>
    <x v="6"/>
    <d v="1899-12-30T16:49:00"/>
    <x v="1"/>
    <x v="1"/>
    <s v="D83"/>
    <x v="1"/>
    <s v="City D"/>
    <n v="184"/>
    <n v="13"/>
    <x v="1"/>
    <x v="1"/>
    <x v="1"/>
    <x v="1"/>
    <x v="1"/>
    <d v="1899-12-30T08:30:00"/>
  </r>
  <r>
    <s v="2420"/>
    <s v="136 Pine St, Cityd"/>
    <d v="2023-09-07T00:00:00"/>
    <s v="September"/>
    <x v="2"/>
    <d v="1899-12-30T10:37:00"/>
    <x v="0"/>
    <x v="0"/>
    <s v="D83"/>
    <x v="2"/>
    <s v="City A"/>
    <n v="65"/>
    <n v="7"/>
    <x v="2"/>
    <x v="0"/>
    <x v="4"/>
    <x v="2"/>
    <x v="0"/>
    <d v="1899-12-30T10:58:00"/>
  </r>
  <r>
    <s v="1008"/>
    <s v="665 Pine St, Citya"/>
    <d v="2023-09-06T00:00:00"/>
    <s v="September"/>
    <x v="5"/>
    <d v="1899-12-30T14:46:00"/>
    <x v="0"/>
    <x v="0"/>
    <s v="D84"/>
    <x v="2"/>
    <s v="City D"/>
    <n v="96"/>
    <n v="17"/>
    <x v="1"/>
    <x v="0"/>
    <x v="3"/>
    <x v="2"/>
    <x v="2"/>
    <d v="1899-12-30T09:11:00"/>
  </r>
  <r>
    <s v="1149"/>
    <s v="987 Pine St, Cityc"/>
    <d v="2023-09-01T00:00:00"/>
    <s v="September"/>
    <x v="3"/>
    <d v="1899-12-30T14:46:00"/>
    <x v="0"/>
    <x v="0"/>
    <s v="D84"/>
    <x v="1"/>
    <s v="City E"/>
    <n v="64"/>
    <n v="25"/>
    <x v="1"/>
    <x v="0"/>
    <x v="0"/>
    <x v="2"/>
    <x v="0"/>
    <d v="1899-12-30T16:03:00"/>
  </r>
  <r>
    <s v="1189"/>
    <s v="315 Main St, Cityc"/>
    <d v="2023-09-03T00:00:00"/>
    <s v="September"/>
    <x v="0"/>
    <d v="1899-12-30T16:06:00"/>
    <x v="1"/>
    <x v="1"/>
    <s v="D84"/>
    <x v="1"/>
    <s v="City A"/>
    <n v="224"/>
    <n v="23"/>
    <x v="2"/>
    <x v="1"/>
    <x v="0"/>
    <x v="0"/>
    <x v="1"/>
    <d v="1899-12-30T15:26:00"/>
  </r>
  <r>
    <s v="1196"/>
    <s v="933 Cedar St, Cityd"/>
    <d v="2023-09-01T00:00:00"/>
    <s v="September"/>
    <x v="3"/>
    <d v="1899-12-30T14:08:00"/>
    <x v="0"/>
    <x v="0"/>
    <s v="D84"/>
    <x v="0"/>
    <s v="City D"/>
    <n v="76"/>
    <n v="0"/>
    <x v="2"/>
    <x v="0"/>
    <x v="3"/>
    <x v="0"/>
    <x v="1"/>
    <d v="1899-12-30T16:26:00"/>
  </r>
  <r>
    <s v="1293"/>
    <s v="375 Main St, Cityd"/>
    <d v="2023-09-07T00:00:00"/>
    <s v="September"/>
    <x v="2"/>
    <d v="1899-12-30T10:56:00"/>
    <x v="1"/>
    <x v="1"/>
    <s v="D84"/>
    <x v="2"/>
    <s v="City B"/>
    <n v="236"/>
    <n v="6"/>
    <x v="2"/>
    <x v="1"/>
    <x v="0"/>
    <x v="0"/>
    <x v="0"/>
    <d v="1899-12-30T08:26:00"/>
  </r>
  <r>
    <s v="1341"/>
    <s v="803 Oak St, Cityc"/>
    <d v="2023-09-08T00:00:00"/>
    <s v="September"/>
    <x v="3"/>
    <d v="1899-12-30T08:17:00"/>
    <x v="0"/>
    <x v="0"/>
    <s v="D84"/>
    <x v="1"/>
    <s v="City B"/>
    <n v="211"/>
    <n v="8"/>
    <x v="0"/>
    <x v="0"/>
    <x v="4"/>
    <x v="1"/>
    <x v="2"/>
    <d v="1899-12-30T10:20:00"/>
  </r>
  <r>
    <s v="1356"/>
    <s v="777 Oak St, Citya"/>
    <d v="2023-09-05T00:00:00"/>
    <s v="September"/>
    <x v="6"/>
    <d v="1899-12-30T09:05:00"/>
    <x v="0"/>
    <x v="0"/>
    <s v="D84"/>
    <x v="1"/>
    <s v="City A"/>
    <n v="81"/>
    <n v="3"/>
    <x v="2"/>
    <x v="0"/>
    <x v="1"/>
    <x v="2"/>
    <x v="2"/>
    <d v="1899-12-30T17:34:00"/>
  </r>
  <r>
    <s v="1435"/>
    <s v="310 Elm St, Cityc"/>
    <d v="2023-09-07T00:00:00"/>
    <s v="September"/>
    <x v="2"/>
    <d v="1899-12-30T16:51:00"/>
    <x v="1"/>
    <x v="1"/>
    <s v="D84"/>
    <x v="1"/>
    <s v="City B"/>
    <n v="184"/>
    <n v="11"/>
    <x v="2"/>
    <x v="1"/>
    <x v="1"/>
    <x v="0"/>
    <x v="2"/>
    <d v="1899-12-30T10:59:00"/>
  </r>
  <r>
    <s v="1729"/>
    <s v="166 Cedar St, Citya"/>
    <d v="2023-09-07T00:00:00"/>
    <s v="September"/>
    <x v="2"/>
    <d v="1899-12-30T09:10:00"/>
    <x v="0"/>
    <x v="0"/>
    <s v="D84"/>
    <x v="1"/>
    <s v="City C"/>
    <n v="206"/>
    <n v="20"/>
    <x v="2"/>
    <x v="0"/>
    <x v="4"/>
    <x v="2"/>
    <x v="2"/>
    <d v="1899-12-30T12:26:00"/>
  </r>
  <r>
    <s v="1827"/>
    <s v="874 Main St, Citya"/>
    <d v="2023-09-06T00:00:00"/>
    <s v="September"/>
    <x v="5"/>
    <d v="1899-12-30T11:35:00"/>
    <x v="1"/>
    <x v="1"/>
    <s v="D84"/>
    <x v="2"/>
    <s v="City A"/>
    <n v="238"/>
    <n v="4"/>
    <x v="0"/>
    <x v="1"/>
    <x v="3"/>
    <x v="1"/>
    <x v="2"/>
    <d v="1899-12-30T17:08:00"/>
  </r>
  <r>
    <s v="1849"/>
    <s v="403 Oak St, Cityb"/>
    <d v="2023-09-05T00:00:00"/>
    <s v="September"/>
    <x v="6"/>
    <d v="1899-12-30T13:59:00"/>
    <x v="0"/>
    <x v="0"/>
    <s v="D84"/>
    <x v="2"/>
    <s v="City B"/>
    <n v="168"/>
    <n v="27"/>
    <x v="0"/>
    <x v="0"/>
    <x v="1"/>
    <x v="1"/>
    <x v="0"/>
    <d v="1899-12-30T08:40:00"/>
  </r>
  <r>
    <s v="2093"/>
    <s v="172 Main St, Cityd"/>
    <d v="2023-09-06T00:00:00"/>
    <s v="September"/>
    <x v="5"/>
    <d v="1899-12-30T16:50:00"/>
    <x v="0"/>
    <x v="0"/>
    <s v="D84"/>
    <x v="2"/>
    <s v="City C"/>
    <n v="94"/>
    <n v="21"/>
    <x v="0"/>
    <x v="0"/>
    <x v="1"/>
    <x v="2"/>
    <x v="2"/>
    <d v="1899-12-30T11:02:00"/>
  </r>
  <r>
    <s v="2208"/>
    <s v="695 Oak St, Cityb"/>
    <d v="2023-09-07T00:00:00"/>
    <s v="September"/>
    <x v="2"/>
    <d v="1899-12-30T16:31:00"/>
    <x v="1"/>
    <x v="1"/>
    <s v="D84"/>
    <x v="1"/>
    <s v="City E"/>
    <n v="219"/>
    <n v="17"/>
    <x v="1"/>
    <x v="1"/>
    <x v="4"/>
    <x v="0"/>
    <x v="0"/>
    <d v="1899-12-30T10:35:00"/>
  </r>
  <r>
    <s v="2269"/>
    <s v="319 Cedar St, Citya"/>
    <d v="2023-09-02T00:00:00"/>
    <s v="September"/>
    <x v="4"/>
    <d v="1899-12-30T15:47:00"/>
    <x v="0"/>
    <x v="0"/>
    <s v="D84"/>
    <x v="1"/>
    <s v="City A"/>
    <n v="181"/>
    <n v="9"/>
    <x v="0"/>
    <x v="0"/>
    <x v="4"/>
    <x v="1"/>
    <x v="2"/>
    <d v="1899-12-30T15:57:00"/>
  </r>
  <r>
    <s v="2417"/>
    <s v="1 Pine St, Citya"/>
    <d v="2023-09-05T00:00:00"/>
    <s v="September"/>
    <x v="6"/>
    <d v="1899-12-30T11:18:00"/>
    <x v="1"/>
    <x v="1"/>
    <s v="D84"/>
    <x v="2"/>
    <s v="City A"/>
    <n v="230"/>
    <n v="9"/>
    <x v="1"/>
    <x v="1"/>
    <x v="4"/>
    <x v="2"/>
    <x v="0"/>
    <d v="1899-12-30T12:04:00"/>
  </r>
  <r>
    <s v="2474"/>
    <s v="441 Cedar St, Citye"/>
    <d v="2023-09-01T00:00:00"/>
    <s v="September"/>
    <x v="3"/>
    <d v="1899-12-30T14:02:00"/>
    <x v="1"/>
    <x v="1"/>
    <s v="D84"/>
    <x v="1"/>
    <s v="City E"/>
    <n v="106"/>
    <n v="10"/>
    <x v="1"/>
    <x v="1"/>
    <x v="0"/>
    <x v="1"/>
    <x v="0"/>
    <d v="1899-12-30T14:22:00"/>
  </r>
  <r>
    <s v="1087"/>
    <s v="253 Cedar St, Cityc"/>
    <d v="2023-09-07T00:00:00"/>
    <s v="September"/>
    <x v="2"/>
    <d v="1899-12-30T12:54:00"/>
    <x v="1"/>
    <x v="1"/>
    <s v="D85"/>
    <x v="0"/>
    <s v="City E"/>
    <n v="88"/>
    <n v="14"/>
    <x v="1"/>
    <x v="1"/>
    <x v="3"/>
    <x v="1"/>
    <x v="0"/>
    <d v="1899-12-30T09:42:00"/>
  </r>
  <r>
    <s v="1499"/>
    <s v="191 Main St, Citya"/>
    <d v="2023-09-03T00:00:00"/>
    <s v="September"/>
    <x v="0"/>
    <d v="1899-12-30T15:43:00"/>
    <x v="1"/>
    <x v="1"/>
    <s v="D85"/>
    <x v="0"/>
    <s v="City E"/>
    <n v="90"/>
    <n v="23"/>
    <x v="0"/>
    <x v="1"/>
    <x v="3"/>
    <x v="1"/>
    <x v="2"/>
    <d v="1899-12-30T12:29:00"/>
  </r>
  <r>
    <s v="1665"/>
    <s v="594 Cedar St, Cityd"/>
    <d v="2023-09-08T00:00:00"/>
    <s v="September"/>
    <x v="3"/>
    <d v="1899-12-30T10:11:00"/>
    <x v="1"/>
    <x v="1"/>
    <s v="D85"/>
    <x v="1"/>
    <s v="City E"/>
    <n v="190"/>
    <n v="23"/>
    <x v="0"/>
    <x v="1"/>
    <x v="1"/>
    <x v="1"/>
    <x v="2"/>
    <d v="1899-12-30T11:28:00"/>
  </r>
  <r>
    <s v="1922"/>
    <s v="209 Elm St, Cityc"/>
    <d v="2023-09-07T00:00:00"/>
    <s v="September"/>
    <x v="2"/>
    <d v="1899-12-30T16:11:00"/>
    <x v="0"/>
    <x v="0"/>
    <s v="D85"/>
    <x v="0"/>
    <s v="City E"/>
    <n v="217"/>
    <n v="3"/>
    <x v="2"/>
    <x v="0"/>
    <x v="4"/>
    <x v="1"/>
    <x v="1"/>
    <d v="1899-12-30T12:47:00"/>
  </r>
  <r>
    <s v="1973"/>
    <s v="891 Elm St, Citye"/>
    <d v="2023-09-08T00:00:00"/>
    <s v="September"/>
    <x v="3"/>
    <d v="1899-12-30T08:04:00"/>
    <x v="1"/>
    <x v="1"/>
    <s v="D85"/>
    <x v="1"/>
    <s v="City E"/>
    <n v="170"/>
    <n v="1"/>
    <x v="1"/>
    <x v="1"/>
    <x v="1"/>
    <x v="2"/>
    <x v="0"/>
    <d v="1899-12-30T11:19:00"/>
  </r>
  <r>
    <s v="2032"/>
    <s v="193 Elm St, Cityd"/>
    <d v="2023-09-05T00:00:00"/>
    <s v="September"/>
    <x v="6"/>
    <d v="1899-12-30T09:50:00"/>
    <x v="1"/>
    <x v="1"/>
    <s v="D85"/>
    <x v="1"/>
    <s v="City A"/>
    <n v="93"/>
    <n v="18"/>
    <x v="1"/>
    <x v="1"/>
    <x v="3"/>
    <x v="1"/>
    <x v="2"/>
    <d v="1899-12-30T10:40:00"/>
  </r>
  <r>
    <s v="1045"/>
    <s v="803 Pine St, Citya"/>
    <d v="2023-09-06T00:00:00"/>
    <s v="September"/>
    <x v="5"/>
    <d v="1899-12-30T15:06:00"/>
    <x v="0"/>
    <x v="0"/>
    <s v="D86"/>
    <x v="1"/>
    <s v="City C"/>
    <n v="162"/>
    <n v="22"/>
    <x v="0"/>
    <x v="0"/>
    <x v="0"/>
    <x v="2"/>
    <x v="0"/>
    <d v="1899-12-30T14:32:00"/>
  </r>
  <r>
    <s v="1408"/>
    <s v="210 Elm St, Citya"/>
    <d v="2023-09-07T00:00:00"/>
    <s v="September"/>
    <x v="2"/>
    <d v="1899-12-30T08:20:00"/>
    <x v="1"/>
    <x v="1"/>
    <s v="D86"/>
    <x v="0"/>
    <s v="City A"/>
    <n v="178"/>
    <n v="5"/>
    <x v="0"/>
    <x v="1"/>
    <x v="2"/>
    <x v="2"/>
    <x v="2"/>
    <d v="1899-12-30T09:12:00"/>
  </r>
  <r>
    <s v="1458"/>
    <s v="373 Main St, Citye"/>
    <d v="2023-09-06T00:00:00"/>
    <s v="September"/>
    <x v="5"/>
    <d v="1899-12-30T12:19:00"/>
    <x v="0"/>
    <x v="0"/>
    <s v="D86"/>
    <x v="1"/>
    <s v="City A"/>
    <n v="229"/>
    <n v="27"/>
    <x v="1"/>
    <x v="0"/>
    <x v="4"/>
    <x v="1"/>
    <x v="2"/>
    <d v="1899-12-30T16:19:00"/>
  </r>
  <r>
    <s v="1683"/>
    <s v="733 Oak St, Cityb"/>
    <d v="2023-09-02T00:00:00"/>
    <s v="September"/>
    <x v="4"/>
    <d v="1899-12-30T11:44:00"/>
    <x v="1"/>
    <x v="1"/>
    <s v="D86"/>
    <x v="1"/>
    <s v="City C"/>
    <n v="193"/>
    <n v="26"/>
    <x v="0"/>
    <x v="1"/>
    <x v="2"/>
    <x v="1"/>
    <x v="2"/>
    <d v="1899-12-30T09:47:00"/>
  </r>
  <r>
    <s v="1788"/>
    <s v="939 Elm St, Citya"/>
    <d v="2023-09-02T00:00:00"/>
    <s v="September"/>
    <x v="4"/>
    <d v="1899-12-30T10:38:00"/>
    <x v="0"/>
    <x v="0"/>
    <s v="D86"/>
    <x v="2"/>
    <s v="City A"/>
    <n v="150"/>
    <n v="18"/>
    <x v="2"/>
    <x v="0"/>
    <x v="3"/>
    <x v="1"/>
    <x v="1"/>
    <d v="1899-12-30T09:14:00"/>
  </r>
  <r>
    <s v="1893"/>
    <s v="46 Oak St, Cityc"/>
    <d v="2023-09-03T00:00:00"/>
    <s v="September"/>
    <x v="0"/>
    <d v="1899-12-30T15:54:00"/>
    <x v="1"/>
    <x v="1"/>
    <s v="D86"/>
    <x v="2"/>
    <s v="City B"/>
    <n v="164"/>
    <n v="10"/>
    <x v="0"/>
    <x v="1"/>
    <x v="0"/>
    <x v="0"/>
    <x v="2"/>
    <d v="1899-12-30T12:45:00"/>
  </r>
  <r>
    <s v="1982"/>
    <s v="935 Main St, Citye"/>
    <d v="2023-09-03T00:00:00"/>
    <s v="September"/>
    <x v="0"/>
    <d v="1899-12-30T11:05:00"/>
    <x v="1"/>
    <x v="1"/>
    <s v="D86"/>
    <x v="0"/>
    <s v="City B"/>
    <n v="155"/>
    <n v="24"/>
    <x v="1"/>
    <x v="1"/>
    <x v="1"/>
    <x v="0"/>
    <x v="2"/>
    <d v="1899-12-30T17:48:00"/>
  </r>
  <r>
    <s v="1996"/>
    <s v="190 Cedar St, Citya"/>
    <d v="2023-09-07T00:00:00"/>
    <s v="September"/>
    <x v="2"/>
    <d v="1899-12-30T13:31:00"/>
    <x v="0"/>
    <x v="0"/>
    <s v="D86"/>
    <x v="1"/>
    <s v="City A"/>
    <n v="236"/>
    <n v="27"/>
    <x v="0"/>
    <x v="0"/>
    <x v="1"/>
    <x v="1"/>
    <x v="2"/>
    <d v="1899-12-30T10:19:00"/>
  </r>
  <r>
    <s v="2210"/>
    <s v="418 Oak St, Cityb"/>
    <d v="2023-09-02T00:00:00"/>
    <s v="September"/>
    <x v="4"/>
    <d v="1899-12-30T09:48:00"/>
    <x v="0"/>
    <x v="0"/>
    <s v="D86"/>
    <x v="2"/>
    <s v="City E"/>
    <n v="210"/>
    <n v="16"/>
    <x v="1"/>
    <x v="0"/>
    <x v="0"/>
    <x v="0"/>
    <x v="2"/>
    <d v="1899-12-30T08:47:00"/>
  </r>
  <r>
    <s v="2225"/>
    <s v="812 Oak St, Cityc"/>
    <d v="2023-09-03T00:00:00"/>
    <s v="September"/>
    <x v="0"/>
    <d v="1899-12-30T14:51:00"/>
    <x v="1"/>
    <x v="1"/>
    <s v="D86"/>
    <x v="2"/>
    <s v="City D"/>
    <n v="141"/>
    <n v="29"/>
    <x v="2"/>
    <x v="1"/>
    <x v="2"/>
    <x v="2"/>
    <x v="1"/>
    <d v="1899-12-30T13:46:00"/>
  </r>
  <r>
    <s v="2233"/>
    <s v="39 Oak St, Citya"/>
    <d v="2023-09-08T00:00:00"/>
    <s v="September"/>
    <x v="3"/>
    <d v="1899-12-30T09:30:00"/>
    <x v="1"/>
    <x v="1"/>
    <s v="D86"/>
    <x v="1"/>
    <s v="City A"/>
    <n v="82"/>
    <n v="4"/>
    <x v="1"/>
    <x v="1"/>
    <x v="0"/>
    <x v="2"/>
    <x v="0"/>
    <d v="1899-12-30T11:20:00"/>
  </r>
  <r>
    <s v="2321"/>
    <s v="293 Cedar St, Cityb"/>
    <d v="2023-09-04T00:00:00"/>
    <s v="September"/>
    <x v="1"/>
    <d v="1899-12-30T11:00:00"/>
    <x v="0"/>
    <x v="0"/>
    <s v="D86"/>
    <x v="2"/>
    <s v="City A"/>
    <n v="191"/>
    <n v="26"/>
    <x v="2"/>
    <x v="0"/>
    <x v="2"/>
    <x v="1"/>
    <x v="2"/>
    <d v="1899-12-30T11:39:00"/>
  </r>
  <r>
    <s v="2379"/>
    <s v="854 Pine St, Citye"/>
    <d v="2023-09-06T00:00:00"/>
    <s v="September"/>
    <x v="5"/>
    <d v="1899-12-30T10:43:00"/>
    <x v="1"/>
    <x v="1"/>
    <s v="D86"/>
    <x v="1"/>
    <s v="City E"/>
    <n v="227"/>
    <n v="25"/>
    <x v="2"/>
    <x v="1"/>
    <x v="2"/>
    <x v="2"/>
    <x v="0"/>
    <d v="1899-12-30T14:00:00"/>
  </r>
  <r>
    <s v="2424"/>
    <s v="913 Cedar St, Cityc"/>
    <d v="2023-09-07T00:00:00"/>
    <s v="September"/>
    <x v="2"/>
    <d v="1899-12-30T14:40:00"/>
    <x v="1"/>
    <x v="1"/>
    <s v="D86"/>
    <x v="1"/>
    <s v="City E"/>
    <n v="231"/>
    <n v="24"/>
    <x v="0"/>
    <x v="1"/>
    <x v="3"/>
    <x v="1"/>
    <x v="2"/>
    <d v="1899-12-30T15:26:00"/>
  </r>
  <r>
    <s v="2445"/>
    <s v="888 Elm St, Citye"/>
    <d v="2023-09-06T00:00:00"/>
    <s v="September"/>
    <x v="5"/>
    <d v="1899-12-30T15:00:00"/>
    <x v="0"/>
    <x v="0"/>
    <s v="D86"/>
    <x v="2"/>
    <s v="City C"/>
    <n v="62"/>
    <n v="28"/>
    <x v="1"/>
    <x v="0"/>
    <x v="0"/>
    <x v="2"/>
    <x v="1"/>
    <d v="1899-12-30T13:22:00"/>
  </r>
  <r>
    <s v="1065"/>
    <s v="790 Main St, Citye"/>
    <d v="2023-09-08T00:00:00"/>
    <s v="September"/>
    <x v="3"/>
    <d v="1899-12-30T16:26:00"/>
    <x v="0"/>
    <x v="0"/>
    <s v="D87"/>
    <x v="2"/>
    <s v="City A"/>
    <n v="238"/>
    <n v="7"/>
    <x v="0"/>
    <x v="0"/>
    <x v="2"/>
    <x v="2"/>
    <x v="1"/>
    <d v="1899-12-30T11:39:00"/>
  </r>
  <r>
    <s v="1266"/>
    <s v="167 Pine St, Citye"/>
    <d v="2023-09-07T00:00:00"/>
    <s v="September"/>
    <x v="2"/>
    <d v="1899-12-30T08:17:00"/>
    <x v="0"/>
    <x v="0"/>
    <s v="D87"/>
    <x v="1"/>
    <s v="City A"/>
    <n v="225"/>
    <n v="4"/>
    <x v="0"/>
    <x v="0"/>
    <x v="0"/>
    <x v="2"/>
    <x v="1"/>
    <d v="1899-12-30T17:12:00"/>
  </r>
  <r>
    <s v="1422"/>
    <s v="492 Cedar St, Citye"/>
    <d v="2023-09-06T00:00:00"/>
    <s v="September"/>
    <x v="5"/>
    <d v="1899-12-30T13:38:00"/>
    <x v="1"/>
    <x v="1"/>
    <s v="D87"/>
    <x v="0"/>
    <s v="City C"/>
    <n v="231"/>
    <n v="10"/>
    <x v="0"/>
    <x v="1"/>
    <x v="4"/>
    <x v="2"/>
    <x v="1"/>
    <d v="1899-12-30T17:47:00"/>
  </r>
  <r>
    <s v="1442"/>
    <s v="720 Cedar St, Cityd"/>
    <d v="2023-09-03T00:00:00"/>
    <s v="September"/>
    <x v="0"/>
    <d v="1899-12-30T12:28:00"/>
    <x v="1"/>
    <x v="1"/>
    <s v="D87"/>
    <x v="2"/>
    <s v="City D"/>
    <n v="208"/>
    <n v="23"/>
    <x v="1"/>
    <x v="1"/>
    <x v="3"/>
    <x v="0"/>
    <x v="2"/>
    <d v="1899-12-30T14:01:00"/>
  </r>
  <r>
    <s v="1480"/>
    <s v="533 Main St, Citye"/>
    <d v="2023-09-02T00:00:00"/>
    <s v="September"/>
    <x v="4"/>
    <d v="1899-12-30T09:32:00"/>
    <x v="0"/>
    <x v="0"/>
    <s v="D87"/>
    <x v="2"/>
    <s v="City D"/>
    <n v="77"/>
    <n v="28"/>
    <x v="0"/>
    <x v="0"/>
    <x v="3"/>
    <x v="0"/>
    <x v="2"/>
    <d v="1899-12-30T15:40:00"/>
  </r>
  <r>
    <s v="1619"/>
    <s v="818 Pine St, Citye"/>
    <d v="2023-09-08T00:00:00"/>
    <s v="September"/>
    <x v="3"/>
    <d v="1899-12-30T12:17:00"/>
    <x v="0"/>
    <x v="0"/>
    <s v="D87"/>
    <x v="0"/>
    <s v="City B"/>
    <n v="193"/>
    <n v="2"/>
    <x v="2"/>
    <x v="0"/>
    <x v="0"/>
    <x v="2"/>
    <x v="2"/>
    <d v="1899-12-30T09:04:00"/>
  </r>
  <r>
    <s v="1890"/>
    <s v="202 Pine St, Citya"/>
    <d v="2023-09-01T00:00:00"/>
    <s v="September"/>
    <x v="3"/>
    <d v="1899-12-30T16:04:00"/>
    <x v="1"/>
    <x v="1"/>
    <s v="D87"/>
    <x v="1"/>
    <s v="City A"/>
    <n v="180"/>
    <n v="7"/>
    <x v="1"/>
    <x v="1"/>
    <x v="2"/>
    <x v="2"/>
    <x v="1"/>
    <d v="1899-12-30T09:07:00"/>
  </r>
  <r>
    <s v="2002"/>
    <s v="814 Elm St, Cityd"/>
    <d v="2023-09-07T00:00:00"/>
    <s v="September"/>
    <x v="2"/>
    <d v="1899-12-30T16:42:00"/>
    <x v="0"/>
    <x v="0"/>
    <s v="D87"/>
    <x v="2"/>
    <s v="City A"/>
    <n v="133"/>
    <n v="25"/>
    <x v="0"/>
    <x v="0"/>
    <x v="1"/>
    <x v="2"/>
    <x v="0"/>
    <d v="1899-12-30T08:03:00"/>
  </r>
  <r>
    <s v="2141"/>
    <s v="552 Cedar St, Citya"/>
    <d v="2023-09-03T00:00:00"/>
    <s v="September"/>
    <x v="0"/>
    <d v="1899-12-30T10:06:00"/>
    <x v="0"/>
    <x v="0"/>
    <s v="D87"/>
    <x v="2"/>
    <s v="City E"/>
    <n v="232"/>
    <n v="10"/>
    <x v="0"/>
    <x v="0"/>
    <x v="0"/>
    <x v="1"/>
    <x v="1"/>
    <d v="1899-12-30T17:03:00"/>
  </r>
  <r>
    <s v="2171"/>
    <s v="637 Main St, Cityc"/>
    <d v="2023-09-06T00:00:00"/>
    <s v="September"/>
    <x v="5"/>
    <d v="1899-12-30T14:49:00"/>
    <x v="1"/>
    <x v="1"/>
    <s v="D87"/>
    <x v="2"/>
    <s v="City B"/>
    <n v="82"/>
    <n v="13"/>
    <x v="0"/>
    <x v="1"/>
    <x v="1"/>
    <x v="0"/>
    <x v="1"/>
    <d v="1899-12-30T09:49:00"/>
  </r>
  <r>
    <s v="2197"/>
    <s v="855 Cedar St, Citya"/>
    <d v="2023-09-02T00:00:00"/>
    <s v="September"/>
    <x v="4"/>
    <d v="1899-12-30T16:21:00"/>
    <x v="0"/>
    <x v="0"/>
    <s v="D87"/>
    <x v="2"/>
    <s v="City E"/>
    <n v="189"/>
    <n v="22"/>
    <x v="0"/>
    <x v="0"/>
    <x v="2"/>
    <x v="1"/>
    <x v="1"/>
    <d v="1899-12-30T09:06:00"/>
  </r>
  <r>
    <s v="1023"/>
    <s v="98 Elm St, Citya"/>
    <d v="2023-09-06T00:00:00"/>
    <s v="September"/>
    <x v="5"/>
    <d v="1899-12-30T10:34:00"/>
    <x v="1"/>
    <x v="1"/>
    <s v="D88"/>
    <x v="2"/>
    <s v="City D"/>
    <n v="151"/>
    <n v="6"/>
    <x v="0"/>
    <x v="1"/>
    <x v="0"/>
    <x v="0"/>
    <x v="1"/>
    <d v="1899-12-30T16:56:00"/>
  </r>
  <r>
    <s v="1561"/>
    <s v="424 Main St, Citye"/>
    <d v="2023-09-06T00:00:00"/>
    <s v="September"/>
    <x v="5"/>
    <d v="1899-12-30T10:27:00"/>
    <x v="1"/>
    <x v="1"/>
    <s v="D88"/>
    <x v="2"/>
    <s v="City A"/>
    <n v="176"/>
    <n v="18"/>
    <x v="2"/>
    <x v="1"/>
    <x v="3"/>
    <x v="1"/>
    <x v="2"/>
    <d v="1899-12-30T14:55:00"/>
  </r>
  <r>
    <s v="1613"/>
    <s v="693 Pine St, Cityc"/>
    <d v="2023-09-05T00:00:00"/>
    <s v="September"/>
    <x v="6"/>
    <d v="1899-12-30T09:56:00"/>
    <x v="1"/>
    <x v="1"/>
    <s v="D88"/>
    <x v="2"/>
    <s v="City A"/>
    <n v="135"/>
    <n v="26"/>
    <x v="0"/>
    <x v="1"/>
    <x v="3"/>
    <x v="1"/>
    <x v="0"/>
    <d v="1899-12-30T09:41:00"/>
  </r>
  <r>
    <s v="1650"/>
    <s v="585 Oak St, Citye"/>
    <d v="2023-09-06T00:00:00"/>
    <s v="September"/>
    <x v="5"/>
    <d v="1899-12-30T08:34:00"/>
    <x v="0"/>
    <x v="0"/>
    <s v="D88"/>
    <x v="1"/>
    <s v="City B"/>
    <n v="94"/>
    <n v="6"/>
    <x v="1"/>
    <x v="0"/>
    <x v="1"/>
    <x v="2"/>
    <x v="0"/>
    <d v="1899-12-30T12:53:00"/>
  </r>
  <r>
    <s v="1777"/>
    <s v="519 Main St, Cityb"/>
    <d v="2023-09-06T00:00:00"/>
    <s v="September"/>
    <x v="5"/>
    <d v="1899-12-30T09:15:00"/>
    <x v="1"/>
    <x v="1"/>
    <s v="D88"/>
    <x v="0"/>
    <s v="City D"/>
    <n v="115"/>
    <n v="22"/>
    <x v="2"/>
    <x v="1"/>
    <x v="3"/>
    <x v="1"/>
    <x v="2"/>
    <d v="1899-12-30T15:20:00"/>
  </r>
  <r>
    <s v="2106"/>
    <s v="136 Oak St, Cityd"/>
    <d v="2023-09-02T00:00:00"/>
    <s v="September"/>
    <x v="4"/>
    <d v="1899-12-30T15:28:00"/>
    <x v="0"/>
    <x v="0"/>
    <s v="D88"/>
    <x v="1"/>
    <s v="City B"/>
    <n v="151"/>
    <n v="3"/>
    <x v="0"/>
    <x v="0"/>
    <x v="0"/>
    <x v="2"/>
    <x v="2"/>
    <d v="1899-12-30T09:46:00"/>
  </r>
  <r>
    <s v="2238"/>
    <s v="602 Oak St, Citya"/>
    <d v="2023-09-07T00:00:00"/>
    <s v="September"/>
    <x v="2"/>
    <d v="1899-12-30T08:14:00"/>
    <x v="1"/>
    <x v="1"/>
    <s v="D88"/>
    <x v="0"/>
    <s v="City A"/>
    <n v="217"/>
    <n v="1"/>
    <x v="0"/>
    <x v="1"/>
    <x v="1"/>
    <x v="2"/>
    <x v="1"/>
    <d v="1899-12-30T16:13:00"/>
  </r>
  <r>
    <s v="2239"/>
    <s v="405 Elm St, Cityb"/>
    <d v="2023-09-01T00:00:00"/>
    <s v="September"/>
    <x v="3"/>
    <d v="1899-12-30T14:26:00"/>
    <x v="1"/>
    <x v="1"/>
    <s v="D88"/>
    <x v="2"/>
    <s v="City C"/>
    <n v="110"/>
    <n v="7"/>
    <x v="2"/>
    <x v="1"/>
    <x v="4"/>
    <x v="0"/>
    <x v="1"/>
    <d v="1899-12-30T14:12:00"/>
  </r>
  <r>
    <s v="2457"/>
    <s v="799 Elm St, Citya"/>
    <d v="2023-09-01T00:00:00"/>
    <s v="September"/>
    <x v="3"/>
    <d v="1899-12-30T08:56:00"/>
    <x v="0"/>
    <x v="0"/>
    <s v="D88"/>
    <x v="0"/>
    <s v="City D"/>
    <n v="189"/>
    <n v="24"/>
    <x v="1"/>
    <x v="0"/>
    <x v="2"/>
    <x v="1"/>
    <x v="0"/>
    <d v="1899-12-30T15:40:00"/>
  </r>
  <r>
    <s v="2476"/>
    <s v="889 Main St, Cityb"/>
    <d v="2023-09-02T00:00:00"/>
    <s v="September"/>
    <x v="4"/>
    <d v="1899-12-30T16:45:00"/>
    <x v="0"/>
    <x v="0"/>
    <s v="D88"/>
    <x v="0"/>
    <s v="City B"/>
    <n v="197"/>
    <n v="15"/>
    <x v="2"/>
    <x v="0"/>
    <x v="3"/>
    <x v="0"/>
    <x v="1"/>
    <d v="1899-12-30T08:30:00"/>
  </r>
  <r>
    <s v="1085"/>
    <s v="381 Pine St, Citya"/>
    <d v="2023-09-03T00:00:00"/>
    <s v="September"/>
    <x v="0"/>
    <d v="1899-12-30T14:35:00"/>
    <x v="0"/>
    <x v="0"/>
    <s v="D89"/>
    <x v="0"/>
    <s v="City B"/>
    <n v="111"/>
    <n v="6"/>
    <x v="0"/>
    <x v="0"/>
    <x v="0"/>
    <x v="0"/>
    <x v="0"/>
    <d v="1899-12-30T13:02:00"/>
  </r>
  <r>
    <s v="1090"/>
    <s v="963 Oak St, Cityd"/>
    <d v="2023-09-08T00:00:00"/>
    <s v="September"/>
    <x v="3"/>
    <d v="1899-12-30T14:28:00"/>
    <x v="1"/>
    <x v="1"/>
    <s v="D89"/>
    <x v="0"/>
    <s v="City C"/>
    <n v="185"/>
    <n v="27"/>
    <x v="1"/>
    <x v="1"/>
    <x v="4"/>
    <x v="0"/>
    <x v="1"/>
    <d v="1899-12-30T15:02:00"/>
  </r>
  <r>
    <s v="1209"/>
    <s v="907 Oak St, Citya"/>
    <d v="2023-09-03T00:00:00"/>
    <s v="September"/>
    <x v="0"/>
    <d v="1899-12-30T12:04:00"/>
    <x v="0"/>
    <x v="0"/>
    <s v="D89"/>
    <x v="0"/>
    <s v="City C"/>
    <n v="224"/>
    <n v="9"/>
    <x v="0"/>
    <x v="0"/>
    <x v="3"/>
    <x v="2"/>
    <x v="0"/>
    <d v="1899-12-30T14:55:00"/>
  </r>
  <r>
    <s v="1211"/>
    <s v="182 Elm St, Citye"/>
    <d v="2023-09-02T00:00:00"/>
    <s v="September"/>
    <x v="4"/>
    <d v="1899-12-30T08:27:00"/>
    <x v="0"/>
    <x v="0"/>
    <s v="D89"/>
    <x v="0"/>
    <s v="City E"/>
    <n v="212"/>
    <n v="17"/>
    <x v="2"/>
    <x v="0"/>
    <x v="4"/>
    <x v="1"/>
    <x v="2"/>
    <d v="1899-12-30T09:52:00"/>
  </r>
  <r>
    <s v="1264"/>
    <s v="720 Main St, Cityb"/>
    <d v="2023-09-03T00:00:00"/>
    <s v="September"/>
    <x v="0"/>
    <d v="1899-12-30T16:15:00"/>
    <x v="1"/>
    <x v="1"/>
    <s v="D89"/>
    <x v="0"/>
    <s v="City C"/>
    <n v="76"/>
    <n v="14"/>
    <x v="0"/>
    <x v="1"/>
    <x v="0"/>
    <x v="0"/>
    <x v="0"/>
    <d v="1899-12-30T13:44:00"/>
  </r>
  <r>
    <s v="1282"/>
    <s v="512 Oak St, Cityd"/>
    <d v="2023-09-07T00:00:00"/>
    <s v="September"/>
    <x v="2"/>
    <d v="1899-12-30T09:52:00"/>
    <x v="0"/>
    <x v="0"/>
    <s v="D89"/>
    <x v="1"/>
    <s v="City E"/>
    <n v="102"/>
    <n v="3"/>
    <x v="0"/>
    <x v="0"/>
    <x v="3"/>
    <x v="2"/>
    <x v="2"/>
    <d v="1899-12-30T14:13:00"/>
  </r>
  <r>
    <s v="1292"/>
    <s v="892 Elm St, Cityd"/>
    <d v="2023-09-05T00:00:00"/>
    <s v="September"/>
    <x v="6"/>
    <d v="1899-12-30T08:04:00"/>
    <x v="1"/>
    <x v="1"/>
    <s v="D89"/>
    <x v="0"/>
    <s v="City C"/>
    <n v="163"/>
    <n v="0"/>
    <x v="0"/>
    <x v="1"/>
    <x v="1"/>
    <x v="1"/>
    <x v="0"/>
    <d v="1899-12-30T11:01:00"/>
  </r>
  <r>
    <s v="1446"/>
    <s v="443 Pine St, Cityd"/>
    <d v="2023-09-04T00:00:00"/>
    <s v="September"/>
    <x v="1"/>
    <d v="1899-12-30T10:03:00"/>
    <x v="1"/>
    <x v="1"/>
    <s v="D89"/>
    <x v="2"/>
    <s v="City B"/>
    <n v="179"/>
    <n v="25"/>
    <x v="2"/>
    <x v="1"/>
    <x v="3"/>
    <x v="2"/>
    <x v="2"/>
    <d v="1899-12-30T09:22:00"/>
  </r>
  <r>
    <s v="1670"/>
    <s v="769 Pine St, Citya"/>
    <d v="2023-09-03T00:00:00"/>
    <s v="September"/>
    <x v="0"/>
    <d v="1899-12-30T13:13:00"/>
    <x v="1"/>
    <x v="1"/>
    <s v="D89"/>
    <x v="2"/>
    <s v="City E"/>
    <n v="198"/>
    <n v="10"/>
    <x v="0"/>
    <x v="1"/>
    <x v="2"/>
    <x v="2"/>
    <x v="2"/>
    <d v="1899-12-30T11:59:00"/>
  </r>
  <r>
    <s v="1725"/>
    <s v="248 Cedar St, Cityc"/>
    <d v="2023-09-03T00:00:00"/>
    <s v="September"/>
    <x v="0"/>
    <d v="1899-12-30T15:14:00"/>
    <x v="1"/>
    <x v="1"/>
    <s v="D89"/>
    <x v="0"/>
    <s v="City C"/>
    <n v="60"/>
    <n v="20"/>
    <x v="2"/>
    <x v="1"/>
    <x v="1"/>
    <x v="2"/>
    <x v="2"/>
    <d v="1899-12-30T11:10:00"/>
  </r>
  <r>
    <s v="1747"/>
    <s v="446 Elm St, Cityd"/>
    <d v="2023-09-07T00:00:00"/>
    <s v="September"/>
    <x v="2"/>
    <d v="1899-12-30T09:32:00"/>
    <x v="0"/>
    <x v="0"/>
    <s v="D89"/>
    <x v="0"/>
    <s v="City C"/>
    <n v="149"/>
    <n v="19"/>
    <x v="0"/>
    <x v="0"/>
    <x v="0"/>
    <x v="1"/>
    <x v="2"/>
    <d v="1899-12-30T09:09:00"/>
  </r>
  <r>
    <s v="1974"/>
    <s v="618 Cedar St, Citya"/>
    <d v="2023-09-02T00:00:00"/>
    <s v="September"/>
    <x v="4"/>
    <d v="1899-12-30T09:08:00"/>
    <x v="0"/>
    <x v="0"/>
    <s v="D89"/>
    <x v="1"/>
    <s v="City A"/>
    <n v="90"/>
    <n v="24"/>
    <x v="1"/>
    <x v="0"/>
    <x v="3"/>
    <x v="2"/>
    <x v="2"/>
    <d v="1899-12-30T09:51:00"/>
  </r>
  <r>
    <s v="2086"/>
    <s v="659 Cedar St, Cityd"/>
    <d v="2023-09-01T00:00:00"/>
    <s v="September"/>
    <x v="3"/>
    <d v="1899-12-30T14:48:00"/>
    <x v="1"/>
    <x v="1"/>
    <s v="D89"/>
    <x v="1"/>
    <s v="City A"/>
    <n v="190"/>
    <n v="11"/>
    <x v="1"/>
    <x v="1"/>
    <x v="1"/>
    <x v="1"/>
    <x v="1"/>
    <d v="1899-12-30T15:50:00"/>
  </r>
  <r>
    <s v="2162"/>
    <s v="321 Pine St, Citya"/>
    <d v="2023-09-01T00:00:00"/>
    <s v="September"/>
    <x v="3"/>
    <d v="1899-12-30T11:47:00"/>
    <x v="1"/>
    <x v="1"/>
    <s v="D89"/>
    <x v="2"/>
    <s v="City D"/>
    <n v="118"/>
    <n v="11"/>
    <x v="1"/>
    <x v="1"/>
    <x v="2"/>
    <x v="2"/>
    <x v="1"/>
    <d v="1899-12-30T17:16:00"/>
  </r>
  <r>
    <s v="2244"/>
    <s v="1000 Elm St, Cityb"/>
    <d v="2023-09-04T00:00:00"/>
    <s v="September"/>
    <x v="1"/>
    <d v="1899-12-30T16:25:00"/>
    <x v="1"/>
    <x v="1"/>
    <s v="D89"/>
    <x v="0"/>
    <s v="City E"/>
    <n v="193"/>
    <n v="24"/>
    <x v="0"/>
    <x v="1"/>
    <x v="2"/>
    <x v="2"/>
    <x v="0"/>
    <d v="1899-12-30T13:01:00"/>
  </r>
  <r>
    <s v="2278"/>
    <s v="622 Cedar St, Citye"/>
    <d v="2023-09-02T00:00:00"/>
    <s v="September"/>
    <x v="4"/>
    <d v="1899-12-30T16:44:00"/>
    <x v="1"/>
    <x v="1"/>
    <s v="D89"/>
    <x v="2"/>
    <s v="City D"/>
    <n v="234"/>
    <n v="6"/>
    <x v="0"/>
    <x v="1"/>
    <x v="0"/>
    <x v="1"/>
    <x v="1"/>
    <d v="1899-12-30T10:47:00"/>
  </r>
  <r>
    <s v="2490"/>
    <s v="459 Pine St, Cityd"/>
    <d v="2023-09-05T00:00:00"/>
    <s v="September"/>
    <x v="6"/>
    <d v="1899-12-30T09:23:00"/>
    <x v="1"/>
    <x v="1"/>
    <s v="D89"/>
    <x v="0"/>
    <s v="City E"/>
    <n v="103"/>
    <n v="4"/>
    <x v="2"/>
    <x v="1"/>
    <x v="4"/>
    <x v="1"/>
    <x v="2"/>
    <d v="1899-12-30T12:04:00"/>
  </r>
  <r>
    <s v="1021"/>
    <s v="901 Cedar St, Citya"/>
    <d v="2023-09-03T00:00:00"/>
    <s v="September"/>
    <x v="0"/>
    <d v="1899-12-30T13:25:00"/>
    <x v="0"/>
    <x v="0"/>
    <s v="D9"/>
    <x v="0"/>
    <s v="City E"/>
    <n v="94"/>
    <n v="24"/>
    <x v="2"/>
    <x v="0"/>
    <x v="2"/>
    <x v="1"/>
    <x v="0"/>
    <d v="1899-12-30T14:12:00"/>
  </r>
  <r>
    <s v="1142"/>
    <s v="703 Cedar St, Cityd"/>
    <d v="2023-09-06T00:00:00"/>
    <s v="September"/>
    <x v="5"/>
    <d v="1899-12-30T10:03:00"/>
    <x v="0"/>
    <x v="0"/>
    <s v="D9"/>
    <x v="1"/>
    <s v="City B"/>
    <n v="138"/>
    <n v="21"/>
    <x v="2"/>
    <x v="0"/>
    <x v="4"/>
    <x v="0"/>
    <x v="2"/>
    <d v="1899-12-30T09:50:00"/>
  </r>
  <r>
    <s v="1188"/>
    <s v="762 Elm St, Cityb"/>
    <d v="2023-09-05T00:00:00"/>
    <s v="September"/>
    <x v="6"/>
    <d v="1899-12-30T10:29:00"/>
    <x v="0"/>
    <x v="0"/>
    <s v="D9"/>
    <x v="2"/>
    <s v="City E"/>
    <n v="70"/>
    <n v="12"/>
    <x v="0"/>
    <x v="0"/>
    <x v="4"/>
    <x v="2"/>
    <x v="2"/>
    <d v="1899-12-30T15:57:00"/>
  </r>
  <r>
    <s v="1205"/>
    <s v="705 Oak St, Cityd"/>
    <d v="2023-09-06T00:00:00"/>
    <s v="September"/>
    <x v="5"/>
    <d v="1899-12-30T14:59:00"/>
    <x v="1"/>
    <x v="1"/>
    <s v="D9"/>
    <x v="2"/>
    <s v="City D"/>
    <n v="171"/>
    <n v="12"/>
    <x v="2"/>
    <x v="1"/>
    <x v="4"/>
    <x v="1"/>
    <x v="2"/>
    <d v="1899-12-30T11:28:00"/>
  </r>
  <r>
    <s v="1308"/>
    <s v="241 Cedar St, Cityd"/>
    <d v="2023-09-02T00:00:00"/>
    <s v="September"/>
    <x v="4"/>
    <d v="1899-12-30T10:48:00"/>
    <x v="1"/>
    <x v="1"/>
    <s v="D9"/>
    <x v="1"/>
    <s v="City C"/>
    <n v="62"/>
    <n v="1"/>
    <x v="2"/>
    <x v="1"/>
    <x v="0"/>
    <x v="1"/>
    <x v="2"/>
    <d v="1899-12-30T11:38:00"/>
  </r>
  <r>
    <s v="1376"/>
    <s v="352 Main St, Cityd"/>
    <d v="2023-09-01T00:00:00"/>
    <s v="September"/>
    <x v="3"/>
    <d v="1899-12-30T16:34:00"/>
    <x v="0"/>
    <x v="0"/>
    <s v="D9"/>
    <x v="1"/>
    <s v="City E"/>
    <n v="108"/>
    <n v="5"/>
    <x v="1"/>
    <x v="0"/>
    <x v="1"/>
    <x v="0"/>
    <x v="0"/>
    <d v="1899-12-30T17:56:00"/>
  </r>
  <r>
    <s v="1555"/>
    <s v="929 Elm St, Citya"/>
    <d v="2023-09-01T00:00:00"/>
    <s v="September"/>
    <x v="3"/>
    <d v="1899-12-30T09:23:00"/>
    <x v="1"/>
    <x v="1"/>
    <s v="D9"/>
    <x v="2"/>
    <s v="City A"/>
    <n v="222"/>
    <n v="2"/>
    <x v="2"/>
    <x v="1"/>
    <x v="4"/>
    <x v="2"/>
    <x v="2"/>
    <d v="1899-12-30T12:40:00"/>
  </r>
  <r>
    <s v="1685"/>
    <s v="984 Main St, Citye"/>
    <d v="2023-09-04T00:00:00"/>
    <s v="September"/>
    <x v="1"/>
    <d v="1899-12-30T10:02:00"/>
    <x v="0"/>
    <x v="0"/>
    <s v="D9"/>
    <x v="0"/>
    <s v="City C"/>
    <n v="228"/>
    <n v="20"/>
    <x v="0"/>
    <x v="0"/>
    <x v="2"/>
    <x v="0"/>
    <x v="2"/>
    <d v="1899-12-30T15:31:00"/>
  </r>
  <r>
    <s v="1744"/>
    <s v="385 Oak St, Cityc"/>
    <d v="2023-09-08T00:00:00"/>
    <s v="September"/>
    <x v="3"/>
    <d v="1899-12-30T16:36:00"/>
    <x v="0"/>
    <x v="0"/>
    <s v="D9"/>
    <x v="0"/>
    <s v="City D"/>
    <n v="163"/>
    <n v="2"/>
    <x v="2"/>
    <x v="0"/>
    <x v="1"/>
    <x v="1"/>
    <x v="1"/>
    <d v="1899-12-30T15:03:00"/>
  </r>
  <r>
    <s v="1779"/>
    <s v="677 Pine St, Cityc"/>
    <d v="2023-09-07T00:00:00"/>
    <s v="September"/>
    <x v="2"/>
    <d v="1899-12-30T16:05:00"/>
    <x v="0"/>
    <x v="0"/>
    <s v="D9"/>
    <x v="0"/>
    <s v="City A"/>
    <n v="98"/>
    <n v="1"/>
    <x v="0"/>
    <x v="0"/>
    <x v="0"/>
    <x v="1"/>
    <x v="0"/>
    <d v="1899-12-30T16:49:00"/>
  </r>
  <r>
    <s v="1822"/>
    <s v="603 Elm St, Cityd"/>
    <d v="2023-09-08T00:00:00"/>
    <s v="September"/>
    <x v="3"/>
    <d v="1899-12-30T16:47:00"/>
    <x v="0"/>
    <x v="0"/>
    <s v="D9"/>
    <x v="0"/>
    <s v="City A"/>
    <n v="113"/>
    <n v="8"/>
    <x v="1"/>
    <x v="0"/>
    <x v="3"/>
    <x v="0"/>
    <x v="2"/>
    <d v="1899-12-30T10:19:00"/>
  </r>
  <r>
    <s v="2009"/>
    <s v="933 Cedar St, Cityc"/>
    <d v="2023-09-06T00:00:00"/>
    <s v="September"/>
    <x v="5"/>
    <d v="1899-12-30T12:54:00"/>
    <x v="0"/>
    <x v="0"/>
    <s v="D9"/>
    <x v="1"/>
    <s v="City A"/>
    <n v="88"/>
    <n v="1"/>
    <x v="2"/>
    <x v="0"/>
    <x v="1"/>
    <x v="2"/>
    <x v="2"/>
    <d v="1899-12-30T14:00:00"/>
  </r>
  <r>
    <s v="2241"/>
    <s v="97 Cedar St, Cityd"/>
    <d v="2023-09-06T00:00:00"/>
    <s v="September"/>
    <x v="5"/>
    <d v="1899-12-30T08:00:00"/>
    <x v="0"/>
    <x v="0"/>
    <s v="D9"/>
    <x v="0"/>
    <s v="City E"/>
    <n v="161"/>
    <n v="7"/>
    <x v="0"/>
    <x v="0"/>
    <x v="0"/>
    <x v="1"/>
    <x v="0"/>
    <d v="1899-12-30T09:13:00"/>
  </r>
  <r>
    <s v="2289"/>
    <s v="532 Main St, Citya"/>
    <d v="2023-09-03T00:00:00"/>
    <s v="September"/>
    <x v="0"/>
    <d v="1899-12-30T11:19:00"/>
    <x v="0"/>
    <x v="0"/>
    <s v="D9"/>
    <x v="0"/>
    <s v="City B"/>
    <n v="170"/>
    <n v="24"/>
    <x v="0"/>
    <x v="0"/>
    <x v="1"/>
    <x v="1"/>
    <x v="1"/>
    <d v="1899-12-30T10:08:00"/>
  </r>
  <r>
    <s v="2403"/>
    <s v="946 Main St, Cityb"/>
    <d v="2023-09-01T00:00:00"/>
    <s v="September"/>
    <x v="3"/>
    <d v="1899-12-30T14:59:00"/>
    <x v="1"/>
    <x v="1"/>
    <s v="D9"/>
    <x v="1"/>
    <s v="City E"/>
    <n v="130"/>
    <n v="6"/>
    <x v="0"/>
    <x v="1"/>
    <x v="4"/>
    <x v="0"/>
    <x v="2"/>
    <d v="1899-12-30T17:49:00"/>
  </r>
  <r>
    <s v="2480"/>
    <s v="444 Cedar St, Cityc"/>
    <d v="2023-09-02T00:00:00"/>
    <s v="September"/>
    <x v="4"/>
    <d v="1899-12-30T11:25:00"/>
    <x v="1"/>
    <x v="1"/>
    <s v="D9"/>
    <x v="2"/>
    <s v="City A"/>
    <n v="155"/>
    <n v="9"/>
    <x v="2"/>
    <x v="1"/>
    <x v="3"/>
    <x v="1"/>
    <x v="0"/>
    <d v="1899-12-30T08:40:00"/>
  </r>
  <r>
    <s v="1029"/>
    <s v="652 Cedar St, Cityd"/>
    <d v="2023-09-07T00:00:00"/>
    <s v="September"/>
    <x v="2"/>
    <d v="1899-12-30T16:45:00"/>
    <x v="0"/>
    <x v="0"/>
    <s v="D90"/>
    <x v="1"/>
    <s v="City E"/>
    <n v="196"/>
    <n v="13"/>
    <x v="2"/>
    <x v="0"/>
    <x v="3"/>
    <x v="0"/>
    <x v="2"/>
    <d v="1899-12-30T10:10:00"/>
  </r>
  <r>
    <s v="1469"/>
    <s v="89 Cedar St, Cityc"/>
    <d v="2023-09-07T00:00:00"/>
    <s v="September"/>
    <x v="2"/>
    <d v="1899-12-30T08:12:00"/>
    <x v="1"/>
    <x v="1"/>
    <s v="D90"/>
    <x v="0"/>
    <s v="City E"/>
    <n v="70"/>
    <n v="8"/>
    <x v="2"/>
    <x v="1"/>
    <x v="1"/>
    <x v="2"/>
    <x v="2"/>
    <d v="1899-12-30T09:17:00"/>
  </r>
  <r>
    <s v="1772"/>
    <s v="292 Oak St, Citya"/>
    <d v="2023-09-04T00:00:00"/>
    <s v="September"/>
    <x v="1"/>
    <d v="1899-12-30T10:02:00"/>
    <x v="1"/>
    <x v="1"/>
    <s v="D90"/>
    <x v="0"/>
    <s v="City D"/>
    <n v="114"/>
    <n v="3"/>
    <x v="2"/>
    <x v="1"/>
    <x v="1"/>
    <x v="2"/>
    <x v="1"/>
    <d v="1899-12-30T09:50:00"/>
  </r>
  <r>
    <s v="1904"/>
    <s v="228 Pine St, Cityb"/>
    <d v="2023-09-03T00:00:00"/>
    <s v="September"/>
    <x v="0"/>
    <d v="1899-12-30T13:45:00"/>
    <x v="1"/>
    <x v="1"/>
    <s v="D90"/>
    <x v="2"/>
    <s v="City E"/>
    <n v="229"/>
    <n v="10"/>
    <x v="1"/>
    <x v="1"/>
    <x v="3"/>
    <x v="2"/>
    <x v="1"/>
    <d v="1899-12-30T10:46:00"/>
  </r>
  <r>
    <s v="2064"/>
    <s v="493 Elm St, Cityb"/>
    <d v="2023-09-07T00:00:00"/>
    <s v="September"/>
    <x v="2"/>
    <d v="1899-12-30T15:00:00"/>
    <x v="1"/>
    <x v="1"/>
    <s v="D90"/>
    <x v="2"/>
    <s v="City A"/>
    <n v="170"/>
    <n v="28"/>
    <x v="2"/>
    <x v="1"/>
    <x v="1"/>
    <x v="0"/>
    <x v="2"/>
    <d v="1899-12-30T17:01:00"/>
  </r>
  <r>
    <s v="2249"/>
    <s v="741 Main St, Citya"/>
    <d v="2023-09-03T00:00:00"/>
    <s v="September"/>
    <x v="0"/>
    <d v="1899-12-30T13:35:00"/>
    <x v="1"/>
    <x v="1"/>
    <s v="D90"/>
    <x v="1"/>
    <s v="City A"/>
    <n v="154"/>
    <n v="12"/>
    <x v="1"/>
    <x v="1"/>
    <x v="2"/>
    <x v="1"/>
    <x v="2"/>
    <d v="1899-12-30T15:06:00"/>
  </r>
  <r>
    <s v="2276"/>
    <s v="143 Pine St, Cityb"/>
    <d v="2023-09-08T00:00:00"/>
    <s v="September"/>
    <x v="3"/>
    <d v="1899-12-30T10:29:00"/>
    <x v="0"/>
    <x v="0"/>
    <s v="D90"/>
    <x v="1"/>
    <s v="City B"/>
    <n v="97"/>
    <n v="22"/>
    <x v="2"/>
    <x v="0"/>
    <x v="1"/>
    <x v="1"/>
    <x v="0"/>
    <d v="1899-12-30T10:26:00"/>
  </r>
  <r>
    <s v="2315"/>
    <s v="630 Main St, Citya"/>
    <d v="2023-09-03T00:00:00"/>
    <s v="September"/>
    <x v="0"/>
    <d v="1899-12-30T10:25:00"/>
    <x v="0"/>
    <x v="0"/>
    <s v="D90"/>
    <x v="2"/>
    <s v="City E"/>
    <n v="170"/>
    <n v="12"/>
    <x v="2"/>
    <x v="0"/>
    <x v="1"/>
    <x v="1"/>
    <x v="2"/>
    <d v="1899-12-30T15:35:00"/>
  </r>
  <r>
    <s v="1022"/>
    <s v="571 Main St, Cityc"/>
    <d v="2023-09-06T00:00:00"/>
    <s v="September"/>
    <x v="5"/>
    <d v="1899-12-30T12:05:00"/>
    <x v="1"/>
    <x v="1"/>
    <s v="D91"/>
    <x v="0"/>
    <s v="City B"/>
    <n v="232"/>
    <n v="21"/>
    <x v="2"/>
    <x v="1"/>
    <x v="1"/>
    <x v="2"/>
    <x v="2"/>
    <d v="1899-12-30T13:51:00"/>
  </r>
  <r>
    <s v="1108"/>
    <s v="481 Pine St, Citya"/>
    <d v="2023-09-08T00:00:00"/>
    <s v="September"/>
    <x v="3"/>
    <d v="1899-12-30T13:30:00"/>
    <x v="0"/>
    <x v="0"/>
    <s v="D91"/>
    <x v="1"/>
    <s v="City A"/>
    <n v="203"/>
    <n v="24"/>
    <x v="0"/>
    <x v="0"/>
    <x v="3"/>
    <x v="0"/>
    <x v="1"/>
    <d v="1899-12-30T09:55:00"/>
  </r>
  <r>
    <s v="1208"/>
    <s v="970 Cedar St, Cityc"/>
    <d v="2023-09-01T00:00:00"/>
    <s v="September"/>
    <x v="3"/>
    <d v="1899-12-30T11:54:00"/>
    <x v="1"/>
    <x v="1"/>
    <s v="D91"/>
    <x v="0"/>
    <s v="City C"/>
    <n v="135"/>
    <n v="21"/>
    <x v="0"/>
    <x v="1"/>
    <x v="3"/>
    <x v="0"/>
    <x v="1"/>
    <d v="1899-12-30T13:42:00"/>
  </r>
  <r>
    <s v="1213"/>
    <s v="114 Elm St, Cityc"/>
    <d v="2023-09-08T00:00:00"/>
    <s v="September"/>
    <x v="3"/>
    <d v="1899-12-30T15:14:00"/>
    <x v="0"/>
    <x v="0"/>
    <s v="D91"/>
    <x v="1"/>
    <s v="City C"/>
    <n v="129"/>
    <n v="5"/>
    <x v="1"/>
    <x v="0"/>
    <x v="1"/>
    <x v="2"/>
    <x v="0"/>
    <d v="1899-12-30T08:55:00"/>
  </r>
  <r>
    <s v="1365"/>
    <s v="27 Pine St, Cityc"/>
    <d v="2023-09-01T00:00:00"/>
    <s v="September"/>
    <x v="3"/>
    <d v="1899-12-30T14:21:00"/>
    <x v="0"/>
    <x v="0"/>
    <s v="D91"/>
    <x v="2"/>
    <s v="City C"/>
    <n v="85"/>
    <n v="9"/>
    <x v="0"/>
    <x v="0"/>
    <x v="0"/>
    <x v="2"/>
    <x v="0"/>
    <d v="1899-12-30T14:21:00"/>
  </r>
  <r>
    <s v="1704"/>
    <s v="880 Pine St, Cityc"/>
    <d v="2023-09-01T00:00:00"/>
    <s v="September"/>
    <x v="3"/>
    <d v="1899-12-30T11:01:00"/>
    <x v="1"/>
    <x v="1"/>
    <s v="D91"/>
    <x v="1"/>
    <s v="City C"/>
    <n v="108"/>
    <n v="26"/>
    <x v="2"/>
    <x v="1"/>
    <x v="0"/>
    <x v="1"/>
    <x v="0"/>
    <d v="1899-12-30T14:57:00"/>
  </r>
  <r>
    <s v="1721"/>
    <s v="526 Main St, Citye"/>
    <d v="2023-09-07T00:00:00"/>
    <s v="September"/>
    <x v="2"/>
    <d v="1899-12-30T08:40:00"/>
    <x v="1"/>
    <x v="1"/>
    <s v="D91"/>
    <x v="2"/>
    <s v="City A"/>
    <n v="90"/>
    <n v="24"/>
    <x v="1"/>
    <x v="1"/>
    <x v="2"/>
    <x v="2"/>
    <x v="1"/>
    <d v="1899-12-30T08:23:00"/>
  </r>
  <r>
    <s v="1901"/>
    <s v="685 Cedar St, Cityc"/>
    <d v="2023-09-01T00:00:00"/>
    <s v="September"/>
    <x v="3"/>
    <d v="1899-12-30T15:10:00"/>
    <x v="0"/>
    <x v="0"/>
    <s v="D91"/>
    <x v="1"/>
    <s v="City E"/>
    <n v="214"/>
    <n v="16"/>
    <x v="2"/>
    <x v="0"/>
    <x v="3"/>
    <x v="0"/>
    <x v="1"/>
    <d v="1899-12-30T17:17:00"/>
  </r>
  <r>
    <s v="1983"/>
    <s v="958 Cedar St, Citye"/>
    <d v="2023-09-07T00:00:00"/>
    <s v="September"/>
    <x v="2"/>
    <d v="1899-12-30T10:28:00"/>
    <x v="1"/>
    <x v="1"/>
    <s v="D91"/>
    <x v="2"/>
    <s v="City A"/>
    <n v="203"/>
    <n v="24"/>
    <x v="1"/>
    <x v="1"/>
    <x v="4"/>
    <x v="1"/>
    <x v="0"/>
    <d v="1899-12-30T11:04:00"/>
  </r>
  <r>
    <s v="2041"/>
    <s v="485 Cedar St, Citya"/>
    <d v="2023-09-08T00:00:00"/>
    <s v="September"/>
    <x v="3"/>
    <d v="1899-12-30T10:38:00"/>
    <x v="0"/>
    <x v="0"/>
    <s v="D91"/>
    <x v="0"/>
    <s v="City D"/>
    <n v="218"/>
    <n v="28"/>
    <x v="1"/>
    <x v="0"/>
    <x v="1"/>
    <x v="0"/>
    <x v="2"/>
    <d v="1899-12-30T16:07:00"/>
  </r>
  <r>
    <s v="2134"/>
    <s v="574 Pine St, Cityd"/>
    <d v="2023-09-02T00:00:00"/>
    <s v="September"/>
    <x v="4"/>
    <d v="1899-12-30T10:21:00"/>
    <x v="0"/>
    <x v="0"/>
    <s v="D91"/>
    <x v="2"/>
    <s v="City D"/>
    <n v="64"/>
    <n v="18"/>
    <x v="2"/>
    <x v="0"/>
    <x v="2"/>
    <x v="1"/>
    <x v="1"/>
    <d v="1899-12-30T12:32:00"/>
  </r>
  <r>
    <s v="2443"/>
    <s v="753 Pine St, Citye"/>
    <d v="2023-09-04T00:00:00"/>
    <s v="September"/>
    <x v="1"/>
    <d v="1899-12-30T10:19:00"/>
    <x v="0"/>
    <x v="0"/>
    <s v="D91"/>
    <x v="0"/>
    <s v="City A"/>
    <n v="80"/>
    <n v="7"/>
    <x v="0"/>
    <x v="0"/>
    <x v="2"/>
    <x v="2"/>
    <x v="0"/>
    <d v="1899-12-30T16:54:00"/>
  </r>
  <r>
    <s v="2481"/>
    <s v="520 Oak St, Cityb"/>
    <d v="2023-09-08T00:00:00"/>
    <s v="September"/>
    <x v="3"/>
    <d v="1899-12-30T13:59:00"/>
    <x v="0"/>
    <x v="0"/>
    <s v="D91"/>
    <x v="2"/>
    <s v="City B"/>
    <n v="224"/>
    <n v="14"/>
    <x v="0"/>
    <x v="0"/>
    <x v="0"/>
    <x v="2"/>
    <x v="1"/>
    <d v="1899-12-30T08:53:00"/>
  </r>
  <r>
    <s v="1166"/>
    <s v="884 Pine St, Cityc"/>
    <d v="2023-09-05T00:00:00"/>
    <s v="September"/>
    <x v="6"/>
    <d v="1899-12-30T08:05:00"/>
    <x v="1"/>
    <x v="1"/>
    <s v="D92"/>
    <x v="2"/>
    <s v="City C"/>
    <n v="155"/>
    <n v="13"/>
    <x v="2"/>
    <x v="1"/>
    <x v="2"/>
    <x v="0"/>
    <x v="0"/>
    <d v="1899-12-30T10:06:00"/>
  </r>
  <r>
    <s v="1229"/>
    <s v="927 Pine St, Cityd"/>
    <d v="2023-09-03T00:00:00"/>
    <s v="September"/>
    <x v="0"/>
    <d v="1899-12-30T14:53:00"/>
    <x v="0"/>
    <x v="0"/>
    <s v="D92"/>
    <x v="2"/>
    <s v="City A"/>
    <n v="75"/>
    <n v="1"/>
    <x v="2"/>
    <x v="0"/>
    <x v="0"/>
    <x v="0"/>
    <x v="1"/>
    <d v="1899-12-30T09:13:00"/>
  </r>
  <r>
    <s v="1552"/>
    <s v="67 Main St, Cityc"/>
    <d v="2023-09-04T00:00:00"/>
    <s v="September"/>
    <x v="1"/>
    <d v="1899-12-30T08:33:00"/>
    <x v="1"/>
    <x v="1"/>
    <s v="D92"/>
    <x v="1"/>
    <s v="City A"/>
    <n v="101"/>
    <n v="8"/>
    <x v="1"/>
    <x v="1"/>
    <x v="0"/>
    <x v="1"/>
    <x v="0"/>
    <d v="1899-12-30T13:49:00"/>
  </r>
  <r>
    <s v="1581"/>
    <s v="848 Oak St, Cityd"/>
    <d v="2023-09-07T00:00:00"/>
    <s v="September"/>
    <x v="2"/>
    <d v="1899-12-30T08:20:00"/>
    <x v="1"/>
    <x v="1"/>
    <s v="D92"/>
    <x v="1"/>
    <s v="City D"/>
    <n v="76"/>
    <n v="10"/>
    <x v="1"/>
    <x v="1"/>
    <x v="2"/>
    <x v="2"/>
    <x v="0"/>
    <d v="1899-12-30T14:39:00"/>
  </r>
  <r>
    <s v="1626"/>
    <s v="471 Cedar St, Cityc"/>
    <d v="2023-09-07T00:00:00"/>
    <s v="September"/>
    <x v="2"/>
    <d v="1899-12-30T13:49:00"/>
    <x v="0"/>
    <x v="0"/>
    <s v="D92"/>
    <x v="0"/>
    <s v="City C"/>
    <n v="189"/>
    <n v="26"/>
    <x v="2"/>
    <x v="0"/>
    <x v="0"/>
    <x v="2"/>
    <x v="1"/>
    <d v="1899-12-30T11:14:00"/>
  </r>
  <r>
    <s v="1710"/>
    <s v="296 Cedar St, Cityd"/>
    <d v="2023-09-06T00:00:00"/>
    <s v="September"/>
    <x v="5"/>
    <d v="1899-12-30T11:24:00"/>
    <x v="1"/>
    <x v="1"/>
    <s v="D92"/>
    <x v="2"/>
    <s v="City D"/>
    <n v="194"/>
    <n v="17"/>
    <x v="1"/>
    <x v="1"/>
    <x v="2"/>
    <x v="2"/>
    <x v="0"/>
    <d v="1899-12-30T17:32:00"/>
  </r>
  <r>
    <s v="1830"/>
    <s v="505 Main St, Cityb"/>
    <d v="2023-09-01T00:00:00"/>
    <s v="September"/>
    <x v="3"/>
    <d v="1899-12-30T13:42:00"/>
    <x v="0"/>
    <x v="0"/>
    <s v="D92"/>
    <x v="0"/>
    <s v="City A"/>
    <n v="80"/>
    <n v="8"/>
    <x v="0"/>
    <x v="0"/>
    <x v="2"/>
    <x v="0"/>
    <x v="0"/>
    <d v="1899-12-30T16:06:00"/>
  </r>
  <r>
    <s v="2054"/>
    <s v="765 Pine St, Citya"/>
    <d v="2023-09-05T00:00:00"/>
    <s v="September"/>
    <x v="6"/>
    <d v="1899-12-30T14:54:00"/>
    <x v="0"/>
    <x v="0"/>
    <s v="D92"/>
    <x v="2"/>
    <s v="City B"/>
    <n v="142"/>
    <n v="22"/>
    <x v="1"/>
    <x v="0"/>
    <x v="3"/>
    <x v="1"/>
    <x v="2"/>
    <d v="1899-12-30T09:02:00"/>
  </r>
  <r>
    <s v="2107"/>
    <s v="63 Pine St, Cityb"/>
    <d v="2023-09-07T00:00:00"/>
    <s v="September"/>
    <x v="2"/>
    <d v="1899-12-30T09:42:00"/>
    <x v="0"/>
    <x v="0"/>
    <s v="D92"/>
    <x v="2"/>
    <s v="City E"/>
    <n v="98"/>
    <n v="26"/>
    <x v="2"/>
    <x v="0"/>
    <x v="3"/>
    <x v="1"/>
    <x v="1"/>
    <d v="1899-12-30T13:57:00"/>
  </r>
  <r>
    <s v="2153"/>
    <s v="31 Main St, Citya"/>
    <d v="2023-09-03T00:00:00"/>
    <s v="September"/>
    <x v="0"/>
    <d v="1899-12-30T10:11:00"/>
    <x v="1"/>
    <x v="1"/>
    <s v="D92"/>
    <x v="2"/>
    <s v="City D"/>
    <n v="181"/>
    <n v="16"/>
    <x v="2"/>
    <x v="1"/>
    <x v="3"/>
    <x v="1"/>
    <x v="0"/>
    <d v="1899-12-30T14:43:00"/>
  </r>
  <r>
    <s v="2199"/>
    <s v="757 Main St, Cityc"/>
    <d v="2023-09-01T00:00:00"/>
    <s v="September"/>
    <x v="3"/>
    <d v="1899-12-30T11:41:00"/>
    <x v="0"/>
    <x v="0"/>
    <s v="D92"/>
    <x v="1"/>
    <s v="City D"/>
    <n v="68"/>
    <n v="4"/>
    <x v="1"/>
    <x v="0"/>
    <x v="3"/>
    <x v="1"/>
    <x v="2"/>
    <d v="1899-12-30T11:35:00"/>
  </r>
  <r>
    <s v="2312"/>
    <s v="884 Cedar St, Citye"/>
    <d v="2023-09-07T00:00:00"/>
    <s v="September"/>
    <x v="2"/>
    <d v="1899-12-30T16:51:00"/>
    <x v="1"/>
    <x v="1"/>
    <s v="D92"/>
    <x v="0"/>
    <s v="City D"/>
    <n v="130"/>
    <n v="28"/>
    <x v="1"/>
    <x v="1"/>
    <x v="3"/>
    <x v="2"/>
    <x v="2"/>
    <d v="1899-12-30T10:06:00"/>
  </r>
  <r>
    <s v="2318"/>
    <s v="842 Main St, Citye"/>
    <d v="2023-09-03T00:00:00"/>
    <s v="September"/>
    <x v="0"/>
    <d v="1899-12-30T08:53:00"/>
    <x v="1"/>
    <x v="1"/>
    <s v="D92"/>
    <x v="2"/>
    <s v="City D"/>
    <n v="94"/>
    <n v="18"/>
    <x v="2"/>
    <x v="1"/>
    <x v="1"/>
    <x v="1"/>
    <x v="2"/>
    <d v="1899-12-30T10:01:00"/>
  </r>
  <r>
    <s v="1132"/>
    <s v="634 Elm St, Cityc"/>
    <d v="2023-09-02T00:00:00"/>
    <s v="September"/>
    <x v="4"/>
    <d v="1899-12-30T12:26:00"/>
    <x v="1"/>
    <x v="1"/>
    <s v="D93"/>
    <x v="1"/>
    <s v="City B"/>
    <n v="69"/>
    <n v="23"/>
    <x v="0"/>
    <x v="1"/>
    <x v="3"/>
    <x v="2"/>
    <x v="2"/>
    <d v="1899-12-30T14:50:00"/>
  </r>
  <r>
    <s v="1195"/>
    <s v="426 Main St, Citye"/>
    <d v="2023-09-05T00:00:00"/>
    <s v="September"/>
    <x v="6"/>
    <d v="1899-12-30T10:09:00"/>
    <x v="1"/>
    <x v="1"/>
    <s v="D93"/>
    <x v="0"/>
    <s v="City E"/>
    <n v="146"/>
    <n v="12"/>
    <x v="0"/>
    <x v="1"/>
    <x v="4"/>
    <x v="2"/>
    <x v="1"/>
    <d v="1899-12-30T15:13:00"/>
  </r>
  <r>
    <s v="1306"/>
    <s v="976 Oak St, Cityd"/>
    <d v="2023-09-07T00:00:00"/>
    <s v="September"/>
    <x v="2"/>
    <d v="1899-12-30T16:59:00"/>
    <x v="0"/>
    <x v="0"/>
    <s v="D93"/>
    <x v="0"/>
    <s v="City A"/>
    <n v="171"/>
    <n v="15"/>
    <x v="1"/>
    <x v="0"/>
    <x v="1"/>
    <x v="2"/>
    <x v="0"/>
    <d v="1899-12-30T15:57:00"/>
  </r>
  <r>
    <s v="1439"/>
    <s v="89 Elm St, Cityd"/>
    <d v="2023-09-04T00:00:00"/>
    <s v="September"/>
    <x v="1"/>
    <d v="1899-12-30T16:08:00"/>
    <x v="1"/>
    <x v="1"/>
    <s v="D93"/>
    <x v="1"/>
    <s v="City D"/>
    <n v="200"/>
    <n v="20"/>
    <x v="1"/>
    <x v="1"/>
    <x v="4"/>
    <x v="1"/>
    <x v="2"/>
    <d v="1899-12-30T16:00:00"/>
  </r>
  <r>
    <s v="1519"/>
    <s v="389 Oak St, Cityb"/>
    <d v="2023-09-08T00:00:00"/>
    <s v="September"/>
    <x v="3"/>
    <d v="1899-12-30T16:53:00"/>
    <x v="0"/>
    <x v="0"/>
    <s v="D93"/>
    <x v="1"/>
    <s v="City B"/>
    <n v="172"/>
    <n v="27"/>
    <x v="1"/>
    <x v="0"/>
    <x v="0"/>
    <x v="2"/>
    <x v="0"/>
    <d v="1899-12-30T12:38:00"/>
  </r>
  <r>
    <s v="1656"/>
    <s v="978 Elm St, Citya"/>
    <d v="2023-09-01T00:00:00"/>
    <s v="September"/>
    <x v="3"/>
    <d v="1899-12-30T09:38:00"/>
    <x v="0"/>
    <x v="0"/>
    <s v="D93"/>
    <x v="2"/>
    <s v="City A"/>
    <n v="152"/>
    <n v="20"/>
    <x v="1"/>
    <x v="0"/>
    <x v="3"/>
    <x v="0"/>
    <x v="0"/>
    <d v="1899-12-30T13:14:00"/>
  </r>
  <r>
    <s v="1718"/>
    <s v="157 Cedar St, Cityb"/>
    <d v="2023-09-01T00:00:00"/>
    <s v="September"/>
    <x v="3"/>
    <d v="1899-12-30T09:00:00"/>
    <x v="1"/>
    <x v="1"/>
    <s v="D93"/>
    <x v="0"/>
    <s v="City E"/>
    <n v="90"/>
    <n v="9"/>
    <x v="0"/>
    <x v="1"/>
    <x v="0"/>
    <x v="0"/>
    <x v="0"/>
    <d v="1899-12-30T11:38:00"/>
  </r>
  <r>
    <s v="1813"/>
    <s v="307 Main St, Cityb"/>
    <d v="2023-09-04T00:00:00"/>
    <s v="September"/>
    <x v="1"/>
    <d v="1899-12-30T10:29:00"/>
    <x v="1"/>
    <x v="1"/>
    <s v="D93"/>
    <x v="2"/>
    <s v="City B"/>
    <n v="128"/>
    <n v="0"/>
    <x v="2"/>
    <x v="1"/>
    <x v="1"/>
    <x v="0"/>
    <x v="0"/>
    <d v="1899-12-30T09:50:00"/>
  </r>
  <r>
    <s v="1846"/>
    <s v="659 Cedar St, Citya"/>
    <d v="2023-09-02T00:00:00"/>
    <s v="September"/>
    <x v="4"/>
    <d v="1899-12-30T12:08:00"/>
    <x v="0"/>
    <x v="0"/>
    <s v="D93"/>
    <x v="0"/>
    <s v="City E"/>
    <n v="168"/>
    <n v="12"/>
    <x v="1"/>
    <x v="0"/>
    <x v="1"/>
    <x v="2"/>
    <x v="1"/>
    <d v="1899-12-30T09:38:00"/>
  </r>
  <r>
    <s v="1867"/>
    <s v="161 Pine St, Cityb"/>
    <d v="2023-09-08T00:00:00"/>
    <s v="September"/>
    <x v="3"/>
    <d v="1899-12-30T11:42:00"/>
    <x v="0"/>
    <x v="0"/>
    <s v="D93"/>
    <x v="1"/>
    <s v="City A"/>
    <n v="186"/>
    <n v="15"/>
    <x v="0"/>
    <x v="0"/>
    <x v="2"/>
    <x v="2"/>
    <x v="1"/>
    <d v="1899-12-30T10:22:00"/>
  </r>
  <r>
    <s v="1948"/>
    <s v="330 Oak St, Cityb"/>
    <d v="2023-09-08T00:00:00"/>
    <s v="September"/>
    <x v="3"/>
    <d v="1899-12-30T14:43:00"/>
    <x v="0"/>
    <x v="0"/>
    <s v="D93"/>
    <x v="1"/>
    <s v="City D"/>
    <n v="120"/>
    <n v="16"/>
    <x v="2"/>
    <x v="0"/>
    <x v="4"/>
    <x v="1"/>
    <x v="2"/>
    <d v="1899-12-30T11:11:00"/>
  </r>
  <r>
    <s v="2008"/>
    <s v="998 Cedar St, Cityd"/>
    <d v="2023-09-01T00:00:00"/>
    <s v="September"/>
    <x v="3"/>
    <d v="1899-12-30T14:44:00"/>
    <x v="0"/>
    <x v="0"/>
    <s v="D93"/>
    <x v="1"/>
    <s v="City D"/>
    <n v="79"/>
    <n v="12"/>
    <x v="0"/>
    <x v="0"/>
    <x v="0"/>
    <x v="2"/>
    <x v="1"/>
    <d v="1899-12-30T10:19:00"/>
  </r>
  <r>
    <s v="2036"/>
    <s v="63 Main St, Cityd"/>
    <d v="2023-09-05T00:00:00"/>
    <s v="September"/>
    <x v="6"/>
    <d v="1899-12-30T12:14:00"/>
    <x v="0"/>
    <x v="0"/>
    <s v="D93"/>
    <x v="0"/>
    <s v="City E"/>
    <n v="173"/>
    <n v="2"/>
    <x v="0"/>
    <x v="0"/>
    <x v="2"/>
    <x v="2"/>
    <x v="0"/>
    <d v="1899-12-30T08:17:00"/>
  </r>
  <r>
    <s v="2111"/>
    <s v="158 Main St, Cityb"/>
    <d v="2023-09-06T00:00:00"/>
    <s v="September"/>
    <x v="5"/>
    <d v="1899-12-30T13:48:00"/>
    <x v="1"/>
    <x v="1"/>
    <s v="D93"/>
    <x v="0"/>
    <s v="City D"/>
    <n v="75"/>
    <n v="3"/>
    <x v="0"/>
    <x v="1"/>
    <x v="1"/>
    <x v="1"/>
    <x v="1"/>
    <d v="1899-12-30T09:16:00"/>
  </r>
  <r>
    <s v="2198"/>
    <s v="912 Cedar St, Citye"/>
    <d v="2023-09-02T00:00:00"/>
    <s v="September"/>
    <x v="4"/>
    <d v="1899-12-30T11:13:00"/>
    <x v="1"/>
    <x v="1"/>
    <s v="D93"/>
    <x v="0"/>
    <s v="City E"/>
    <n v="225"/>
    <n v="11"/>
    <x v="1"/>
    <x v="1"/>
    <x v="3"/>
    <x v="0"/>
    <x v="2"/>
    <d v="1899-12-30T08:55:00"/>
  </r>
  <r>
    <s v="2309"/>
    <s v="6 Cedar St, Cityd"/>
    <d v="2023-09-01T00:00:00"/>
    <s v="September"/>
    <x v="3"/>
    <d v="1899-12-30T14:18:00"/>
    <x v="1"/>
    <x v="1"/>
    <s v="D93"/>
    <x v="2"/>
    <s v="City C"/>
    <n v="225"/>
    <n v="9"/>
    <x v="0"/>
    <x v="1"/>
    <x v="3"/>
    <x v="1"/>
    <x v="1"/>
    <d v="1899-12-30T09:24:00"/>
  </r>
  <r>
    <s v="2425"/>
    <s v="315 Oak St, Citye"/>
    <d v="2023-09-06T00:00:00"/>
    <s v="September"/>
    <x v="5"/>
    <d v="1899-12-30T12:57:00"/>
    <x v="0"/>
    <x v="0"/>
    <s v="D93"/>
    <x v="2"/>
    <s v="City E"/>
    <n v="99"/>
    <n v="17"/>
    <x v="0"/>
    <x v="0"/>
    <x v="0"/>
    <x v="1"/>
    <x v="2"/>
    <d v="1899-12-30T14:24:00"/>
  </r>
  <r>
    <s v="2498"/>
    <s v="878 Cedar St, Citye"/>
    <d v="2023-09-03T00:00:00"/>
    <s v="September"/>
    <x v="0"/>
    <d v="1899-12-30T08:42:00"/>
    <x v="0"/>
    <x v="0"/>
    <s v="D93"/>
    <x v="1"/>
    <s v="City A"/>
    <n v="82"/>
    <n v="16"/>
    <x v="1"/>
    <x v="0"/>
    <x v="4"/>
    <x v="0"/>
    <x v="1"/>
    <d v="1899-12-30T08:56:00"/>
  </r>
  <r>
    <s v="1154"/>
    <s v="728 Cedar St, Cityb"/>
    <d v="2023-09-04T00:00:00"/>
    <s v="September"/>
    <x v="1"/>
    <d v="1899-12-30T13:43:00"/>
    <x v="0"/>
    <x v="0"/>
    <s v="D94"/>
    <x v="1"/>
    <s v="City E"/>
    <n v="215"/>
    <n v="12"/>
    <x v="2"/>
    <x v="0"/>
    <x v="1"/>
    <x v="2"/>
    <x v="2"/>
    <d v="1899-12-30T14:03:00"/>
  </r>
  <r>
    <s v="1242"/>
    <s v="383 Main St, Cityb"/>
    <d v="2023-09-03T00:00:00"/>
    <s v="September"/>
    <x v="0"/>
    <d v="1899-12-30T15:06:00"/>
    <x v="0"/>
    <x v="0"/>
    <s v="D94"/>
    <x v="2"/>
    <s v="City C"/>
    <n v="186"/>
    <n v="24"/>
    <x v="2"/>
    <x v="0"/>
    <x v="3"/>
    <x v="1"/>
    <x v="2"/>
    <d v="1899-12-30T13:30:00"/>
  </r>
  <r>
    <s v="1407"/>
    <s v="991 Cedar St, Cityd"/>
    <d v="2023-09-07T00:00:00"/>
    <s v="September"/>
    <x v="2"/>
    <d v="1899-12-30T14:31:00"/>
    <x v="0"/>
    <x v="0"/>
    <s v="D94"/>
    <x v="0"/>
    <s v="City E"/>
    <n v="141"/>
    <n v="29"/>
    <x v="0"/>
    <x v="0"/>
    <x v="2"/>
    <x v="0"/>
    <x v="1"/>
    <d v="1899-12-30T09:51:00"/>
  </r>
  <r>
    <s v="1409"/>
    <s v="43 Pine St, Citya"/>
    <d v="2023-09-01T00:00:00"/>
    <s v="September"/>
    <x v="3"/>
    <d v="1899-12-30T12:10:00"/>
    <x v="0"/>
    <x v="0"/>
    <s v="D94"/>
    <x v="2"/>
    <s v="City C"/>
    <n v="190"/>
    <n v="23"/>
    <x v="1"/>
    <x v="0"/>
    <x v="4"/>
    <x v="1"/>
    <x v="1"/>
    <d v="1899-12-30T12:55:00"/>
  </r>
  <r>
    <s v="1471"/>
    <s v="947 Oak St, Cityd"/>
    <d v="2023-09-01T00:00:00"/>
    <s v="September"/>
    <x v="3"/>
    <d v="1899-12-30T15:22:00"/>
    <x v="1"/>
    <x v="1"/>
    <s v="D94"/>
    <x v="0"/>
    <s v="City E"/>
    <n v="204"/>
    <n v="8"/>
    <x v="1"/>
    <x v="1"/>
    <x v="4"/>
    <x v="1"/>
    <x v="0"/>
    <d v="1899-12-30T16:07:00"/>
  </r>
  <r>
    <s v="1526"/>
    <s v="456 Main St, Citye"/>
    <d v="2023-09-01T00:00:00"/>
    <s v="September"/>
    <x v="3"/>
    <d v="1899-12-30T09:37:00"/>
    <x v="0"/>
    <x v="0"/>
    <s v="D94"/>
    <x v="1"/>
    <s v="City A"/>
    <n v="230"/>
    <n v="11"/>
    <x v="2"/>
    <x v="0"/>
    <x v="1"/>
    <x v="2"/>
    <x v="0"/>
    <d v="1899-12-30T11:28:00"/>
  </r>
  <r>
    <s v="1559"/>
    <s v="571 Oak St, Cityd"/>
    <d v="2023-09-04T00:00:00"/>
    <s v="September"/>
    <x v="1"/>
    <d v="1899-12-30T14:01:00"/>
    <x v="0"/>
    <x v="0"/>
    <s v="D94"/>
    <x v="1"/>
    <s v="City A"/>
    <n v="195"/>
    <n v="23"/>
    <x v="2"/>
    <x v="0"/>
    <x v="2"/>
    <x v="0"/>
    <x v="2"/>
    <d v="1899-12-30T14:23:00"/>
  </r>
  <r>
    <s v="1623"/>
    <s v="188 Pine St, Cityc"/>
    <d v="2023-09-04T00:00:00"/>
    <s v="September"/>
    <x v="1"/>
    <d v="1899-12-30T16:05:00"/>
    <x v="0"/>
    <x v="0"/>
    <s v="D94"/>
    <x v="1"/>
    <s v="City A"/>
    <n v="117"/>
    <n v="20"/>
    <x v="2"/>
    <x v="0"/>
    <x v="1"/>
    <x v="1"/>
    <x v="2"/>
    <d v="1899-12-30T11:32:00"/>
  </r>
  <r>
    <s v="1632"/>
    <s v="466 Cedar St, Citye"/>
    <d v="2023-09-01T00:00:00"/>
    <s v="September"/>
    <x v="3"/>
    <d v="1899-12-30T14:33:00"/>
    <x v="1"/>
    <x v="1"/>
    <s v="D94"/>
    <x v="2"/>
    <s v="City A"/>
    <n v="77"/>
    <n v="5"/>
    <x v="2"/>
    <x v="1"/>
    <x v="0"/>
    <x v="0"/>
    <x v="2"/>
    <d v="1899-12-30T09:24:00"/>
  </r>
  <r>
    <s v="1841"/>
    <s v="274 Cedar St, Cityc"/>
    <d v="2023-09-06T00:00:00"/>
    <s v="September"/>
    <x v="5"/>
    <d v="1899-12-30T13:12:00"/>
    <x v="1"/>
    <x v="1"/>
    <s v="D94"/>
    <x v="2"/>
    <s v="City E"/>
    <n v="124"/>
    <n v="23"/>
    <x v="0"/>
    <x v="1"/>
    <x v="1"/>
    <x v="2"/>
    <x v="0"/>
    <d v="1899-12-30T14:40:00"/>
  </r>
  <r>
    <s v="1871"/>
    <s v="675 Pine St, Cityc"/>
    <d v="2023-09-02T00:00:00"/>
    <s v="September"/>
    <x v="4"/>
    <d v="1899-12-30T10:09:00"/>
    <x v="0"/>
    <x v="0"/>
    <s v="D94"/>
    <x v="2"/>
    <s v="City C"/>
    <n v="202"/>
    <n v="16"/>
    <x v="2"/>
    <x v="0"/>
    <x v="4"/>
    <x v="1"/>
    <x v="1"/>
    <d v="1899-12-30T16:47:00"/>
  </r>
  <r>
    <s v="2055"/>
    <s v="65 Cedar St, Citya"/>
    <d v="2023-09-02T00:00:00"/>
    <s v="September"/>
    <x v="4"/>
    <d v="1899-12-30T14:59:00"/>
    <x v="0"/>
    <x v="0"/>
    <s v="D94"/>
    <x v="0"/>
    <s v="City D"/>
    <n v="92"/>
    <n v="29"/>
    <x v="1"/>
    <x v="0"/>
    <x v="0"/>
    <x v="2"/>
    <x v="1"/>
    <d v="1899-12-30T16:14:00"/>
  </r>
  <r>
    <s v="2384"/>
    <s v="541 Main St, Citye"/>
    <d v="2023-09-01T00:00:00"/>
    <s v="September"/>
    <x v="3"/>
    <d v="1899-12-30T15:04:00"/>
    <x v="1"/>
    <x v="1"/>
    <s v="D94"/>
    <x v="1"/>
    <s v="City B"/>
    <n v="206"/>
    <n v="13"/>
    <x v="0"/>
    <x v="1"/>
    <x v="3"/>
    <x v="1"/>
    <x v="0"/>
    <d v="1899-12-30T12:33:00"/>
  </r>
  <r>
    <s v="2485"/>
    <s v="291 Oak St, Cityd"/>
    <d v="2023-09-07T00:00:00"/>
    <s v="September"/>
    <x v="2"/>
    <d v="1899-12-30T16:46:00"/>
    <x v="0"/>
    <x v="0"/>
    <s v="D94"/>
    <x v="2"/>
    <s v="City B"/>
    <n v="222"/>
    <n v="4"/>
    <x v="0"/>
    <x v="0"/>
    <x v="0"/>
    <x v="2"/>
    <x v="1"/>
    <d v="1899-12-30T15:54:00"/>
  </r>
  <r>
    <s v="1243"/>
    <s v="586 Elm St, Citya"/>
    <d v="2023-09-02T00:00:00"/>
    <s v="September"/>
    <x v="4"/>
    <d v="1899-12-30T08:55:00"/>
    <x v="0"/>
    <x v="0"/>
    <s v="D95"/>
    <x v="0"/>
    <s v="City C"/>
    <n v="180"/>
    <n v="2"/>
    <x v="2"/>
    <x v="0"/>
    <x v="4"/>
    <x v="0"/>
    <x v="0"/>
    <d v="1899-12-30T08:44:00"/>
  </r>
  <r>
    <s v="1414"/>
    <s v="475 Main St, Cityb"/>
    <d v="2023-09-04T00:00:00"/>
    <s v="September"/>
    <x v="1"/>
    <d v="1899-12-30T13:14:00"/>
    <x v="1"/>
    <x v="1"/>
    <s v="D95"/>
    <x v="0"/>
    <s v="City D"/>
    <n v="89"/>
    <n v="1"/>
    <x v="2"/>
    <x v="1"/>
    <x v="0"/>
    <x v="2"/>
    <x v="0"/>
    <d v="1899-12-30T16:56:00"/>
  </r>
  <r>
    <s v="1518"/>
    <s v="742 Main St, Cityd"/>
    <d v="2023-09-01T00:00:00"/>
    <s v="September"/>
    <x v="3"/>
    <d v="1899-12-30T09:02:00"/>
    <x v="0"/>
    <x v="0"/>
    <s v="D95"/>
    <x v="2"/>
    <s v="City C"/>
    <n v="226"/>
    <n v="14"/>
    <x v="1"/>
    <x v="0"/>
    <x v="0"/>
    <x v="2"/>
    <x v="2"/>
    <d v="1899-12-30T13:03:00"/>
  </r>
  <r>
    <s v="1608"/>
    <s v="526 Elm St, Cityc"/>
    <d v="2023-09-03T00:00:00"/>
    <s v="September"/>
    <x v="0"/>
    <d v="1899-12-30T08:52:00"/>
    <x v="0"/>
    <x v="0"/>
    <s v="D95"/>
    <x v="1"/>
    <s v="City D"/>
    <n v="119"/>
    <n v="2"/>
    <x v="0"/>
    <x v="0"/>
    <x v="3"/>
    <x v="0"/>
    <x v="0"/>
    <d v="1899-12-30T15:04:00"/>
  </r>
  <r>
    <s v="1617"/>
    <s v="195 Oak St, Citye"/>
    <d v="2023-09-04T00:00:00"/>
    <s v="September"/>
    <x v="1"/>
    <d v="1899-12-30T16:36:00"/>
    <x v="0"/>
    <x v="0"/>
    <s v="D95"/>
    <x v="1"/>
    <s v="City B"/>
    <n v="174"/>
    <n v="27"/>
    <x v="2"/>
    <x v="0"/>
    <x v="0"/>
    <x v="0"/>
    <x v="2"/>
    <d v="1899-12-30T15:56:00"/>
  </r>
  <r>
    <s v="1625"/>
    <s v="735 Oak St, Citye"/>
    <d v="2023-09-03T00:00:00"/>
    <s v="September"/>
    <x v="0"/>
    <d v="1899-12-30T13:02:00"/>
    <x v="0"/>
    <x v="0"/>
    <s v="D95"/>
    <x v="1"/>
    <s v="City C"/>
    <n v="192"/>
    <n v="3"/>
    <x v="0"/>
    <x v="0"/>
    <x v="2"/>
    <x v="1"/>
    <x v="0"/>
    <d v="1899-12-30T08:14:00"/>
  </r>
  <r>
    <s v="1819"/>
    <s v="342 Oak St, Citya"/>
    <d v="2023-09-06T00:00:00"/>
    <s v="September"/>
    <x v="5"/>
    <d v="1899-12-30T13:41:00"/>
    <x v="0"/>
    <x v="0"/>
    <s v="D95"/>
    <x v="1"/>
    <s v="City E"/>
    <n v="162"/>
    <n v="27"/>
    <x v="0"/>
    <x v="0"/>
    <x v="3"/>
    <x v="2"/>
    <x v="2"/>
    <d v="1899-12-30T10:29:00"/>
  </r>
  <r>
    <s v="1834"/>
    <s v="683 Cedar St, Citya"/>
    <d v="2023-09-02T00:00:00"/>
    <s v="September"/>
    <x v="4"/>
    <d v="1899-12-30T11:04:00"/>
    <x v="0"/>
    <x v="0"/>
    <s v="D95"/>
    <x v="1"/>
    <s v="City B"/>
    <n v="61"/>
    <n v="16"/>
    <x v="0"/>
    <x v="0"/>
    <x v="0"/>
    <x v="1"/>
    <x v="0"/>
    <d v="1899-12-30T16:11:00"/>
  </r>
  <r>
    <s v="1950"/>
    <s v="464 Elm St, Citya"/>
    <d v="2023-09-06T00:00:00"/>
    <s v="September"/>
    <x v="5"/>
    <d v="1899-12-30T08:31:00"/>
    <x v="1"/>
    <x v="1"/>
    <s v="D95"/>
    <x v="0"/>
    <s v="City B"/>
    <n v="65"/>
    <n v="20"/>
    <x v="2"/>
    <x v="1"/>
    <x v="1"/>
    <x v="2"/>
    <x v="1"/>
    <d v="1899-12-30T11:02:00"/>
  </r>
  <r>
    <s v="1963"/>
    <s v="40 Main St, Citya"/>
    <d v="2023-09-07T00:00:00"/>
    <s v="September"/>
    <x v="2"/>
    <d v="1899-12-30T13:05:00"/>
    <x v="0"/>
    <x v="0"/>
    <s v="D95"/>
    <x v="1"/>
    <s v="City C"/>
    <n v="230"/>
    <n v="21"/>
    <x v="2"/>
    <x v="0"/>
    <x v="0"/>
    <x v="2"/>
    <x v="1"/>
    <d v="1899-12-30T14:10:00"/>
  </r>
  <r>
    <s v="2255"/>
    <s v="11 Elm St, Cityb"/>
    <d v="2023-09-04T00:00:00"/>
    <s v="September"/>
    <x v="1"/>
    <d v="1899-12-30T11:11:00"/>
    <x v="1"/>
    <x v="1"/>
    <s v="D95"/>
    <x v="1"/>
    <s v="City A"/>
    <n v="166"/>
    <n v="29"/>
    <x v="0"/>
    <x v="1"/>
    <x v="1"/>
    <x v="0"/>
    <x v="0"/>
    <d v="1899-12-30T09:17:00"/>
  </r>
  <r>
    <s v="2295"/>
    <s v="91 Main St, Cityd"/>
    <d v="2023-09-07T00:00:00"/>
    <s v="September"/>
    <x v="2"/>
    <d v="1899-12-30T15:09:00"/>
    <x v="0"/>
    <x v="0"/>
    <s v="D95"/>
    <x v="0"/>
    <s v="City A"/>
    <n v="160"/>
    <n v="28"/>
    <x v="1"/>
    <x v="0"/>
    <x v="4"/>
    <x v="1"/>
    <x v="0"/>
    <d v="1899-12-30T10:15:00"/>
  </r>
  <r>
    <s v="2392"/>
    <s v="52 Oak St, Cityb"/>
    <d v="2023-09-05T00:00:00"/>
    <s v="September"/>
    <x v="6"/>
    <d v="1899-12-30T12:28:00"/>
    <x v="0"/>
    <x v="0"/>
    <s v="D95"/>
    <x v="1"/>
    <s v="City C"/>
    <n v="133"/>
    <n v="3"/>
    <x v="0"/>
    <x v="0"/>
    <x v="4"/>
    <x v="2"/>
    <x v="2"/>
    <d v="1899-12-30T10:00:00"/>
  </r>
  <r>
    <s v="1113"/>
    <s v="449 Elm St, Cityd"/>
    <d v="2023-09-02T00:00:00"/>
    <s v="September"/>
    <x v="4"/>
    <d v="1899-12-30T13:09:00"/>
    <x v="1"/>
    <x v="1"/>
    <s v="D96"/>
    <x v="2"/>
    <s v="City A"/>
    <n v="234"/>
    <n v="15"/>
    <x v="2"/>
    <x v="1"/>
    <x v="3"/>
    <x v="2"/>
    <x v="2"/>
    <d v="1899-12-30T09:58:00"/>
  </r>
  <r>
    <s v="1150"/>
    <s v="904 Elm St, Cityc"/>
    <d v="2023-09-03T00:00:00"/>
    <s v="September"/>
    <x v="0"/>
    <d v="1899-12-30T16:12:00"/>
    <x v="1"/>
    <x v="1"/>
    <s v="D96"/>
    <x v="2"/>
    <s v="City B"/>
    <n v="106"/>
    <n v="10"/>
    <x v="0"/>
    <x v="1"/>
    <x v="0"/>
    <x v="1"/>
    <x v="2"/>
    <d v="1899-12-30T10:49:00"/>
  </r>
  <r>
    <s v="1247"/>
    <s v="160 Cedar St, Cityd"/>
    <d v="2023-09-04T00:00:00"/>
    <s v="September"/>
    <x v="1"/>
    <d v="1899-12-30T15:06:00"/>
    <x v="1"/>
    <x v="1"/>
    <s v="D96"/>
    <x v="1"/>
    <s v="City C"/>
    <n v="156"/>
    <n v="17"/>
    <x v="1"/>
    <x v="1"/>
    <x v="1"/>
    <x v="1"/>
    <x v="0"/>
    <d v="1899-12-30T12:29:00"/>
  </r>
  <r>
    <s v="1352"/>
    <s v="668 Pine St, Citya"/>
    <d v="2023-09-07T00:00:00"/>
    <s v="September"/>
    <x v="2"/>
    <d v="1899-12-30T08:56:00"/>
    <x v="1"/>
    <x v="1"/>
    <s v="D96"/>
    <x v="2"/>
    <s v="City B"/>
    <n v="130"/>
    <n v="14"/>
    <x v="1"/>
    <x v="1"/>
    <x v="2"/>
    <x v="1"/>
    <x v="1"/>
    <d v="1899-12-30T12:36:00"/>
  </r>
  <r>
    <s v="1368"/>
    <s v="332 Cedar St, Citye"/>
    <d v="2023-09-02T00:00:00"/>
    <s v="September"/>
    <x v="4"/>
    <d v="1899-12-30T12:07:00"/>
    <x v="1"/>
    <x v="1"/>
    <s v="D96"/>
    <x v="1"/>
    <s v="City B"/>
    <n v="101"/>
    <n v="25"/>
    <x v="2"/>
    <x v="1"/>
    <x v="1"/>
    <x v="2"/>
    <x v="1"/>
    <d v="1899-12-30T15:23:00"/>
  </r>
  <r>
    <s v="1496"/>
    <s v="654 Main St, Cityb"/>
    <d v="2023-09-06T00:00:00"/>
    <s v="September"/>
    <x v="5"/>
    <d v="1899-12-30T08:19:00"/>
    <x v="0"/>
    <x v="0"/>
    <s v="D96"/>
    <x v="0"/>
    <s v="City E"/>
    <n v="231"/>
    <n v="10"/>
    <x v="0"/>
    <x v="0"/>
    <x v="0"/>
    <x v="0"/>
    <x v="1"/>
    <d v="1899-12-30T14:43:00"/>
  </r>
  <r>
    <s v="1558"/>
    <s v="457 Cedar St, Cityc"/>
    <d v="2023-09-08T00:00:00"/>
    <s v="September"/>
    <x v="3"/>
    <d v="1899-12-30T09:36:00"/>
    <x v="1"/>
    <x v="1"/>
    <s v="D96"/>
    <x v="1"/>
    <s v="City E"/>
    <n v="170"/>
    <n v="29"/>
    <x v="2"/>
    <x v="1"/>
    <x v="4"/>
    <x v="0"/>
    <x v="2"/>
    <d v="1899-12-30T13:19:00"/>
  </r>
  <r>
    <s v="1562"/>
    <s v="41 Elm St, Cityb"/>
    <d v="2023-09-03T00:00:00"/>
    <s v="September"/>
    <x v="0"/>
    <d v="1899-12-30T15:54:00"/>
    <x v="0"/>
    <x v="0"/>
    <s v="D96"/>
    <x v="0"/>
    <s v="City E"/>
    <n v="135"/>
    <n v="3"/>
    <x v="2"/>
    <x v="0"/>
    <x v="1"/>
    <x v="2"/>
    <x v="1"/>
    <d v="1899-12-30T09:59:00"/>
  </r>
  <r>
    <s v="1580"/>
    <s v="860 Oak St, Cityb"/>
    <d v="2023-09-08T00:00:00"/>
    <s v="September"/>
    <x v="3"/>
    <d v="1899-12-30T12:23:00"/>
    <x v="0"/>
    <x v="0"/>
    <s v="D96"/>
    <x v="2"/>
    <s v="City A"/>
    <n v="61"/>
    <n v="6"/>
    <x v="1"/>
    <x v="0"/>
    <x v="3"/>
    <x v="2"/>
    <x v="2"/>
    <d v="1899-12-30T13:31:00"/>
  </r>
  <r>
    <s v="1814"/>
    <s v="167 Cedar St, Cityd"/>
    <d v="2023-09-03T00:00:00"/>
    <s v="September"/>
    <x v="0"/>
    <d v="1899-12-30T10:54:00"/>
    <x v="0"/>
    <x v="0"/>
    <s v="D96"/>
    <x v="0"/>
    <s v="City B"/>
    <n v="238"/>
    <n v="27"/>
    <x v="2"/>
    <x v="0"/>
    <x v="1"/>
    <x v="0"/>
    <x v="0"/>
    <d v="1899-12-30T10:00:00"/>
  </r>
  <r>
    <s v="1868"/>
    <s v="354 Main St, Citya"/>
    <d v="2023-09-01T00:00:00"/>
    <s v="September"/>
    <x v="3"/>
    <d v="1899-12-30T11:06:00"/>
    <x v="0"/>
    <x v="0"/>
    <s v="D96"/>
    <x v="2"/>
    <s v="City C"/>
    <n v="115"/>
    <n v="7"/>
    <x v="1"/>
    <x v="0"/>
    <x v="3"/>
    <x v="1"/>
    <x v="1"/>
    <d v="1899-12-30T10:44:00"/>
  </r>
  <r>
    <s v="1889"/>
    <s v="605 Cedar St, Citye"/>
    <d v="2023-09-08T00:00:00"/>
    <s v="September"/>
    <x v="3"/>
    <d v="1899-12-30T10:52:00"/>
    <x v="0"/>
    <x v="0"/>
    <s v="D96"/>
    <x v="0"/>
    <s v="City B"/>
    <n v="91"/>
    <n v="28"/>
    <x v="2"/>
    <x v="0"/>
    <x v="2"/>
    <x v="2"/>
    <x v="0"/>
    <d v="1899-12-30T15:48:00"/>
  </r>
  <r>
    <s v="2033"/>
    <s v="501 Oak St, Cityd"/>
    <d v="2023-09-04T00:00:00"/>
    <s v="September"/>
    <x v="1"/>
    <d v="1899-12-30T09:25:00"/>
    <x v="0"/>
    <x v="0"/>
    <s v="D96"/>
    <x v="1"/>
    <s v="City D"/>
    <n v="150"/>
    <n v="3"/>
    <x v="2"/>
    <x v="0"/>
    <x v="0"/>
    <x v="1"/>
    <x v="1"/>
    <d v="1899-12-30T14:05:00"/>
  </r>
  <r>
    <s v="2046"/>
    <s v="165 Pine St, Cityb"/>
    <d v="2023-09-08T00:00:00"/>
    <s v="September"/>
    <x v="3"/>
    <d v="1899-12-30T09:55:00"/>
    <x v="1"/>
    <x v="1"/>
    <s v="D96"/>
    <x v="0"/>
    <s v="City E"/>
    <n v="102"/>
    <n v="24"/>
    <x v="2"/>
    <x v="1"/>
    <x v="4"/>
    <x v="2"/>
    <x v="1"/>
    <d v="1899-12-30T10:03:00"/>
  </r>
  <r>
    <s v="2088"/>
    <s v="349 Elm St, Citye"/>
    <d v="2023-09-05T00:00:00"/>
    <s v="September"/>
    <x v="6"/>
    <d v="1899-12-30T15:28:00"/>
    <x v="1"/>
    <x v="1"/>
    <s v="D96"/>
    <x v="0"/>
    <s v="City A"/>
    <n v="77"/>
    <n v="21"/>
    <x v="0"/>
    <x v="1"/>
    <x v="0"/>
    <x v="0"/>
    <x v="1"/>
    <d v="1899-12-30T13:43:00"/>
  </r>
  <r>
    <s v="2098"/>
    <s v="1 Pine St, Cityc"/>
    <d v="2023-09-04T00:00:00"/>
    <s v="September"/>
    <x v="1"/>
    <d v="1899-12-30T10:12:00"/>
    <x v="1"/>
    <x v="1"/>
    <s v="D96"/>
    <x v="1"/>
    <s v="City E"/>
    <n v="180"/>
    <n v="26"/>
    <x v="1"/>
    <x v="1"/>
    <x v="2"/>
    <x v="2"/>
    <x v="0"/>
    <d v="1899-12-30T11:16:00"/>
  </r>
  <r>
    <s v="2144"/>
    <s v="341 Cedar St, Cityb"/>
    <d v="2023-09-04T00:00:00"/>
    <s v="September"/>
    <x v="1"/>
    <d v="1899-12-30T16:02:00"/>
    <x v="0"/>
    <x v="0"/>
    <s v="D96"/>
    <x v="1"/>
    <s v="City A"/>
    <n v="142"/>
    <n v="25"/>
    <x v="1"/>
    <x v="0"/>
    <x v="3"/>
    <x v="1"/>
    <x v="1"/>
    <d v="1899-12-30T14:54:00"/>
  </r>
  <r>
    <s v="2250"/>
    <s v="941 Cedar St, Citye"/>
    <d v="2023-09-03T00:00:00"/>
    <s v="September"/>
    <x v="0"/>
    <d v="1899-12-30T14:53:00"/>
    <x v="1"/>
    <x v="1"/>
    <s v="D96"/>
    <x v="2"/>
    <s v="City A"/>
    <n v="157"/>
    <n v="2"/>
    <x v="0"/>
    <x v="1"/>
    <x v="2"/>
    <x v="1"/>
    <x v="2"/>
    <d v="1899-12-30T15:30:00"/>
  </r>
  <r>
    <s v="2277"/>
    <s v="175 Elm St, Cityb"/>
    <d v="2023-09-08T00:00:00"/>
    <s v="September"/>
    <x v="3"/>
    <d v="1899-12-30T14:07:00"/>
    <x v="0"/>
    <x v="0"/>
    <s v="D96"/>
    <x v="1"/>
    <s v="City E"/>
    <n v="184"/>
    <n v="22"/>
    <x v="2"/>
    <x v="0"/>
    <x v="4"/>
    <x v="0"/>
    <x v="1"/>
    <d v="1899-12-30T08:34:00"/>
  </r>
  <r>
    <s v="2351"/>
    <s v="142 Cedar St, Citya"/>
    <d v="2023-09-07T00:00:00"/>
    <s v="September"/>
    <x v="2"/>
    <d v="1899-12-30T13:39:00"/>
    <x v="1"/>
    <x v="1"/>
    <s v="D96"/>
    <x v="2"/>
    <s v="City D"/>
    <n v="207"/>
    <n v="28"/>
    <x v="0"/>
    <x v="1"/>
    <x v="1"/>
    <x v="1"/>
    <x v="0"/>
    <d v="1899-12-30T10:06:00"/>
  </r>
  <r>
    <s v="1070"/>
    <s v="757 Main St, Citye"/>
    <d v="2023-09-06T00:00:00"/>
    <s v="September"/>
    <x v="5"/>
    <d v="1899-12-30T16:40:00"/>
    <x v="1"/>
    <x v="1"/>
    <s v="D97"/>
    <x v="0"/>
    <s v="City A"/>
    <n v="172"/>
    <n v="6"/>
    <x v="2"/>
    <x v="1"/>
    <x v="4"/>
    <x v="0"/>
    <x v="2"/>
    <d v="1899-12-30T13:54:00"/>
  </r>
  <r>
    <s v="1086"/>
    <s v="160 Elm St, Citye"/>
    <d v="2023-09-05T00:00:00"/>
    <s v="September"/>
    <x v="6"/>
    <d v="1899-12-30T09:18:00"/>
    <x v="1"/>
    <x v="1"/>
    <s v="D97"/>
    <x v="2"/>
    <s v="City E"/>
    <n v="133"/>
    <n v="21"/>
    <x v="2"/>
    <x v="1"/>
    <x v="2"/>
    <x v="2"/>
    <x v="1"/>
    <d v="1899-12-30T13:46:00"/>
  </r>
  <r>
    <s v="1105"/>
    <s v="843 Elm St, Citya"/>
    <d v="2023-09-03T00:00:00"/>
    <s v="September"/>
    <x v="0"/>
    <d v="1899-12-30T13:01:00"/>
    <x v="0"/>
    <x v="0"/>
    <s v="D97"/>
    <x v="2"/>
    <s v="City E"/>
    <n v="239"/>
    <n v="22"/>
    <x v="1"/>
    <x v="0"/>
    <x v="3"/>
    <x v="0"/>
    <x v="1"/>
    <d v="1899-12-30T11:14:00"/>
  </r>
  <r>
    <s v="1128"/>
    <s v="165 Elm St, Citye"/>
    <d v="2023-09-03T00:00:00"/>
    <s v="September"/>
    <x v="0"/>
    <d v="1899-12-30T11:57:00"/>
    <x v="1"/>
    <x v="1"/>
    <s v="D97"/>
    <x v="0"/>
    <s v="City A"/>
    <n v="117"/>
    <n v="10"/>
    <x v="2"/>
    <x v="1"/>
    <x v="2"/>
    <x v="2"/>
    <x v="0"/>
    <d v="1899-12-30T10:29:00"/>
  </r>
  <r>
    <s v="1236"/>
    <s v="289 Oak St, Citya"/>
    <d v="2023-09-04T00:00:00"/>
    <s v="September"/>
    <x v="1"/>
    <d v="1899-12-30T14:35:00"/>
    <x v="1"/>
    <x v="1"/>
    <s v="D97"/>
    <x v="1"/>
    <s v="City B"/>
    <n v="232"/>
    <n v="4"/>
    <x v="1"/>
    <x v="1"/>
    <x v="2"/>
    <x v="0"/>
    <x v="1"/>
    <d v="1899-12-30T09:55:00"/>
  </r>
  <r>
    <s v="1338"/>
    <s v="253 Elm St, Citya"/>
    <d v="2023-09-07T00:00:00"/>
    <s v="September"/>
    <x v="2"/>
    <d v="1899-12-30T12:53:00"/>
    <x v="0"/>
    <x v="0"/>
    <s v="D97"/>
    <x v="2"/>
    <s v="City A"/>
    <n v="191"/>
    <n v="10"/>
    <x v="2"/>
    <x v="0"/>
    <x v="0"/>
    <x v="1"/>
    <x v="1"/>
    <d v="1899-12-30T14:10:00"/>
  </r>
  <r>
    <s v="1404"/>
    <s v="335 Oak St, Cityd"/>
    <d v="2023-09-05T00:00:00"/>
    <s v="September"/>
    <x v="6"/>
    <d v="1899-12-30T10:03:00"/>
    <x v="0"/>
    <x v="0"/>
    <s v="D97"/>
    <x v="1"/>
    <s v="City B"/>
    <n v="203"/>
    <n v="7"/>
    <x v="2"/>
    <x v="0"/>
    <x v="0"/>
    <x v="2"/>
    <x v="1"/>
    <d v="1899-12-30T09:21:00"/>
  </r>
  <r>
    <s v="1468"/>
    <s v="418 Oak St, Cityd"/>
    <d v="2023-09-03T00:00:00"/>
    <s v="September"/>
    <x v="0"/>
    <d v="1899-12-30T10:31:00"/>
    <x v="0"/>
    <x v="0"/>
    <s v="D97"/>
    <x v="1"/>
    <s v="City C"/>
    <n v="78"/>
    <n v="15"/>
    <x v="1"/>
    <x v="0"/>
    <x v="3"/>
    <x v="2"/>
    <x v="1"/>
    <d v="1899-12-30T16:42:00"/>
  </r>
  <r>
    <s v="1607"/>
    <s v="896 Oak St, Citye"/>
    <d v="2023-09-08T00:00:00"/>
    <s v="September"/>
    <x v="3"/>
    <d v="1899-12-30T13:14:00"/>
    <x v="1"/>
    <x v="1"/>
    <s v="D97"/>
    <x v="0"/>
    <s v="City B"/>
    <n v="61"/>
    <n v="27"/>
    <x v="0"/>
    <x v="1"/>
    <x v="0"/>
    <x v="2"/>
    <x v="1"/>
    <d v="1899-12-30T09:30:00"/>
  </r>
  <r>
    <s v="1837"/>
    <s v="597 Main St, Citya"/>
    <d v="2023-09-08T00:00:00"/>
    <s v="September"/>
    <x v="3"/>
    <d v="1899-12-30T12:23:00"/>
    <x v="1"/>
    <x v="1"/>
    <s v="D97"/>
    <x v="2"/>
    <s v="City D"/>
    <n v="114"/>
    <n v="17"/>
    <x v="1"/>
    <x v="1"/>
    <x v="3"/>
    <x v="1"/>
    <x v="2"/>
    <d v="1899-12-30T13:08:00"/>
  </r>
  <r>
    <s v="1842"/>
    <s v="631 Cedar St, Citya"/>
    <d v="2023-09-06T00:00:00"/>
    <s v="September"/>
    <x v="5"/>
    <d v="1899-12-30T11:27:00"/>
    <x v="1"/>
    <x v="1"/>
    <s v="D97"/>
    <x v="0"/>
    <s v="City A"/>
    <n v="121"/>
    <n v="4"/>
    <x v="0"/>
    <x v="1"/>
    <x v="1"/>
    <x v="1"/>
    <x v="1"/>
    <d v="1899-12-30T14:36:00"/>
  </r>
  <r>
    <s v="1887"/>
    <s v="341 Cedar St, Cityc"/>
    <d v="2023-09-01T00:00:00"/>
    <s v="September"/>
    <x v="3"/>
    <d v="1899-12-30T12:58:00"/>
    <x v="1"/>
    <x v="1"/>
    <s v="D97"/>
    <x v="2"/>
    <s v="City D"/>
    <n v="123"/>
    <n v="19"/>
    <x v="1"/>
    <x v="1"/>
    <x v="3"/>
    <x v="0"/>
    <x v="1"/>
    <d v="1899-12-30T14:06:00"/>
  </r>
  <r>
    <s v="1951"/>
    <s v="585 Oak St, Citya"/>
    <d v="2023-09-05T00:00:00"/>
    <s v="September"/>
    <x v="6"/>
    <d v="1899-12-30T11:54:00"/>
    <x v="1"/>
    <x v="1"/>
    <s v="D97"/>
    <x v="0"/>
    <s v="City A"/>
    <n v="207"/>
    <n v="19"/>
    <x v="0"/>
    <x v="1"/>
    <x v="3"/>
    <x v="0"/>
    <x v="1"/>
    <d v="1899-12-30T11:13:00"/>
  </r>
  <r>
    <s v="1964"/>
    <s v="962 Oak St, Cityb"/>
    <d v="2023-09-02T00:00:00"/>
    <s v="September"/>
    <x v="4"/>
    <d v="1899-12-30T12:04:00"/>
    <x v="1"/>
    <x v="1"/>
    <s v="D97"/>
    <x v="0"/>
    <s v="City B"/>
    <n v="130"/>
    <n v="18"/>
    <x v="2"/>
    <x v="1"/>
    <x v="1"/>
    <x v="1"/>
    <x v="1"/>
    <d v="1899-12-30T12:33:00"/>
  </r>
  <r>
    <s v="2085"/>
    <s v="419 Main St, Cityc"/>
    <d v="2023-09-05T00:00:00"/>
    <s v="September"/>
    <x v="6"/>
    <d v="1899-12-30T10:36:00"/>
    <x v="0"/>
    <x v="0"/>
    <s v="D97"/>
    <x v="0"/>
    <s v="City A"/>
    <n v="112"/>
    <n v="13"/>
    <x v="1"/>
    <x v="0"/>
    <x v="3"/>
    <x v="2"/>
    <x v="1"/>
    <d v="1899-12-30T14:49:00"/>
  </r>
  <r>
    <s v="2101"/>
    <s v="757 Main St, Citye"/>
    <d v="2023-09-06T00:00:00"/>
    <s v="September"/>
    <x v="5"/>
    <d v="1899-12-30T08:08:00"/>
    <x v="1"/>
    <x v="1"/>
    <s v="D97"/>
    <x v="0"/>
    <s v="City B"/>
    <n v="90"/>
    <n v="20"/>
    <x v="2"/>
    <x v="1"/>
    <x v="0"/>
    <x v="2"/>
    <x v="1"/>
    <d v="1899-12-30T13:45:00"/>
  </r>
  <r>
    <s v="2109"/>
    <s v="121 Elm St, Cityc"/>
    <d v="2023-09-07T00:00:00"/>
    <s v="September"/>
    <x v="2"/>
    <d v="1899-12-30T15:54:00"/>
    <x v="1"/>
    <x v="1"/>
    <s v="D97"/>
    <x v="1"/>
    <s v="City E"/>
    <n v="177"/>
    <n v="12"/>
    <x v="2"/>
    <x v="1"/>
    <x v="4"/>
    <x v="1"/>
    <x v="1"/>
    <d v="1899-12-30T12:15:00"/>
  </r>
  <r>
    <s v="2416"/>
    <s v="81 Cedar St, Cityb"/>
    <d v="2023-09-08T00:00:00"/>
    <s v="September"/>
    <x v="3"/>
    <d v="1899-12-30T13:27:00"/>
    <x v="1"/>
    <x v="1"/>
    <s v="D97"/>
    <x v="0"/>
    <s v="City D"/>
    <n v="150"/>
    <n v="14"/>
    <x v="2"/>
    <x v="1"/>
    <x v="0"/>
    <x v="1"/>
    <x v="0"/>
    <d v="1899-12-30T11:08:00"/>
  </r>
  <r>
    <s v="2421"/>
    <s v="560 Cedar St, Cityc"/>
    <d v="2023-09-04T00:00:00"/>
    <s v="September"/>
    <x v="1"/>
    <d v="1899-12-30T09:19:00"/>
    <x v="0"/>
    <x v="0"/>
    <s v="D97"/>
    <x v="1"/>
    <s v="City D"/>
    <n v="115"/>
    <n v="17"/>
    <x v="1"/>
    <x v="0"/>
    <x v="2"/>
    <x v="1"/>
    <x v="1"/>
    <d v="1899-12-30T09:21:00"/>
  </r>
  <r>
    <s v="2455"/>
    <s v="882 Pine St, Cityb"/>
    <d v="2023-09-02T00:00:00"/>
    <s v="September"/>
    <x v="4"/>
    <d v="1899-12-30T15:53:00"/>
    <x v="0"/>
    <x v="0"/>
    <s v="D97"/>
    <x v="1"/>
    <s v="City D"/>
    <n v="190"/>
    <n v="11"/>
    <x v="2"/>
    <x v="0"/>
    <x v="4"/>
    <x v="2"/>
    <x v="0"/>
    <d v="1899-12-30T17:35:00"/>
  </r>
  <r>
    <s v="1097"/>
    <s v="679 Elm St, Citya"/>
    <d v="2023-09-02T00:00:00"/>
    <s v="September"/>
    <x v="4"/>
    <d v="1899-12-30T10:12:00"/>
    <x v="1"/>
    <x v="1"/>
    <s v="D98"/>
    <x v="0"/>
    <s v="City A"/>
    <n v="94"/>
    <n v="0"/>
    <x v="2"/>
    <x v="1"/>
    <x v="0"/>
    <x v="2"/>
    <x v="1"/>
    <d v="1899-12-30T16:10:00"/>
  </r>
  <r>
    <s v="1102"/>
    <s v="292 Cedar St, Cityc"/>
    <d v="2023-09-07T00:00:00"/>
    <s v="September"/>
    <x v="2"/>
    <d v="1899-12-30T16:15:00"/>
    <x v="0"/>
    <x v="0"/>
    <s v="D98"/>
    <x v="0"/>
    <s v="City E"/>
    <n v="110"/>
    <n v="29"/>
    <x v="2"/>
    <x v="0"/>
    <x v="3"/>
    <x v="2"/>
    <x v="1"/>
    <d v="1899-12-30T10:53:00"/>
  </r>
  <r>
    <s v="1140"/>
    <s v="21 Pine St, Citye"/>
    <d v="2023-09-03T00:00:00"/>
    <s v="September"/>
    <x v="0"/>
    <d v="1899-12-30T15:00:00"/>
    <x v="0"/>
    <x v="0"/>
    <s v="D98"/>
    <x v="1"/>
    <s v="City B"/>
    <n v="117"/>
    <n v="8"/>
    <x v="0"/>
    <x v="0"/>
    <x v="1"/>
    <x v="1"/>
    <x v="0"/>
    <d v="1899-12-30T11:02:00"/>
  </r>
  <r>
    <s v="1159"/>
    <s v="976 Pine St, Cityd"/>
    <d v="2023-09-07T00:00:00"/>
    <s v="September"/>
    <x v="2"/>
    <d v="1899-12-30T12:15:00"/>
    <x v="1"/>
    <x v="1"/>
    <s v="D98"/>
    <x v="1"/>
    <s v="City E"/>
    <n v="197"/>
    <n v="22"/>
    <x v="0"/>
    <x v="1"/>
    <x v="2"/>
    <x v="2"/>
    <x v="2"/>
    <d v="1899-12-30T12:38:00"/>
  </r>
  <r>
    <s v="1203"/>
    <s v="389 Pine St, Cityb"/>
    <d v="2023-09-02T00:00:00"/>
    <s v="September"/>
    <x v="4"/>
    <d v="1899-12-30T11:29:00"/>
    <x v="1"/>
    <x v="1"/>
    <s v="D98"/>
    <x v="0"/>
    <s v="City C"/>
    <n v="77"/>
    <n v="1"/>
    <x v="0"/>
    <x v="1"/>
    <x v="0"/>
    <x v="0"/>
    <x v="1"/>
    <d v="1899-12-30T09:10:00"/>
  </r>
  <r>
    <s v="1387"/>
    <s v="978 Elm St, Citye"/>
    <d v="2023-09-02T00:00:00"/>
    <s v="September"/>
    <x v="4"/>
    <d v="1899-12-30T12:44:00"/>
    <x v="0"/>
    <x v="0"/>
    <s v="D98"/>
    <x v="2"/>
    <s v="City C"/>
    <n v="93"/>
    <n v="28"/>
    <x v="2"/>
    <x v="0"/>
    <x v="1"/>
    <x v="1"/>
    <x v="0"/>
    <d v="1899-12-30T10:07:00"/>
  </r>
  <r>
    <s v="1520"/>
    <s v="619 Pine St, Citya"/>
    <d v="2023-09-01T00:00:00"/>
    <s v="September"/>
    <x v="3"/>
    <d v="1899-12-30T14:07:00"/>
    <x v="1"/>
    <x v="1"/>
    <s v="D98"/>
    <x v="1"/>
    <s v="City A"/>
    <n v="206"/>
    <n v="0"/>
    <x v="1"/>
    <x v="1"/>
    <x v="3"/>
    <x v="2"/>
    <x v="2"/>
    <d v="1899-12-30T13:10:00"/>
  </r>
  <r>
    <s v="1569"/>
    <s v="902 Elm St, Cityc"/>
    <d v="2023-09-02T00:00:00"/>
    <s v="September"/>
    <x v="4"/>
    <d v="1899-12-30T15:18:00"/>
    <x v="1"/>
    <x v="1"/>
    <s v="D98"/>
    <x v="2"/>
    <s v="City B"/>
    <n v="230"/>
    <n v="14"/>
    <x v="1"/>
    <x v="1"/>
    <x v="3"/>
    <x v="0"/>
    <x v="1"/>
    <d v="1899-12-30T10:51:00"/>
  </r>
  <r>
    <s v="1675"/>
    <s v="520 Cedar St, Cityd"/>
    <d v="2023-09-08T00:00:00"/>
    <s v="September"/>
    <x v="3"/>
    <d v="1899-12-30T09:48:00"/>
    <x v="1"/>
    <x v="1"/>
    <s v="D98"/>
    <x v="0"/>
    <s v="City C"/>
    <n v="103"/>
    <n v="13"/>
    <x v="2"/>
    <x v="1"/>
    <x v="4"/>
    <x v="2"/>
    <x v="1"/>
    <d v="1899-12-30T10:05:00"/>
  </r>
  <r>
    <s v="1689"/>
    <s v="391 Main St, Cityd"/>
    <d v="2023-09-06T00:00:00"/>
    <s v="September"/>
    <x v="5"/>
    <d v="1899-12-30T10:34:00"/>
    <x v="1"/>
    <x v="1"/>
    <s v="D98"/>
    <x v="2"/>
    <s v="City B"/>
    <n v="157"/>
    <n v="26"/>
    <x v="1"/>
    <x v="1"/>
    <x v="1"/>
    <x v="1"/>
    <x v="2"/>
    <d v="1899-12-30T13:56:00"/>
  </r>
  <r>
    <s v="2092"/>
    <s v="488 Oak St, Citye"/>
    <d v="2023-09-04T00:00:00"/>
    <s v="September"/>
    <x v="1"/>
    <d v="1899-12-30T08:09:00"/>
    <x v="0"/>
    <x v="0"/>
    <s v="D98"/>
    <x v="0"/>
    <s v="City B"/>
    <n v="200"/>
    <n v="11"/>
    <x v="0"/>
    <x v="0"/>
    <x v="1"/>
    <x v="2"/>
    <x v="1"/>
    <d v="1899-12-30T13:26:00"/>
  </r>
  <r>
    <s v="2104"/>
    <s v="756 Main St, Cityb"/>
    <d v="2023-09-04T00:00:00"/>
    <s v="September"/>
    <x v="1"/>
    <d v="1899-12-30T11:01:00"/>
    <x v="0"/>
    <x v="0"/>
    <s v="D98"/>
    <x v="0"/>
    <s v="City B"/>
    <n v="191"/>
    <n v="23"/>
    <x v="2"/>
    <x v="0"/>
    <x v="4"/>
    <x v="1"/>
    <x v="0"/>
    <d v="1899-12-30T13:03:00"/>
  </r>
  <r>
    <s v="2151"/>
    <s v="756 Oak St, Cityd"/>
    <d v="2023-09-06T00:00:00"/>
    <s v="September"/>
    <x v="5"/>
    <d v="1899-12-30T13:11:00"/>
    <x v="0"/>
    <x v="0"/>
    <s v="D98"/>
    <x v="1"/>
    <s v="City C"/>
    <n v="114"/>
    <n v="5"/>
    <x v="2"/>
    <x v="0"/>
    <x v="0"/>
    <x v="2"/>
    <x v="1"/>
    <d v="1899-12-30T09:02:00"/>
  </r>
  <r>
    <s v="2173"/>
    <s v="520 Pine St, Cityd"/>
    <d v="2023-09-08T00:00:00"/>
    <s v="September"/>
    <x v="3"/>
    <d v="1899-12-30T11:50:00"/>
    <x v="1"/>
    <x v="1"/>
    <s v="D98"/>
    <x v="1"/>
    <s v="City E"/>
    <n v="208"/>
    <n v="25"/>
    <x v="0"/>
    <x v="1"/>
    <x v="3"/>
    <x v="1"/>
    <x v="1"/>
    <d v="1899-12-30T15:42:00"/>
  </r>
  <r>
    <s v="2226"/>
    <s v="526 Cedar St, Citye"/>
    <d v="2023-09-04T00:00:00"/>
    <s v="September"/>
    <x v="1"/>
    <d v="1899-12-30T10:04:00"/>
    <x v="1"/>
    <x v="1"/>
    <s v="D98"/>
    <x v="2"/>
    <s v="City A"/>
    <n v="170"/>
    <n v="23"/>
    <x v="0"/>
    <x v="1"/>
    <x v="1"/>
    <x v="0"/>
    <x v="0"/>
    <d v="1899-12-30T09:15:00"/>
  </r>
  <r>
    <s v="2311"/>
    <s v="306 Elm St, Cityd"/>
    <d v="2023-09-03T00:00:00"/>
    <s v="September"/>
    <x v="0"/>
    <d v="1899-12-30T08:50:00"/>
    <x v="0"/>
    <x v="0"/>
    <s v="D98"/>
    <x v="0"/>
    <s v="City E"/>
    <n v="61"/>
    <n v="4"/>
    <x v="2"/>
    <x v="0"/>
    <x v="0"/>
    <x v="2"/>
    <x v="2"/>
    <d v="1899-12-30T11:27:00"/>
  </r>
  <r>
    <s v="2333"/>
    <s v="579 Main St, Cityc"/>
    <d v="2023-09-02T00:00:00"/>
    <s v="September"/>
    <x v="4"/>
    <d v="1899-12-30T14:18:00"/>
    <x v="0"/>
    <x v="0"/>
    <s v="D98"/>
    <x v="0"/>
    <s v="City D"/>
    <n v="160"/>
    <n v="11"/>
    <x v="1"/>
    <x v="0"/>
    <x v="3"/>
    <x v="1"/>
    <x v="0"/>
    <d v="1899-12-30T10:04:00"/>
  </r>
  <r>
    <s v="2352"/>
    <s v="857 Oak St, Citya"/>
    <d v="2023-09-06T00:00:00"/>
    <s v="September"/>
    <x v="5"/>
    <d v="1899-12-30T15:08:00"/>
    <x v="0"/>
    <x v="0"/>
    <s v="D98"/>
    <x v="0"/>
    <s v="City E"/>
    <n v="65"/>
    <n v="13"/>
    <x v="0"/>
    <x v="0"/>
    <x v="3"/>
    <x v="1"/>
    <x v="2"/>
    <d v="1899-12-30T11:09:00"/>
  </r>
  <r>
    <s v="2366"/>
    <s v="689 Elm St, Cityb"/>
    <d v="2023-09-06T00:00:00"/>
    <s v="September"/>
    <x v="5"/>
    <d v="1899-12-30T10:18:00"/>
    <x v="0"/>
    <x v="0"/>
    <s v="D98"/>
    <x v="1"/>
    <s v="City A"/>
    <n v="134"/>
    <n v="22"/>
    <x v="0"/>
    <x v="0"/>
    <x v="4"/>
    <x v="0"/>
    <x v="0"/>
    <d v="1899-12-30T14:48:00"/>
  </r>
  <r>
    <s v="2378"/>
    <s v="65 Main St, Citya"/>
    <d v="2023-09-05T00:00:00"/>
    <s v="September"/>
    <x v="6"/>
    <d v="1899-12-30T10:11:00"/>
    <x v="1"/>
    <x v="1"/>
    <s v="D98"/>
    <x v="0"/>
    <s v="City A"/>
    <n v="237"/>
    <n v="9"/>
    <x v="2"/>
    <x v="1"/>
    <x v="0"/>
    <x v="1"/>
    <x v="0"/>
    <d v="1899-12-30T16:14:00"/>
  </r>
  <r>
    <s v="2391"/>
    <s v="658 Pine St, Cityb"/>
    <d v="2023-09-03T00:00:00"/>
    <s v="September"/>
    <x v="0"/>
    <d v="1899-12-30T11:22:00"/>
    <x v="0"/>
    <x v="0"/>
    <s v="D98"/>
    <x v="1"/>
    <s v="City C"/>
    <n v="99"/>
    <n v="15"/>
    <x v="1"/>
    <x v="0"/>
    <x v="0"/>
    <x v="0"/>
    <x v="0"/>
    <d v="1899-12-30T16:49:00"/>
  </r>
  <r>
    <s v="1007"/>
    <s v="856 Elm St, Citya"/>
    <d v="2023-09-07T00:00:00"/>
    <s v="September"/>
    <x v="2"/>
    <d v="1899-12-30T13:48:00"/>
    <x v="0"/>
    <x v="0"/>
    <s v="D99"/>
    <x v="2"/>
    <s v="City E"/>
    <n v="161"/>
    <n v="8"/>
    <x v="1"/>
    <x v="0"/>
    <x v="1"/>
    <x v="1"/>
    <x v="2"/>
    <d v="1899-12-30T14:20:00"/>
  </r>
  <r>
    <s v="1110"/>
    <s v="854 Pine St, Cityb"/>
    <d v="2023-09-05T00:00:00"/>
    <s v="September"/>
    <x v="6"/>
    <d v="1899-12-30T16:40:00"/>
    <x v="0"/>
    <x v="0"/>
    <s v="D99"/>
    <x v="2"/>
    <s v="City D"/>
    <n v="156"/>
    <n v="23"/>
    <x v="1"/>
    <x v="0"/>
    <x v="0"/>
    <x v="2"/>
    <x v="1"/>
    <d v="1899-12-30T13:55:00"/>
  </r>
  <r>
    <s v="1133"/>
    <s v="380 Main St, Cityb"/>
    <d v="2023-09-08T00:00:00"/>
    <s v="September"/>
    <x v="3"/>
    <d v="1899-12-30T15:46:00"/>
    <x v="0"/>
    <x v="0"/>
    <s v="D99"/>
    <x v="0"/>
    <s v="City D"/>
    <n v="239"/>
    <n v="18"/>
    <x v="1"/>
    <x v="0"/>
    <x v="2"/>
    <x v="0"/>
    <x v="2"/>
    <d v="1899-12-30T14:45:00"/>
  </r>
  <r>
    <s v="1522"/>
    <s v="796 Pine St, Cityb"/>
    <d v="2023-09-07T00:00:00"/>
    <s v="September"/>
    <x v="2"/>
    <d v="1899-12-30T11:23:00"/>
    <x v="1"/>
    <x v="1"/>
    <s v="D99"/>
    <x v="2"/>
    <s v="City B"/>
    <n v="136"/>
    <n v="25"/>
    <x v="2"/>
    <x v="1"/>
    <x v="2"/>
    <x v="1"/>
    <x v="1"/>
    <d v="1899-12-30T09:22:00"/>
  </r>
  <r>
    <s v="1593"/>
    <s v="87 Elm St, Citya"/>
    <d v="2023-09-01T00:00:00"/>
    <s v="September"/>
    <x v="3"/>
    <d v="1899-12-30T12:00:00"/>
    <x v="0"/>
    <x v="0"/>
    <s v="D99"/>
    <x v="0"/>
    <s v="City D"/>
    <n v="187"/>
    <n v="9"/>
    <x v="1"/>
    <x v="0"/>
    <x v="2"/>
    <x v="1"/>
    <x v="2"/>
    <d v="1899-12-30T16:29:00"/>
  </r>
  <r>
    <s v="1621"/>
    <s v="742 Oak St, Cityb"/>
    <d v="2023-09-03T00:00:00"/>
    <s v="September"/>
    <x v="0"/>
    <d v="1899-12-30T16:59:00"/>
    <x v="0"/>
    <x v="0"/>
    <s v="D99"/>
    <x v="0"/>
    <s v="City D"/>
    <n v="168"/>
    <n v="6"/>
    <x v="2"/>
    <x v="0"/>
    <x v="0"/>
    <x v="2"/>
    <x v="0"/>
    <d v="1899-12-30T12:14:00"/>
  </r>
  <r>
    <s v="1722"/>
    <s v="517 Main St, Cityd"/>
    <d v="2023-09-04T00:00:00"/>
    <s v="September"/>
    <x v="1"/>
    <d v="1899-12-30T16:16:00"/>
    <x v="1"/>
    <x v="1"/>
    <s v="D99"/>
    <x v="2"/>
    <s v="City A"/>
    <n v="190"/>
    <n v="16"/>
    <x v="2"/>
    <x v="1"/>
    <x v="2"/>
    <x v="1"/>
    <x v="0"/>
    <d v="1899-12-30T17:06:00"/>
  </r>
  <r>
    <s v="1734"/>
    <s v="911 Cedar St, Cityd"/>
    <d v="2023-09-06T00:00:00"/>
    <s v="September"/>
    <x v="5"/>
    <d v="1899-12-30T15:23:00"/>
    <x v="0"/>
    <x v="0"/>
    <s v="D99"/>
    <x v="1"/>
    <s v="City D"/>
    <n v="196"/>
    <n v="5"/>
    <x v="0"/>
    <x v="0"/>
    <x v="3"/>
    <x v="1"/>
    <x v="1"/>
    <d v="1899-12-30T11:17:00"/>
  </r>
  <r>
    <s v="1768"/>
    <s v="224 Cedar St, Cityc"/>
    <d v="2023-09-02T00:00:00"/>
    <s v="September"/>
    <x v="4"/>
    <d v="1899-12-30T10:59:00"/>
    <x v="1"/>
    <x v="1"/>
    <s v="D99"/>
    <x v="0"/>
    <s v="City D"/>
    <n v="61"/>
    <n v="6"/>
    <x v="1"/>
    <x v="1"/>
    <x v="1"/>
    <x v="0"/>
    <x v="1"/>
    <d v="1899-12-30T11:06:00"/>
  </r>
  <r>
    <s v="1840"/>
    <s v="844 Pine St, Citya"/>
    <d v="2023-09-05T00:00:00"/>
    <s v="September"/>
    <x v="6"/>
    <d v="1899-12-30T14:37:00"/>
    <x v="1"/>
    <x v="1"/>
    <s v="D99"/>
    <x v="0"/>
    <s v="City A"/>
    <n v="134"/>
    <n v="5"/>
    <x v="2"/>
    <x v="1"/>
    <x v="0"/>
    <x v="2"/>
    <x v="1"/>
    <d v="1899-12-30T13:55:00"/>
  </r>
  <r>
    <s v="1979"/>
    <s v="820 Main St, Cityb"/>
    <d v="2023-09-08T00:00:00"/>
    <s v="September"/>
    <x v="3"/>
    <d v="1899-12-30T14:02:00"/>
    <x v="1"/>
    <x v="1"/>
    <s v="D99"/>
    <x v="2"/>
    <s v="City D"/>
    <n v="110"/>
    <n v="26"/>
    <x v="0"/>
    <x v="1"/>
    <x v="1"/>
    <x v="1"/>
    <x v="2"/>
    <d v="1899-12-30T10:46:00"/>
  </r>
  <r>
    <s v="2213"/>
    <s v="740 Cedar St, Cityd"/>
    <d v="2023-09-05T00:00:00"/>
    <s v="September"/>
    <x v="6"/>
    <d v="1899-12-30T14:19:00"/>
    <x v="1"/>
    <x v="1"/>
    <s v="D99"/>
    <x v="1"/>
    <s v="City C"/>
    <n v="198"/>
    <n v="23"/>
    <x v="1"/>
    <x v="1"/>
    <x v="2"/>
    <x v="0"/>
    <x v="0"/>
    <d v="1899-12-30T15:06:00"/>
  </r>
  <r>
    <s v="2271"/>
    <s v="655 Cedar St, Cityc"/>
    <d v="2023-09-08T00:00:00"/>
    <s v="September"/>
    <x v="3"/>
    <d v="1899-12-30T08:25:00"/>
    <x v="1"/>
    <x v="1"/>
    <s v="D99"/>
    <x v="0"/>
    <s v="City B"/>
    <n v="197"/>
    <n v="9"/>
    <x v="1"/>
    <x v="1"/>
    <x v="1"/>
    <x v="0"/>
    <x v="1"/>
    <d v="1899-12-30T09:52:00"/>
  </r>
  <r>
    <s v="2338"/>
    <s v="302 Elm St, Cityd"/>
    <d v="2023-09-02T00:00:00"/>
    <s v="September"/>
    <x v="4"/>
    <d v="1899-12-30T08:41:00"/>
    <x v="1"/>
    <x v="1"/>
    <s v="D99"/>
    <x v="0"/>
    <s v="City C"/>
    <n v="218"/>
    <n v="4"/>
    <x v="0"/>
    <x v="1"/>
    <x v="3"/>
    <x v="2"/>
    <x v="0"/>
    <d v="1899-12-30T14:37:00"/>
  </r>
  <r>
    <s v="2356"/>
    <s v="445 Oak St, Citya"/>
    <d v="2023-09-04T00:00:00"/>
    <s v="September"/>
    <x v="1"/>
    <d v="1899-12-30T13:15:00"/>
    <x v="1"/>
    <x v="1"/>
    <s v="D99"/>
    <x v="0"/>
    <s v="City A"/>
    <n v="180"/>
    <n v="11"/>
    <x v="2"/>
    <x v="1"/>
    <x v="4"/>
    <x v="1"/>
    <x v="0"/>
    <d v="1899-12-30T15:57:00"/>
  </r>
  <r>
    <s v="2394"/>
    <s v="18 Pine St, Cityd"/>
    <d v="2023-09-05T00:00:00"/>
    <s v="September"/>
    <x v="6"/>
    <d v="1899-12-30T09:22:00"/>
    <x v="1"/>
    <x v="1"/>
    <s v="D99"/>
    <x v="2"/>
    <s v="City C"/>
    <n v="119"/>
    <n v="3"/>
    <x v="1"/>
    <x v="1"/>
    <x v="3"/>
    <x v="1"/>
    <x v="0"/>
    <d v="1899-12-30T13:56:00"/>
  </r>
  <r>
    <s v="2397"/>
    <s v="732 Pine St, Cityb"/>
    <d v="2023-09-04T00:00:00"/>
    <s v="September"/>
    <x v="1"/>
    <d v="1899-12-30T08:21:00"/>
    <x v="1"/>
    <x v="1"/>
    <s v="D99"/>
    <x v="0"/>
    <s v="City A"/>
    <n v="101"/>
    <n v="5"/>
    <x v="2"/>
    <x v="1"/>
    <x v="2"/>
    <x v="2"/>
    <x v="1"/>
    <d v="1899-12-30T13:00:00"/>
  </r>
  <r>
    <s v="2454"/>
    <s v="490 Main St, Cityd"/>
    <d v="2023-09-04T00:00:00"/>
    <s v="September"/>
    <x v="1"/>
    <d v="1899-12-30T09:36:00"/>
    <x v="0"/>
    <x v="0"/>
    <s v="D99"/>
    <x v="2"/>
    <s v="City A"/>
    <n v="183"/>
    <n v="8"/>
    <x v="1"/>
    <x v="0"/>
    <x v="3"/>
    <x v="0"/>
    <x v="1"/>
    <d v="1899-12-30T16: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8B0C5D-814F-4780-9307-3E04BDFBC68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Sentiment">
  <location ref="A18:B21" firstHeaderRow="1" firstDataRow="1" firstDataCol="1"/>
  <pivotFields count="19">
    <pivotField dataField="1" showAll="0"/>
    <pivotField showAll="0"/>
    <pivotField numFmtId="14" showAll="0"/>
    <pivotField showAll="0"/>
    <pivotField showAll="0"/>
    <pivotField numFmtId="164" showAll="0"/>
    <pivotField showAll="0">
      <items count="3">
        <item x="1"/>
        <item x="0"/>
        <item t="default"/>
      </items>
    </pivotField>
    <pivotField showAll="0">
      <items count="3">
        <item x="0"/>
        <item x="1"/>
        <item t="default"/>
      </items>
    </pivotField>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pivotField numFmtId="164" showAll="0"/>
  </pivotFields>
  <rowFields count="1">
    <field x="13"/>
  </rowFields>
  <rowItems count="3">
    <i>
      <x/>
    </i>
    <i>
      <x v="1"/>
    </i>
    <i>
      <x v="2"/>
    </i>
  </rowItems>
  <colItems count="1">
    <i/>
  </colItems>
  <dataFields count="1">
    <dataField name="Feedback count" fld="0" subtotal="count" showDataAs="percentOfTotal" baseField="0" baseItem="0" numFmtId="10"/>
  </dataFields>
  <formats count="3">
    <format dxfId="4">
      <pivotArea dataOnly="0" labelOnly="1" outline="0" axis="axisValues" fieldPosition="0"/>
    </format>
    <format dxfId="3">
      <pivotArea field="13" type="button" dataOnly="0" labelOnly="1" outline="0" axis="axisRow" fieldPosition="0"/>
    </format>
    <format dxfId="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3"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2"/>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3DCDFF-1775-414D-A709-1B6FD502625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Vehicle">
  <location ref="A12:B15" firstHeaderRow="1" firstDataRow="1" firstDataCol="1"/>
  <pivotFields count="19">
    <pivotField dataField="1" showAll="0"/>
    <pivotField showAll="0"/>
    <pivotField numFmtId="14" showAll="0"/>
    <pivotField showAll="0"/>
    <pivotField showAll="0"/>
    <pivotField numFmtId="164" showAll="0"/>
    <pivotField showAll="0">
      <items count="3">
        <item x="1"/>
        <item x="0"/>
        <item t="default"/>
      </items>
    </pivotField>
    <pivotField showAll="0">
      <items count="3">
        <item x="0"/>
        <item x="1"/>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numFmtId="164" showAll="0"/>
  </pivotFields>
  <rowFields count="1">
    <field x="9"/>
  </rowFields>
  <rowItems count="3">
    <i>
      <x v="2"/>
    </i>
    <i>
      <x/>
    </i>
    <i>
      <x v="1"/>
    </i>
  </rowItems>
  <colItems count="1">
    <i/>
  </colItems>
  <dataFields count="1">
    <dataField name="Orders %" fld="0" subtotal="count" showDataAs="percentOfTotal" baseField="0" baseItem="0" numFmtId="10"/>
  </dataFields>
  <formats count="2">
    <format dxfId="6">
      <pivotArea dataOnly="0" labelOnly="1" outline="0" axis="axisValues" fieldPosition="0"/>
    </format>
    <format dxfId="5">
      <pivotArea dataOnly="0" labelOnly="1" outline="0" axis="axisValues" fieldPosition="0"/>
    </format>
  </formats>
  <chartFormats count="16">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0"/>
          </reference>
        </references>
      </pivotArea>
    </chartFormat>
    <chartFormat chart="5" format="12">
      <pivotArea type="data" outline="0" fieldPosition="0">
        <references count="2">
          <reference field="4294967294" count="1" selected="0">
            <x v="0"/>
          </reference>
          <reference field="9"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9" count="1" selected="0">
            <x v="2"/>
          </reference>
        </references>
      </pivotArea>
    </chartFormat>
    <chartFormat chart="6" format="15">
      <pivotArea type="data" outline="0" fieldPosition="0">
        <references count="2">
          <reference field="4294967294" count="1" selected="0">
            <x v="0"/>
          </reference>
          <reference field="9" count="1" selected="0">
            <x v="0"/>
          </reference>
        </references>
      </pivotArea>
    </chartFormat>
    <chartFormat chart="6" format="16">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2"/>
          </reference>
        </references>
      </pivotArea>
    </chartFormat>
    <chartFormat chart="4" format="10">
      <pivotArea type="data" outline="0" fieldPosition="0">
        <references count="2">
          <reference field="4294967294" count="1" selected="0">
            <x v="0"/>
          </reference>
          <reference field="9" count="1" selected="0">
            <x v="0"/>
          </reference>
        </references>
      </pivotArea>
    </chartFormat>
    <chartFormat chart="4" format="11">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A1972C-3942-412F-91B4-BE668E1CC8C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Route">
  <location ref="A3:B8" firstHeaderRow="1" firstDataRow="1" firstDataCol="1"/>
  <pivotFields count="19">
    <pivotField dataField="1" showAll="0"/>
    <pivotField showAll="0"/>
    <pivotField numFmtId="14" showAll="0"/>
    <pivotField showAll="0"/>
    <pivotField showAll="0"/>
    <pivotField numFmtId="164" showAll="0"/>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axis="axisRow"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numFmtId="164" showAll="0"/>
  </pivotFields>
  <rowFields count="1">
    <field x="15"/>
  </rowFields>
  <rowItems count="5">
    <i>
      <x v="4"/>
    </i>
    <i>
      <x v="1"/>
    </i>
    <i>
      <x v="2"/>
    </i>
    <i>
      <x/>
    </i>
    <i>
      <x v="3"/>
    </i>
  </rowItems>
  <colItems count="1">
    <i/>
  </colItems>
  <dataFields count="1">
    <dataField name="Orders %" fld="0" subtotal="count" showDataAs="percentOfTotal" baseField="13" baseItem="0" numFmtId="10"/>
  </dataFields>
  <formats count="3">
    <format dxfId="9">
      <pivotArea dataOnly="0" labelOnly="1" outline="0" axis="axisValues" fieldPosition="0"/>
    </format>
    <format dxfId="8">
      <pivotArea field="15" type="button" dataOnly="0" labelOnly="1" outline="0" axis="axisRow" fieldPosition="0"/>
    </format>
    <format dxfId="7">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5"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3C9953-1627-46CA-A38B-1ADAA072A08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Allocation">
  <location ref="A39:B42" firstHeaderRow="1" firstDataRow="1" firstDataCol="1"/>
  <pivotFields count="19">
    <pivotField dataField="1" showAll="0"/>
    <pivotField showAll="0"/>
    <pivotField numFmtId="14" showAll="0"/>
    <pivotField showAll="0"/>
    <pivotField showAll="0"/>
    <pivotField numFmtId="164" showAll="0"/>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64" showAll="0"/>
  </pivotFields>
  <rowFields count="1">
    <field x="17"/>
  </rowFields>
  <rowItems count="3">
    <i>
      <x v="2"/>
    </i>
    <i>
      <x/>
    </i>
    <i>
      <x v="1"/>
    </i>
  </rowItems>
  <colItems count="1">
    <i/>
  </colItems>
  <dataFields count="1">
    <dataField name="Orders %" fld="0" subtotal="count" showDataAs="percentOfTotal" baseField="0" baseItem="0" numFmtId="10"/>
  </dataFields>
  <formats count="4">
    <format dxfId="13">
      <pivotArea dataOnly="0" labelOnly="1" outline="0" axis="axisValues" fieldPosition="0"/>
    </format>
    <format dxfId="12">
      <pivotArea dataOnly="0" labelOnly="1" outline="0" axis="axisValues" fieldPosition="0"/>
    </format>
    <format dxfId="11">
      <pivotArea field="17" type="button" dataOnly="0" labelOnly="1" outline="0" axis="axisRow" fieldPosition="0"/>
    </format>
    <format dxfId="10">
      <pivotArea field="17" type="button" dataOnly="0" labelOnly="1" outline="0" axis="axisRow" fieldPosition="0"/>
    </format>
  </format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7" count="1" selected="0">
            <x v="2"/>
          </reference>
        </references>
      </pivotArea>
    </chartFormat>
    <chartFormat chart="3" format="7">
      <pivotArea type="data" outline="0" fieldPosition="0">
        <references count="2">
          <reference field="4294967294" count="1" selected="0">
            <x v="0"/>
          </reference>
          <reference field="17" count="1" selected="0">
            <x v="0"/>
          </reference>
        </references>
      </pivotArea>
    </chartFormat>
    <chartFormat chart="3" format="8">
      <pivotArea type="data" outline="0" fieldPosition="0">
        <references count="2">
          <reference field="4294967294" count="1" selected="0">
            <x v="0"/>
          </reference>
          <reference field="17" count="1" selected="0">
            <x v="1"/>
          </reference>
        </references>
      </pivotArea>
    </chartFormat>
    <chartFormat chart="1" format="1">
      <pivotArea type="data" outline="0" fieldPosition="0">
        <references count="2">
          <reference field="4294967294" count="1" selected="0">
            <x v="0"/>
          </reference>
          <reference field="17" count="1" selected="0">
            <x v="2"/>
          </reference>
        </references>
      </pivotArea>
    </chartFormat>
    <chartFormat chart="1" format="2">
      <pivotArea type="data" outline="0" fieldPosition="0">
        <references count="2">
          <reference field="4294967294" count="1" selected="0">
            <x v="0"/>
          </reference>
          <reference field="17" count="1" selected="0">
            <x v="0"/>
          </reference>
        </references>
      </pivotArea>
    </chartFormat>
    <chartFormat chart="1" format="3">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5B9DB0-8DE2-4C10-90E7-B1679CE1D5B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Day">
  <location ref="A26:B33" firstHeaderRow="1" firstDataRow="1" firstDataCol="1"/>
  <pivotFields count="19">
    <pivotField dataField="1" showAll="0"/>
    <pivotField showAll="0"/>
    <pivotField numFmtId="14" showAll="0"/>
    <pivotField showAll="0"/>
    <pivotField axis="axisRow" showAll="0">
      <items count="8">
        <item x="1"/>
        <item x="6"/>
        <item x="5"/>
        <item x="2"/>
        <item x="3"/>
        <item x="4"/>
        <item x="0"/>
        <item t="default"/>
      </items>
    </pivotField>
    <pivotField numFmtId="164" showAll="0"/>
    <pivotField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numFmtId="164" showAll="0"/>
  </pivotFields>
  <rowFields count="1">
    <field x="4"/>
  </rowFields>
  <rowItems count="7">
    <i>
      <x/>
    </i>
    <i>
      <x v="1"/>
    </i>
    <i>
      <x v="2"/>
    </i>
    <i>
      <x v="3"/>
    </i>
    <i>
      <x v="4"/>
    </i>
    <i>
      <x v="5"/>
    </i>
    <i>
      <x v="6"/>
    </i>
  </rowItems>
  <colItems count="1">
    <i/>
  </colItems>
  <dataFields count="1">
    <dataField name="Count of Order ID" fld="0" subtotal="count" showDataAs="percentOfTotal" baseField="0" baseItem="0" numFmtId="10"/>
  </dataFields>
  <formats count="4">
    <format dxfId="17">
      <pivotArea dataOnly="0" labelOnly="1" outline="0" axis="axisValues" fieldPosition="0"/>
    </format>
    <format dxfId="16">
      <pivotArea dataOnly="0" labelOnly="1" outline="0" axis="axisValues" fieldPosition="0"/>
    </format>
    <format dxfId="15">
      <pivotArea field="4" type="button" dataOnly="0" labelOnly="1" outline="0" axis="axisRow" fieldPosition="0"/>
    </format>
    <format dxfId="14">
      <pivotArea outline="0" fieldPosition="0">
        <references count="1">
          <reference field="4294967294" count="1">
            <x v="0"/>
          </reference>
        </references>
      </pivotArea>
    </format>
  </formats>
  <chartFormats count="9">
    <chartFormat chart="6" format="0" series="1">
      <pivotArea type="data" outline="0" fieldPosition="0">
        <references count="1">
          <reference field="4294967294" count="1" selected="0">
            <x v="0"/>
          </reference>
        </references>
      </pivotArea>
    </chartFormat>
    <chartFormat chart="9" format="16" series="1">
      <pivotArea type="data" outline="0" fieldPosition="0">
        <references count="1">
          <reference field="4294967294" count="1" selected="0">
            <x v="0"/>
          </reference>
        </references>
      </pivotArea>
    </chartFormat>
    <chartFormat chart="9" format="24">
      <pivotArea type="data" outline="0" fieldPosition="0">
        <references count="2">
          <reference field="4294967294" count="1" selected="0">
            <x v="0"/>
          </reference>
          <reference field="4" count="1" selected="0">
            <x v="4"/>
          </reference>
        </references>
      </pivotArea>
    </chartFormat>
    <chartFormat chart="9" format="25">
      <pivotArea type="data" outline="0" fieldPosition="0">
        <references count="2">
          <reference field="4294967294" count="1" selected="0">
            <x v="0"/>
          </reference>
          <reference field="4" count="1" selected="0">
            <x v="3"/>
          </reference>
        </references>
      </pivotArea>
    </chartFormat>
    <chartFormat chart="9" format="26">
      <pivotArea type="data" outline="0" fieldPosition="0">
        <references count="2">
          <reference field="4294967294" count="1" selected="0">
            <x v="0"/>
          </reference>
          <reference field="4" count="1" selected="0">
            <x v="2"/>
          </reference>
        </references>
      </pivotArea>
    </chartFormat>
    <chartFormat chart="9" format="27">
      <pivotArea type="data" outline="0" fieldPosition="0">
        <references count="2">
          <reference field="4294967294" count="1" selected="0">
            <x v="0"/>
          </reference>
          <reference field="4" count="1" selected="0">
            <x v="1"/>
          </reference>
        </references>
      </pivotArea>
    </chartFormat>
    <chartFormat chart="9" format="28">
      <pivotArea type="data" outline="0" fieldPosition="0">
        <references count="2">
          <reference field="4294967294" count="1" selected="0">
            <x v="0"/>
          </reference>
          <reference field="4" count="1" selected="0">
            <x v="0"/>
          </reference>
        </references>
      </pivotArea>
    </chartFormat>
    <chartFormat chart="9" format="29">
      <pivotArea type="data" outline="0" fieldPosition="0">
        <references count="2">
          <reference field="4294967294" count="1" selected="0">
            <x v="0"/>
          </reference>
          <reference field="4" count="1" selected="0">
            <x v="5"/>
          </reference>
        </references>
      </pivotArea>
    </chartFormat>
    <chartFormat chart="9" format="30">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7F4D72-ABD2-40F4-B6A2-EEF9A2F0414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Zone">
  <location ref="A52:B55" firstHeaderRow="1" firstDataRow="1" firstDataCol="1"/>
  <pivotFields count="19">
    <pivotField dataField="1" showAll="0"/>
    <pivotField showAll="0"/>
    <pivotField numFmtId="14" showAll="0"/>
    <pivotField showAll="0"/>
    <pivotField showAll="0"/>
    <pivotField numFmtId="164" showAll="0"/>
    <pivotField showAll="0"/>
    <pivotField showAll="0">
      <items count="3">
        <item x="0"/>
        <item x="1"/>
        <item t="default"/>
      </items>
    </pivotField>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h="1" x="1"/>
        <item h="1" m="1" x="2"/>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numFmtId="164" showAll="0"/>
  </pivotFields>
  <rowFields count="1">
    <field x="16"/>
  </rowFields>
  <rowItems count="3">
    <i>
      <x/>
    </i>
    <i>
      <x v="1"/>
    </i>
    <i>
      <x v="2"/>
    </i>
  </rowItems>
  <colItems count="1">
    <i/>
  </colItems>
  <dataFields count="1">
    <dataField name="Order Volume" fld="0" subtotal="count" showDataAs="percentOfTotal" baseField="8" baseItem="0" numFmtId="10"/>
  </dataFields>
  <formats count="3">
    <format dxfId="20">
      <pivotArea field="16" type="button" dataOnly="0" labelOnly="1" outline="0" axis="axisRow" fieldPosition="0"/>
    </format>
    <format dxfId="19">
      <pivotArea dataOnly="0" labelOnly="1" outline="0" axis="axisValues" fieldPosition="0"/>
    </format>
    <format dxfId="18">
      <pivotArea field="16" type="button" dataOnly="0" labelOnly="1" outline="0" axis="axisRow" fieldPosition="0"/>
    </format>
  </format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6DB234B-9C3E-4BAF-AD04-301B6D7486E5}" autoFormatId="16" applyNumberFormats="0" applyBorderFormats="0" applyFontFormats="0" applyPatternFormats="0" applyAlignmentFormats="0" applyWidthHeightFormats="0">
  <queryTableRefresh nextId="24">
    <queryTableFields count="18">
      <queryTableField id="1" name="Order ID" tableColumnId="1"/>
      <queryTableField id="2" name="Delivery Address" tableColumnId="2"/>
      <queryTableField id="3" name="Order date" tableColumnId="3"/>
      <queryTableField id="17" dataBound="0" tableColumnId="18"/>
      <queryTableField id="16" dataBound="0" tableColumnId="17"/>
      <queryTableField id="4" name="Order time" tableColumnId="4"/>
      <queryTableField id="5" name="Order Status" tableColumnId="5"/>
      <queryTableField id="23" dataBound="0" tableColumnId="20"/>
      <queryTableField id="6" name="Driver ID" tableColumnId="6"/>
      <queryTableField id="19" name="Vehicle" tableColumnId="7"/>
      <queryTableField id="8" name="Current Location" tableColumnId="8"/>
      <queryTableField id="9" name="Delivery Time (min)" tableColumnId="9"/>
      <queryTableField id="10" name="Delays (min)" tableColumnId="10"/>
      <queryTableField id="11" name="Customer Feedback" tableColumnId="11"/>
      <queryTableField id="12" name="Route" tableColumnId="12"/>
      <queryTableField id="13" name="Delivery Zone" tableColumnId="13"/>
      <queryTableField id="14" name="Allocation Rules" tableColumnId="14"/>
      <queryTableField id="20" name="Timestamp for Tracking" tableColumnId="15"/>
    </queryTableFields>
    <queryTableDeletedFields count="1">
      <deletedField name="Timestamp for Tracking"/>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65CBFFA-53D3-4D44-845F-B3810940EB6B}" autoFormatId="16" applyNumberFormats="0" applyBorderFormats="0" applyFontFormats="0" applyPatternFormats="0" applyAlignmentFormats="0" applyWidthHeightFormats="0">
  <queryTableRefresh nextId="3">
    <queryTableFields count="2">
      <queryTableField id="1" name="Allocation Rule" tableColumnId="1"/>
      <queryTableField id="2" name="Explanat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52A1981-8B8A-4CF2-ABDF-51D2A74D14FC}" sourceName="Order Status">
  <pivotTables>
    <pivotTable tabId="6" name="PivotTable1"/>
    <pivotTable tabId="6" name="PivotTable2"/>
    <pivotTable tabId="6" name="PivotTable3"/>
    <pivotTable tabId="6" name="PivotTable4"/>
    <pivotTable tabId="6" name="PivotTable5"/>
  </pivotTables>
  <data>
    <tabular pivotCacheId="211510243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Flag" xr10:uid="{3F3A65B4-3CCF-4C9B-92AD-7E913EB0820B}" sourceName="Order Flag">
  <pivotTables>
    <pivotTable tabId="6" name="PivotTable6"/>
    <pivotTable tabId="6" name="PivotTable1"/>
    <pivotTable tabId="6" name="PivotTable2"/>
    <pivotTable tabId="6" name="PivotTable3"/>
    <pivotTable tabId="6" name="PivotTable4"/>
    <pivotTable tabId="6" name="PivotTable5"/>
  </pivotTables>
  <data>
    <tabular pivotCacheId="2115102431">
      <items count="2">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Zone" xr10:uid="{C6E5967F-C267-47A9-A2BA-925798394BC0}" sourceName="Delivery Zone">
  <pivotTables>
    <pivotTable tabId="6" name="PivotTable1"/>
    <pivotTable tabId="6" name="PivotTable2"/>
    <pivotTable tabId="6" name="PivotTable3"/>
    <pivotTable tabId="6" name="PivotTable4"/>
    <pivotTable tabId="6" name="PivotTable5"/>
  </pivotTables>
  <data>
    <tabular pivotCacheId="211510243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DD53CDB8-BF9F-4673-B1C8-501FE2E1067D}" cache="Slicer_Order_Status" caption="Order Status" style="SlicerStyleOther2" rowHeight="216000"/>
  <slicer name="Order Flag" xr10:uid="{B000304F-3F3B-4B1B-AF5B-9CD33C5AAA0B}" cache="Slicer_Order_Flag" caption="Order Flag" style="SlicerStyleDark1" rowHeight="257175"/>
  <slicer name="Delivery Zone" xr10:uid="{205A5B12-C0A5-467E-9E03-96683052925F}" cache="Slicer_Delivery_Zone" caption="Delivery Zone"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Flag 1" xr10:uid="{FCF430E6-55D6-4191-85FF-78F9AF1CD520}" cache="Slicer_Order_Flag" caption="Order Flag" style="SlicerStyleDark1" rowHeight="257175"/>
  <slicer name="Delivery Zone 1" xr10:uid="{D0DE5360-553E-4892-924C-7E8F613A2A74}" cache="Slicer_Delivery_Zone" caption="Delivery Zone"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453E69-66B8-46F2-9F18-460A6CE89EF7}" name="Delivery_data" displayName="Delivery_data" ref="A1:R1501" tableType="queryTable" totalsRowShown="0">
  <sortState xmlns:xlrd2="http://schemas.microsoft.com/office/spreadsheetml/2017/richdata2" ref="A2:R1501">
    <sortCondition ref="I1:I1501"/>
  </sortState>
  <tableColumns count="18">
    <tableColumn id="1" xr3:uid="{D5D85968-27B4-4F2C-9C0D-9F0E8F9DDE25}" uniqueName="1" name="Order ID" queryTableFieldId="1" dataDxfId="36"/>
    <tableColumn id="2" xr3:uid="{F133355A-62D4-4066-A9DC-2C91A962F202}" uniqueName="2" name="Delivery Address" queryTableFieldId="2" dataDxfId="35"/>
    <tableColumn id="3" xr3:uid="{A5803CCD-7935-4B8B-895E-7FAB0E59C13D}" uniqueName="3" name="Order date" queryTableFieldId="3" dataDxfId="34"/>
    <tableColumn id="18" xr3:uid="{767C97BF-2BBF-44F5-908B-5EF6EB6F9323}" uniqueName="18" name="Month" queryTableFieldId="17" dataDxfId="33">
      <calculatedColumnFormula>TEXT(Delivery_data[[#This Row],[Order date]], "MMMM")</calculatedColumnFormula>
    </tableColumn>
    <tableColumn id="17" xr3:uid="{68539AE5-C5C5-44B3-9F0C-4D6109CCF95F}" uniqueName="17" name="Day" queryTableFieldId="16" dataDxfId="32">
      <calculatedColumnFormula>TEXT(Delivery_data[[#This Row],[Order date]], "DDDD")</calculatedColumnFormula>
    </tableColumn>
    <tableColumn id="4" xr3:uid="{417197EE-B867-41E2-A0E5-06B743C31603}" uniqueName="4" name="Order time" queryTableFieldId="4" dataDxfId="31"/>
    <tableColumn id="5" xr3:uid="{C426BF5E-7936-4540-BB36-D0683376DD2E}" uniqueName="5" name="Order Status" queryTableFieldId="5" dataDxfId="30"/>
    <tableColumn id="20" xr3:uid="{F5035467-A089-4256-ABA8-31098FAF0DE7}" uniqueName="20" name="Order Flag" queryTableFieldId="23" dataDxfId="29">
      <calculatedColumnFormula>IF(Delivery_data[[#This Row],[Order Status]] = "In Progress", "Backlog", "Complete")</calculatedColumnFormula>
    </tableColumn>
    <tableColumn id="6" xr3:uid="{A0CA5416-C121-4B2C-AC93-08C9D311600D}" uniqueName="6" name="Driver ID" queryTableFieldId="6" dataDxfId="28"/>
    <tableColumn id="7" xr3:uid="{712AF7EC-89EC-4606-868D-A6FCB6B56005}" uniqueName="7" name="Vehicle" queryTableFieldId="19" dataDxfId="27"/>
    <tableColumn id="8" xr3:uid="{D63A0CBB-9774-4452-99B7-D7F2F9881E9A}" uniqueName="8" name="Current Location" queryTableFieldId="8" dataDxfId="26"/>
    <tableColumn id="9" xr3:uid="{F0F8C435-59B2-4F69-A59F-829125892A2F}" uniqueName="9" name="Delivery Time (min)" queryTableFieldId="9"/>
    <tableColumn id="10" xr3:uid="{88D91BFD-6D97-4199-80E3-686DF0A1AA7C}" uniqueName="10" name="Delays (min)" queryTableFieldId="10"/>
    <tableColumn id="11" xr3:uid="{11832341-7B55-44D3-A1D9-06681D3CB4B1}" uniqueName="11" name="Customer Feedback" queryTableFieldId="11" dataDxfId="25"/>
    <tableColumn id="12" xr3:uid="{3ABFE4DD-F690-4C2E-BA77-5220065565AF}" uniqueName="12" name="Route" queryTableFieldId="12" dataDxfId="24"/>
    <tableColumn id="13" xr3:uid="{DF5A52F9-9D10-4B94-A32A-02043C2C2D3D}" uniqueName="13" name="Delivery Zone" queryTableFieldId="13" dataDxfId="23"/>
    <tableColumn id="14" xr3:uid="{E52A1950-B4B2-495D-9F7F-7A6BC747C4E3}" uniqueName="14" name="Allocation Rules" queryTableFieldId="14" dataDxfId="22"/>
    <tableColumn id="15" xr3:uid="{DECCE1D3-A94A-4030-B95F-9162588ED259}" uniqueName="15" name="Timestamp for Tracking" queryTableFieldId="20" dataDxfId="2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183FF0-5D3E-4C5B-B263-F9CF086073A0}" name="Allocation_Rule_explained" displayName="Allocation_Rule_explained" ref="A1:B4" tableType="queryTable" totalsRowShown="0">
  <tableColumns count="2">
    <tableColumn id="1" xr3:uid="{8083B6E8-10A5-412D-8919-A3C555AC4088}" uniqueName="1" name="Allocation Rule" queryTableFieldId="1" dataDxfId="1"/>
    <tableColumn id="2" xr3:uid="{6C4EB15C-E04E-48C3-B4D5-A72A97973310}" uniqueName="2" name="Explanation" queryTableFieldId="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52251-CBC7-4271-98F5-C371B0BAE194}">
  <sheetPr>
    <tabColor rgb="FFFF0000"/>
  </sheetPr>
  <dimension ref="A1:R1501"/>
  <sheetViews>
    <sheetView topLeftCell="D1" zoomScale="90" zoomScaleNormal="90" workbookViewId="0">
      <selection activeCell="M26" sqref="M26"/>
    </sheetView>
  </sheetViews>
  <sheetFormatPr defaultRowHeight="15" x14ac:dyDescent="0.25"/>
  <cols>
    <col min="1" max="1" width="11.140625" style="4" bestFit="1" customWidth="1"/>
    <col min="2" max="2" width="20.7109375" bestFit="1" customWidth="1"/>
    <col min="3" max="3" width="13.5703125" bestFit="1" customWidth="1"/>
    <col min="4" max="4" width="10.28515625" bestFit="1" customWidth="1"/>
    <col min="5" max="5" width="11.140625" bestFit="1" customWidth="1"/>
    <col min="6" max="6" width="13.7109375" bestFit="1" customWidth="1"/>
    <col min="7" max="7" width="15.85546875" bestFit="1" customWidth="1"/>
    <col min="8" max="8" width="13.28515625" bestFit="1" customWidth="1"/>
    <col min="9" max="9" width="11.7109375" bestFit="1" customWidth="1"/>
    <col min="10" max="10" width="7.7109375" bestFit="1" customWidth="1"/>
    <col min="11" max="11" width="20.7109375" bestFit="1" customWidth="1"/>
    <col min="12" max="12" width="24.5703125" bestFit="1" customWidth="1"/>
    <col min="13" max="13" width="16" bestFit="1" customWidth="1"/>
    <col min="14" max="14" width="23.85546875" bestFit="1" customWidth="1"/>
    <col min="15" max="15" width="18" customWidth="1"/>
    <col min="16" max="16" width="17.28515625" bestFit="1" customWidth="1"/>
    <col min="17" max="17" width="20.140625" bestFit="1" customWidth="1"/>
    <col min="18" max="18" width="22.28515625" bestFit="1" customWidth="1"/>
    <col min="19" max="19" width="20.28515625" customWidth="1"/>
  </cols>
  <sheetData>
    <row r="1" spans="1:18" ht="16.5" x14ac:dyDescent="0.25">
      <c r="A1" s="19" t="s">
        <v>8</v>
      </c>
      <c r="B1" s="18" t="s">
        <v>9</v>
      </c>
      <c r="C1" s="18" t="s">
        <v>10</v>
      </c>
      <c r="D1" s="18" t="s">
        <v>1614</v>
      </c>
      <c r="E1" s="18" t="s">
        <v>1613</v>
      </c>
      <c r="F1" s="18" t="s">
        <v>11</v>
      </c>
      <c r="G1" s="18" t="s">
        <v>12</v>
      </c>
      <c r="H1" s="18" t="s">
        <v>3134</v>
      </c>
      <c r="I1" s="18" t="s">
        <v>13</v>
      </c>
      <c r="J1" t="s">
        <v>1624</v>
      </c>
      <c r="K1" s="18" t="s">
        <v>14</v>
      </c>
      <c r="L1" s="18" t="s">
        <v>15</v>
      </c>
      <c r="M1" s="18" t="s">
        <v>16</v>
      </c>
      <c r="N1" s="18" t="s">
        <v>17</v>
      </c>
      <c r="O1" s="18" t="s">
        <v>18</v>
      </c>
      <c r="P1" s="18" t="s">
        <v>19</v>
      </c>
      <c r="Q1" s="18" t="s">
        <v>20</v>
      </c>
      <c r="R1" t="s">
        <v>1629</v>
      </c>
    </row>
    <row r="2" spans="1:18" x14ac:dyDescent="0.25">
      <c r="A2" t="s">
        <v>1643</v>
      </c>
      <c r="B2" t="s">
        <v>62</v>
      </c>
      <c r="C2" s="1">
        <v>45172</v>
      </c>
      <c r="D2" s="1" t="str">
        <f>TEXT(Delivery_data[[#This Row],[Order date]], "MMMM")</f>
        <v>September</v>
      </c>
      <c r="E2" s="1" t="str">
        <f>TEXT(Delivery_data[[#This Row],[Order date]], "DDDD")</f>
        <v>Sunday</v>
      </c>
      <c r="F2" s="2">
        <v>0.4284722222222222</v>
      </c>
      <c r="G2" t="s">
        <v>48</v>
      </c>
      <c r="H2" t="str">
        <f>IF(Delivery_data[[#This Row],[Order Status]] = "In Progress", "Backlog", "Complete")</f>
        <v>Backlog</v>
      </c>
      <c r="I2" t="s">
        <v>63</v>
      </c>
      <c r="J2" t="s">
        <v>1631</v>
      </c>
      <c r="K2" t="s">
        <v>61</v>
      </c>
      <c r="L2">
        <v>203</v>
      </c>
      <c r="M2">
        <v>24</v>
      </c>
      <c r="N2" t="s">
        <v>25</v>
      </c>
      <c r="O2" t="s">
        <v>50</v>
      </c>
      <c r="P2" t="s">
        <v>34</v>
      </c>
      <c r="Q2" t="s">
        <v>28</v>
      </c>
      <c r="R2" s="2">
        <v>0.70833333333333337</v>
      </c>
    </row>
    <row r="3" spans="1:18" x14ac:dyDescent="0.25">
      <c r="A3" t="s">
        <v>1680</v>
      </c>
      <c r="B3" t="s">
        <v>129</v>
      </c>
      <c r="C3" s="1">
        <v>45173</v>
      </c>
      <c r="D3" s="1" t="str">
        <f>TEXT(Delivery_data[[#This Row],[Order date]], "MMMM")</f>
        <v>September</v>
      </c>
      <c r="E3" s="1" t="str">
        <f>TEXT(Delivery_data[[#This Row],[Order date]], "DDDD")</f>
        <v>Monday</v>
      </c>
      <c r="F3" s="2">
        <v>0.56874999999999998</v>
      </c>
      <c r="G3" t="s">
        <v>48</v>
      </c>
      <c r="H3" t="str">
        <f>IF(Delivery_data[[#This Row],[Order Status]] = "In Progress", "Backlog", "Complete")</f>
        <v>Backlog</v>
      </c>
      <c r="I3" t="s">
        <v>63</v>
      </c>
      <c r="J3" t="s">
        <v>1631</v>
      </c>
      <c r="K3" t="s">
        <v>61</v>
      </c>
      <c r="L3">
        <v>173</v>
      </c>
      <c r="M3">
        <v>8</v>
      </c>
      <c r="N3" t="s">
        <v>32</v>
      </c>
      <c r="O3" t="s">
        <v>54</v>
      </c>
      <c r="P3" t="s">
        <v>34</v>
      </c>
      <c r="Q3" t="s">
        <v>28</v>
      </c>
      <c r="R3" s="2">
        <v>0.46597222222222223</v>
      </c>
    </row>
    <row r="4" spans="1:18" x14ac:dyDescent="0.25">
      <c r="A4" t="s">
        <v>1723</v>
      </c>
      <c r="B4" t="s">
        <v>196</v>
      </c>
      <c r="C4" s="1">
        <v>45176</v>
      </c>
      <c r="D4" s="1" t="str">
        <f>TEXT(Delivery_data[[#This Row],[Order date]], "MMMM")</f>
        <v>September</v>
      </c>
      <c r="E4" s="1" t="str">
        <f>TEXT(Delivery_data[[#This Row],[Order date]], "DDDD")</f>
        <v>Thursday</v>
      </c>
      <c r="F4" s="2">
        <v>0.52847222222222223</v>
      </c>
      <c r="G4" t="s">
        <v>48</v>
      </c>
      <c r="H4" t="str">
        <f>IF(Delivery_data[[#This Row],[Order Status]] = "In Progress", "Backlog", "Complete")</f>
        <v>Backlog</v>
      </c>
      <c r="I4" t="s">
        <v>63</v>
      </c>
      <c r="J4" t="s">
        <v>1631</v>
      </c>
      <c r="K4" t="s">
        <v>44</v>
      </c>
      <c r="L4">
        <v>125</v>
      </c>
      <c r="M4">
        <v>4</v>
      </c>
      <c r="N4" t="s">
        <v>25</v>
      </c>
      <c r="O4" t="s">
        <v>41</v>
      </c>
      <c r="P4" t="s">
        <v>34</v>
      </c>
      <c r="Q4" t="s">
        <v>28</v>
      </c>
      <c r="R4" s="2">
        <v>0.57361111111111107</v>
      </c>
    </row>
    <row r="5" spans="1:18" x14ac:dyDescent="0.25">
      <c r="A5" t="s">
        <v>1833</v>
      </c>
      <c r="B5" t="s">
        <v>331</v>
      </c>
      <c r="C5" s="1">
        <v>45177</v>
      </c>
      <c r="D5" s="1" t="str">
        <f>TEXT(Delivery_data[[#This Row],[Order date]], "MMMM")</f>
        <v>September</v>
      </c>
      <c r="E5" s="1" t="str">
        <f>TEXT(Delivery_data[[#This Row],[Order date]], "DDDD")</f>
        <v>Friday</v>
      </c>
      <c r="F5" s="2">
        <v>0.45069444444444445</v>
      </c>
      <c r="G5" t="s">
        <v>48</v>
      </c>
      <c r="H5" t="str">
        <f>IF(Delivery_data[[#This Row],[Order Status]] = "In Progress", "Backlog", "Complete")</f>
        <v>Backlog</v>
      </c>
      <c r="I5" t="s">
        <v>63</v>
      </c>
      <c r="J5" t="s">
        <v>1631</v>
      </c>
      <c r="K5" t="s">
        <v>37</v>
      </c>
      <c r="L5">
        <v>67</v>
      </c>
      <c r="M5">
        <v>16</v>
      </c>
      <c r="N5" t="s">
        <v>38</v>
      </c>
      <c r="O5" t="s">
        <v>41</v>
      </c>
      <c r="P5" t="s">
        <v>45</v>
      </c>
      <c r="Q5" t="s">
        <v>51</v>
      </c>
      <c r="R5" s="2">
        <v>0.45694444444444443</v>
      </c>
    </row>
    <row r="6" spans="1:18" x14ac:dyDescent="0.25">
      <c r="A6" t="s">
        <v>2010</v>
      </c>
      <c r="B6" t="s">
        <v>515</v>
      </c>
      <c r="C6" s="1">
        <v>45171</v>
      </c>
      <c r="D6" s="1" t="str">
        <f>TEXT(Delivery_data[[#This Row],[Order date]], "MMMM")</f>
        <v>September</v>
      </c>
      <c r="E6" s="1" t="str">
        <f>TEXT(Delivery_data[[#This Row],[Order date]], "DDDD")</f>
        <v>Saturday</v>
      </c>
      <c r="F6" s="2">
        <v>0.38680555555555557</v>
      </c>
      <c r="G6" t="s">
        <v>22</v>
      </c>
      <c r="H6" t="str">
        <f>IF(Delivery_data[[#This Row],[Order Status]] = "In Progress", "Backlog", "Complete")</f>
        <v>Complete</v>
      </c>
      <c r="I6" t="s">
        <v>63</v>
      </c>
      <c r="J6" t="s">
        <v>1637</v>
      </c>
      <c r="K6" t="s">
        <v>31</v>
      </c>
      <c r="L6">
        <v>134</v>
      </c>
      <c r="M6">
        <v>16</v>
      </c>
      <c r="N6" t="s">
        <v>32</v>
      </c>
      <c r="O6" t="s">
        <v>54</v>
      </c>
      <c r="P6" t="s">
        <v>27</v>
      </c>
      <c r="Q6" t="s">
        <v>46</v>
      </c>
      <c r="R6" s="2">
        <v>0.68541666666666667</v>
      </c>
    </row>
    <row r="7" spans="1:18" x14ac:dyDescent="0.25">
      <c r="A7" t="s">
        <v>2199</v>
      </c>
      <c r="B7" t="s">
        <v>700</v>
      </c>
      <c r="C7" s="1">
        <v>45175</v>
      </c>
      <c r="D7" s="1" t="str">
        <f>TEXT(Delivery_data[[#This Row],[Order date]], "MMMM")</f>
        <v>September</v>
      </c>
      <c r="E7" s="1" t="str">
        <f>TEXT(Delivery_data[[#This Row],[Order date]], "DDDD")</f>
        <v>Wednesday</v>
      </c>
      <c r="F7" s="2">
        <v>0.55625000000000002</v>
      </c>
      <c r="G7" t="s">
        <v>22</v>
      </c>
      <c r="H7" t="str">
        <f>IF(Delivery_data[[#This Row],[Order Status]] = "In Progress", "Backlog", "Complete")</f>
        <v>Complete</v>
      </c>
      <c r="I7" t="s">
        <v>63</v>
      </c>
      <c r="J7" t="s">
        <v>1637</v>
      </c>
      <c r="K7" t="s">
        <v>24</v>
      </c>
      <c r="L7">
        <v>168</v>
      </c>
      <c r="M7">
        <v>19</v>
      </c>
      <c r="N7" t="s">
        <v>38</v>
      </c>
      <c r="O7" t="s">
        <v>26</v>
      </c>
      <c r="P7" t="s">
        <v>34</v>
      </c>
      <c r="Q7" t="s">
        <v>28</v>
      </c>
      <c r="R7" s="2">
        <v>0.65</v>
      </c>
    </row>
    <row r="8" spans="1:18" x14ac:dyDescent="0.25">
      <c r="A8" t="s">
        <v>2203</v>
      </c>
      <c r="B8" t="s">
        <v>704</v>
      </c>
      <c r="C8" s="1">
        <v>45172</v>
      </c>
      <c r="D8" s="1" t="str">
        <f>TEXT(Delivery_data[[#This Row],[Order date]], "MMMM")</f>
        <v>September</v>
      </c>
      <c r="E8" s="1" t="str">
        <f>TEXT(Delivery_data[[#This Row],[Order date]], "DDDD")</f>
        <v>Sunday</v>
      </c>
      <c r="F8" s="2">
        <v>0.60972222222222228</v>
      </c>
      <c r="G8" t="s">
        <v>22</v>
      </c>
      <c r="H8" t="str">
        <f>IF(Delivery_data[[#This Row],[Order Status]] = "In Progress", "Backlog", "Complete")</f>
        <v>Complete</v>
      </c>
      <c r="I8" t="s">
        <v>63</v>
      </c>
      <c r="J8" t="s">
        <v>1637</v>
      </c>
      <c r="K8" t="s">
        <v>61</v>
      </c>
      <c r="L8">
        <v>208</v>
      </c>
      <c r="M8">
        <v>7</v>
      </c>
      <c r="N8" t="s">
        <v>32</v>
      </c>
      <c r="O8" t="s">
        <v>33</v>
      </c>
      <c r="P8" t="s">
        <v>27</v>
      </c>
      <c r="Q8" t="s">
        <v>46</v>
      </c>
      <c r="R8" s="2">
        <v>0.65972222222222221</v>
      </c>
    </row>
    <row r="9" spans="1:18" x14ac:dyDescent="0.25">
      <c r="A9" t="s">
        <v>2220</v>
      </c>
      <c r="B9" t="s">
        <v>721</v>
      </c>
      <c r="C9" s="1">
        <v>45170</v>
      </c>
      <c r="D9" s="1" t="str">
        <f>TEXT(Delivery_data[[#This Row],[Order date]], "MMMM")</f>
        <v>September</v>
      </c>
      <c r="E9" s="1" t="str">
        <f>TEXT(Delivery_data[[#This Row],[Order date]], "DDDD")</f>
        <v>Friday</v>
      </c>
      <c r="F9" s="2">
        <v>0.59513888888888888</v>
      </c>
      <c r="G9" t="s">
        <v>22</v>
      </c>
      <c r="H9" t="str">
        <f>IF(Delivery_data[[#This Row],[Order Status]] = "In Progress", "Backlog", "Complete")</f>
        <v>Complete</v>
      </c>
      <c r="I9" t="s">
        <v>63</v>
      </c>
      <c r="J9" t="s">
        <v>1633</v>
      </c>
      <c r="K9" t="s">
        <v>44</v>
      </c>
      <c r="L9">
        <v>236</v>
      </c>
      <c r="M9">
        <v>9</v>
      </c>
      <c r="N9" t="s">
        <v>38</v>
      </c>
      <c r="O9" t="s">
        <v>26</v>
      </c>
      <c r="P9" t="s">
        <v>27</v>
      </c>
      <c r="Q9" t="s">
        <v>51</v>
      </c>
      <c r="R9" s="2">
        <v>0.42083333333333334</v>
      </c>
    </row>
    <row r="10" spans="1:18" x14ac:dyDescent="0.25">
      <c r="A10" t="s">
        <v>2221</v>
      </c>
      <c r="B10" t="s">
        <v>722</v>
      </c>
      <c r="C10" s="1">
        <v>45173</v>
      </c>
      <c r="D10" s="1" t="str">
        <f>TEXT(Delivery_data[[#This Row],[Order date]], "MMMM")</f>
        <v>September</v>
      </c>
      <c r="E10" s="1" t="str">
        <f>TEXT(Delivery_data[[#This Row],[Order date]], "DDDD")</f>
        <v>Monday</v>
      </c>
      <c r="F10" s="2">
        <v>0.63194444444444442</v>
      </c>
      <c r="G10" t="s">
        <v>22</v>
      </c>
      <c r="H10" t="str">
        <f>IF(Delivery_data[[#This Row],[Order Status]] = "In Progress", "Backlog", "Complete")</f>
        <v>Complete</v>
      </c>
      <c r="I10" t="s">
        <v>63</v>
      </c>
      <c r="J10" t="s">
        <v>1633</v>
      </c>
      <c r="K10" t="s">
        <v>37</v>
      </c>
      <c r="L10">
        <v>149</v>
      </c>
      <c r="M10">
        <v>5</v>
      </c>
      <c r="N10" t="s">
        <v>32</v>
      </c>
      <c r="O10" t="s">
        <v>26</v>
      </c>
      <c r="P10" t="s">
        <v>27</v>
      </c>
      <c r="Q10" t="s">
        <v>51</v>
      </c>
      <c r="R10" s="2">
        <v>0.66319444444444442</v>
      </c>
    </row>
    <row r="11" spans="1:18" x14ac:dyDescent="0.25">
      <c r="A11" t="s">
        <v>2233</v>
      </c>
      <c r="B11" t="s">
        <v>733</v>
      </c>
      <c r="C11" s="1">
        <v>45170</v>
      </c>
      <c r="D11" s="1" t="str">
        <f>TEXT(Delivery_data[[#This Row],[Order date]], "MMMM")</f>
        <v>September</v>
      </c>
      <c r="E11" s="1" t="str">
        <f>TEXT(Delivery_data[[#This Row],[Order date]], "DDDD")</f>
        <v>Friday</v>
      </c>
      <c r="F11" s="2">
        <v>0.69513888888888886</v>
      </c>
      <c r="G11" t="s">
        <v>48</v>
      </c>
      <c r="H11" t="str">
        <f>IF(Delivery_data[[#This Row],[Order Status]] = "In Progress", "Backlog", "Complete")</f>
        <v>Backlog</v>
      </c>
      <c r="I11" t="s">
        <v>63</v>
      </c>
      <c r="J11" t="s">
        <v>1631</v>
      </c>
      <c r="K11" t="s">
        <v>24</v>
      </c>
      <c r="L11">
        <v>72</v>
      </c>
      <c r="M11">
        <v>16</v>
      </c>
      <c r="N11" t="s">
        <v>25</v>
      </c>
      <c r="O11" t="s">
        <v>33</v>
      </c>
      <c r="P11" t="s">
        <v>27</v>
      </c>
      <c r="Q11" t="s">
        <v>28</v>
      </c>
      <c r="R11" s="2">
        <v>0.71805555555555556</v>
      </c>
    </row>
    <row r="12" spans="1:18" x14ac:dyDescent="0.25">
      <c r="A12" t="s">
        <v>2368</v>
      </c>
      <c r="B12" t="s">
        <v>865</v>
      </c>
      <c r="C12" s="1">
        <v>45177</v>
      </c>
      <c r="D12" s="1" t="str">
        <f>TEXT(Delivery_data[[#This Row],[Order date]], "MMMM")</f>
        <v>September</v>
      </c>
      <c r="E12" s="1" t="str">
        <f>TEXT(Delivery_data[[#This Row],[Order date]], "DDDD")</f>
        <v>Friday</v>
      </c>
      <c r="F12" s="2">
        <v>0.52013888888888893</v>
      </c>
      <c r="G12" t="s">
        <v>48</v>
      </c>
      <c r="H12" t="str">
        <f>IF(Delivery_data[[#This Row],[Order Status]] = "In Progress", "Backlog", "Complete")</f>
        <v>Backlog</v>
      </c>
      <c r="I12" t="s">
        <v>63</v>
      </c>
      <c r="J12" t="s">
        <v>1631</v>
      </c>
      <c r="K12" t="s">
        <v>61</v>
      </c>
      <c r="L12">
        <v>100</v>
      </c>
      <c r="M12">
        <v>26</v>
      </c>
      <c r="N12" t="s">
        <v>25</v>
      </c>
      <c r="O12" t="s">
        <v>26</v>
      </c>
      <c r="P12" t="s">
        <v>45</v>
      </c>
      <c r="Q12" t="s">
        <v>51</v>
      </c>
      <c r="R12" s="2">
        <v>0.63263888888888886</v>
      </c>
    </row>
    <row r="13" spans="1:18" x14ac:dyDescent="0.25">
      <c r="A13" t="s">
        <v>2496</v>
      </c>
      <c r="B13" t="s">
        <v>985</v>
      </c>
      <c r="C13" s="1">
        <v>45175</v>
      </c>
      <c r="D13" s="1" t="str">
        <f>TEXT(Delivery_data[[#This Row],[Order date]], "MMMM")</f>
        <v>September</v>
      </c>
      <c r="E13" s="1" t="str">
        <f>TEXT(Delivery_data[[#This Row],[Order date]], "DDDD")</f>
        <v>Wednesday</v>
      </c>
      <c r="F13" s="2">
        <v>0.53402777777777777</v>
      </c>
      <c r="G13" t="s">
        <v>22</v>
      </c>
      <c r="H13" t="str">
        <f>IF(Delivery_data[[#This Row],[Order Status]] = "In Progress", "Backlog", "Complete")</f>
        <v>Complete</v>
      </c>
      <c r="I13" t="s">
        <v>63</v>
      </c>
      <c r="J13" t="s">
        <v>1637</v>
      </c>
      <c r="K13" t="s">
        <v>24</v>
      </c>
      <c r="L13">
        <v>96</v>
      </c>
      <c r="M13">
        <v>28</v>
      </c>
      <c r="N13" t="s">
        <v>38</v>
      </c>
      <c r="O13" t="s">
        <v>26</v>
      </c>
      <c r="P13" t="s">
        <v>34</v>
      </c>
      <c r="Q13" t="s">
        <v>28</v>
      </c>
      <c r="R13" s="2">
        <v>0.65</v>
      </c>
    </row>
    <row r="14" spans="1:18" x14ac:dyDescent="0.25">
      <c r="A14" t="s">
        <v>2529</v>
      </c>
      <c r="B14" t="s">
        <v>1017</v>
      </c>
      <c r="C14" s="1">
        <v>45174</v>
      </c>
      <c r="D14" s="1" t="str">
        <f>TEXT(Delivery_data[[#This Row],[Order date]], "MMMM")</f>
        <v>September</v>
      </c>
      <c r="E14" s="1" t="str">
        <f>TEXT(Delivery_data[[#This Row],[Order date]], "DDDD")</f>
        <v>Tuesday</v>
      </c>
      <c r="F14" s="2">
        <v>0.35972222222222222</v>
      </c>
      <c r="G14" t="s">
        <v>48</v>
      </c>
      <c r="H14" t="str">
        <f>IF(Delivery_data[[#This Row],[Order Status]] = "In Progress", "Backlog", "Complete")</f>
        <v>Backlog</v>
      </c>
      <c r="I14" t="s">
        <v>63</v>
      </c>
      <c r="J14" t="s">
        <v>1633</v>
      </c>
      <c r="K14" t="s">
        <v>61</v>
      </c>
      <c r="L14">
        <v>183</v>
      </c>
      <c r="M14">
        <v>6</v>
      </c>
      <c r="N14" t="s">
        <v>25</v>
      </c>
      <c r="O14" t="s">
        <v>26</v>
      </c>
      <c r="P14" t="s">
        <v>27</v>
      </c>
      <c r="Q14" t="s">
        <v>51</v>
      </c>
      <c r="R14" s="2">
        <v>0.48472222222222222</v>
      </c>
    </row>
    <row r="15" spans="1:18" x14ac:dyDescent="0.25">
      <c r="A15" t="s">
        <v>2627</v>
      </c>
      <c r="B15" t="s">
        <v>1110</v>
      </c>
      <c r="C15" s="1">
        <v>45170</v>
      </c>
      <c r="D15" s="1" t="str">
        <f>TEXT(Delivery_data[[#This Row],[Order date]], "MMMM")</f>
        <v>September</v>
      </c>
      <c r="E15" s="1" t="str">
        <f>TEXT(Delivery_data[[#This Row],[Order date]], "DDDD")</f>
        <v>Friday</v>
      </c>
      <c r="F15" s="2">
        <v>0.57847222222222228</v>
      </c>
      <c r="G15" t="s">
        <v>48</v>
      </c>
      <c r="H15" t="str">
        <f>IF(Delivery_data[[#This Row],[Order Status]] = "In Progress", "Backlog", "Complete")</f>
        <v>Backlog</v>
      </c>
      <c r="I15" t="s">
        <v>63</v>
      </c>
      <c r="J15" t="s">
        <v>1637</v>
      </c>
      <c r="K15" t="s">
        <v>44</v>
      </c>
      <c r="L15">
        <v>172</v>
      </c>
      <c r="M15">
        <v>29</v>
      </c>
      <c r="N15" t="s">
        <v>25</v>
      </c>
      <c r="O15" t="s">
        <v>26</v>
      </c>
      <c r="P15" t="s">
        <v>27</v>
      </c>
      <c r="Q15" t="s">
        <v>46</v>
      </c>
      <c r="R15" s="2">
        <v>0.43611111111111112</v>
      </c>
    </row>
    <row r="16" spans="1:18" x14ac:dyDescent="0.25">
      <c r="A16" t="s">
        <v>2681</v>
      </c>
      <c r="B16" t="s">
        <v>1163</v>
      </c>
      <c r="C16" s="1">
        <v>45176</v>
      </c>
      <c r="D16" s="1" t="str">
        <f>TEXT(Delivery_data[[#This Row],[Order date]], "MMMM")</f>
        <v>September</v>
      </c>
      <c r="E16" s="1" t="str">
        <f>TEXT(Delivery_data[[#This Row],[Order date]], "DDDD")</f>
        <v>Thursday</v>
      </c>
      <c r="F16" s="2">
        <v>0.47083333333333333</v>
      </c>
      <c r="G16" t="s">
        <v>22</v>
      </c>
      <c r="H16" t="str">
        <f>IF(Delivery_data[[#This Row],[Order Status]] = "In Progress", "Backlog", "Complete")</f>
        <v>Complete</v>
      </c>
      <c r="I16" t="s">
        <v>63</v>
      </c>
      <c r="J16" t="s">
        <v>1631</v>
      </c>
      <c r="K16" t="s">
        <v>24</v>
      </c>
      <c r="L16">
        <v>100</v>
      </c>
      <c r="M16">
        <v>12</v>
      </c>
      <c r="N16" t="s">
        <v>32</v>
      </c>
      <c r="O16" t="s">
        <v>54</v>
      </c>
      <c r="P16" t="s">
        <v>27</v>
      </c>
      <c r="Q16" t="s">
        <v>46</v>
      </c>
      <c r="R16" s="2">
        <v>0.7006944444444444</v>
      </c>
    </row>
    <row r="17" spans="1:18" x14ac:dyDescent="0.25">
      <c r="A17" t="s">
        <v>2777</v>
      </c>
      <c r="B17" t="s">
        <v>1255</v>
      </c>
      <c r="C17" s="1">
        <v>45176</v>
      </c>
      <c r="D17" s="1" t="str">
        <f>TEXT(Delivery_data[[#This Row],[Order date]], "MMMM")</f>
        <v>September</v>
      </c>
      <c r="E17" s="1" t="str">
        <f>TEXT(Delivery_data[[#This Row],[Order date]], "DDDD")</f>
        <v>Thursday</v>
      </c>
      <c r="F17" s="2">
        <v>0.57222222222222219</v>
      </c>
      <c r="G17" t="s">
        <v>22</v>
      </c>
      <c r="H17" t="str">
        <f>IF(Delivery_data[[#This Row],[Order Status]] = "In Progress", "Backlog", "Complete")</f>
        <v>Complete</v>
      </c>
      <c r="I17" t="s">
        <v>63</v>
      </c>
      <c r="J17" t="s">
        <v>1633</v>
      </c>
      <c r="K17" t="s">
        <v>44</v>
      </c>
      <c r="L17">
        <v>115</v>
      </c>
      <c r="M17">
        <v>16</v>
      </c>
      <c r="N17" t="s">
        <v>25</v>
      </c>
      <c r="O17" t="s">
        <v>33</v>
      </c>
      <c r="P17" t="s">
        <v>45</v>
      </c>
      <c r="Q17" t="s">
        <v>46</v>
      </c>
      <c r="R17" s="2">
        <v>0.59930555555555554</v>
      </c>
    </row>
    <row r="18" spans="1:18" x14ac:dyDescent="0.25">
      <c r="A18" t="s">
        <v>2824</v>
      </c>
      <c r="B18" t="s">
        <v>1300</v>
      </c>
      <c r="C18" s="1">
        <v>45172</v>
      </c>
      <c r="D18" s="1" t="str">
        <f>TEXT(Delivery_data[[#This Row],[Order date]], "MMMM")</f>
        <v>September</v>
      </c>
      <c r="E18" s="1" t="str">
        <f>TEXT(Delivery_data[[#This Row],[Order date]], "DDDD")</f>
        <v>Sunday</v>
      </c>
      <c r="F18" s="2">
        <v>0.65416666666666667</v>
      </c>
      <c r="G18" t="s">
        <v>48</v>
      </c>
      <c r="H18" t="str">
        <f>IF(Delivery_data[[#This Row],[Order Status]] = "In Progress", "Backlog", "Complete")</f>
        <v>Backlog</v>
      </c>
      <c r="I18" t="s">
        <v>63</v>
      </c>
      <c r="J18" t="s">
        <v>1631</v>
      </c>
      <c r="K18" t="s">
        <v>37</v>
      </c>
      <c r="L18">
        <v>174</v>
      </c>
      <c r="M18">
        <v>22</v>
      </c>
      <c r="N18" t="s">
        <v>32</v>
      </c>
      <c r="O18" t="s">
        <v>33</v>
      </c>
      <c r="P18" t="s">
        <v>27</v>
      </c>
      <c r="Q18" t="s">
        <v>51</v>
      </c>
      <c r="R18" s="2">
        <v>0.69791666666666663</v>
      </c>
    </row>
    <row r="19" spans="1:18" x14ac:dyDescent="0.25">
      <c r="A19" t="s">
        <v>2894</v>
      </c>
      <c r="B19" t="s">
        <v>1367</v>
      </c>
      <c r="C19" s="1">
        <v>45176</v>
      </c>
      <c r="D19" s="1" t="str">
        <f>TEXT(Delivery_data[[#This Row],[Order date]], "MMMM")</f>
        <v>September</v>
      </c>
      <c r="E19" s="1" t="str">
        <f>TEXT(Delivery_data[[#This Row],[Order date]], "DDDD")</f>
        <v>Thursday</v>
      </c>
      <c r="F19" s="2">
        <v>0.38541666666666669</v>
      </c>
      <c r="G19" t="s">
        <v>48</v>
      </c>
      <c r="H19" t="str">
        <f>IF(Delivery_data[[#This Row],[Order Status]] = "In Progress", "Backlog", "Complete")</f>
        <v>Backlog</v>
      </c>
      <c r="I19" t="s">
        <v>63</v>
      </c>
      <c r="J19" t="s">
        <v>1637</v>
      </c>
      <c r="K19" t="s">
        <v>61</v>
      </c>
      <c r="L19">
        <v>162</v>
      </c>
      <c r="M19">
        <v>2</v>
      </c>
      <c r="N19" t="s">
        <v>32</v>
      </c>
      <c r="O19" t="s">
        <v>33</v>
      </c>
      <c r="P19" t="s">
        <v>45</v>
      </c>
      <c r="Q19" t="s">
        <v>46</v>
      </c>
      <c r="R19" s="2">
        <v>0.58402777777777781</v>
      </c>
    </row>
    <row r="20" spans="1:18" x14ac:dyDescent="0.25">
      <c r="A20" t="s">
        <v>2961</v>
      </c>
      <c r="B20" t="s">
        <v>1434</v>
      </c>
      <c r="C20" s="1">
        <v>45175</v>
      </c>
      <c r="D20" s="1" t="str">
        <f>TEXT(Delivery_data[[#This Row],[Order date]], "MMMM")</f>
        <v>September</v>
      </c>
      <c r="E20" s="1" t="str">
        <f>TEXT(Delivery_data[[#This Row],[Order date]], "DDDD")</f>
        <v>Wednesday</v>
      </c>
      <c r="F20" s="2">
        <v>0.4597222222222222</v>
      </c>
      <c r="G20" t="s">
        <v>22</v>
      </c>
      <c r="H20" t="str">
        <f>IF(Delivery_data[[#This Row],[Order Status]] = "In Progress", "Backlog", "Complete")</f>
        <v>Complete</v>
      </c>
      <c r="I20" t="s">
        <v>63</v>
      </c>
      <c r="J20" t="s">
        <v>1631</v>
      </c>
      <c r="K20" t="s">
        <v>37</v>
      </c>
      <c r="L20">
        <v>127</v>
      </c>
      <c r="M20">
        <v>17</v>
      </c>
      <c r="N20" t="s">
        <v>32</v>
      </c>
      <c r="O20" t="s">
        <v>54</v>
      </c>
      <c r="P20" t="s">
        <v>45</v>
      </c>
      <c r="Q20" t="s">
        <v>51</v>
      </c>
      <c r="R20" s="2">
        <v>0.39305555555555555</v>
      </c>
    </row>
    <row r="21" spans="1:18" x14ac:dyDescent="0.25">
      <c r="A21" t="s">
        <v>1657</v>
      </c>
      <c r="B21" t="s">
        <v>87</v>
      </c>
      <c r="C21" s="1">
        <v>45172</v>
      </c>
      <c r="D21" s="1" t="str">
        <f>TEXT(Delivery_data[[#This Row],[Order date]], "MMMM")</f>
        <v>September</v>
      </c>
      <c r="E21" s="1" t="str">
        <f>TEXT(Delivery_data[[#This Row],[Order date]], "DDDD")</f>
        <v>Sunday</v>
      </c>
      <c r="F21" s="2">
        <v>0.59027777777777779</v>
      </c>
      <c r="G21" t="s">
        <v>48</v>
      </c>
      <c r="H21" t="str">
        <f>IF(Delivery_data[[#This Row],[Order Status]] = "In Progress", "Backlog", "Complete")</f>
        <v>Backlog</v>
      </c>
      <c r="I21" t="s">
        <v>88</v>
      </c>
      <c r="J21" t="s">
        <v>1637</v>
      </c>
      <c r="K21" t="s">
        <v>24</v>
      </c>
      <c r="L21">
        <v>150</v>
      </c>
      <c r="M21">
        <v>0</v>
      </c>
      <c r="N21" t="s">
        <v>38</v>
      </c>
      <c r="O21" t="s">
        <v>26</v>
      </c>
      <c r="P21" t="s">
        <v>34</v>
      </c>
      <c r="Q21" t="s">
        <v>28</v>
      </c>
      <c r="R21" s="2">
        <v>0.60138888888888886</v>
      </c>
    </row>
    <row r="22" spans="1:18" x14ac:dyDescent="0.25">
      <c r="A22" t="s">
        <v>1857</v>
      </c>
      <c r="B22" t="s">
        <v>356</v>
      </c>
      <c r="C22" s="1">
        <v>45177</v>
      </c>
      <c r="D22" s="1" t="str">
        <f>TEXT(Delivery_data[[#This Row],[Order date]], "MMMM")</f>
        <v>September</v>
      </c>
      <c r="E22" s="1" t="str">
        <f>TEXT(Delivery_data[[#This Row],[Order date]], "DDDD")</f>
        <v>Friday</v>
      </c>
      <c r="F22" s="2">
        <v>0.60486111111111107</v>
      </c>
      <c r="G22" t="s">
        <v>22</v>
      </c>
      <c r="H22" t="str">
        <f>IF(Delivery_data[[#This Row],[Order Status]] = "In Progress", "Backlog", "Complete")</f>
        <v>Complete</v>
      </c>
      <c r="I22" t="s">
        <v>88</v>
      </c>
      <c r="J22" t="s">
        <v>1637</v>
      </c>
      <c r="K22" t="s">
        <v>37</v>
      </c>
      <c r="L22">
        <v>102</v>
      </c>
      <c r="M22">
        <v>29</v>
      </c>
      <c r="N22" t="s">
        <v>32</v>
      </c>
      <c r="O22" t="s">
        <v>54</v>
      </c>
      <c r="P22" t="s">
        <v>45</v>
      </c>
      <c r="Q22" t="s">
        <v>51</v>
      </c>
      <c r="R22" s="2">
        <v>0.70972222222222225</v>
      </c>
    </row>
    <row r="23" spans="1:18" x14ac:dyDescent="0.25">
      <c r="A23" t="s">
        <v>1987</v>
      </c>
      <c r="B23" t="s">
        <v>492</v>
      </c>
      <c r="C23" s="1">
        <v>45170</v>
      </c>
      <c r="D23" s="1" t="str">
        <f>TEXT(Delivery_data[[#This Row],[Order date]], "MMMM")</f>
        <v>September</v>
      </c>
      <c r="E23" s="1" t="str">
        <f>TEXT(Delivery_data[[#This Row],[Order date]], "DDDD")</f>
        <v>Friday</v>
      </c>
      <c r="F23" s="2">
        <v>0.39374999999999999</v>
      </c>
      <c r="G23" t="s">
        <v>22</v>
      </c>
      <c r="H23" t="str">
        <f>IF(Delivery_data[[#This Row],[Order Status]] = "In Progress", "Backlog", "Complete")</f>
        <v>Complete</v>
      </c>
      <c r="I23" t="s">
        <v>88</v>
      </c>
      <c r="J23" t="s">
        <v>1633</v>
      </c>
      <c r="K23" t="s">
        <v>37</v>
      </c>
      <c r="L23">
        <v>126</v>
      </c>
      <c r="M23">
        <v>9</v>
      </c>
      <c r="N23" t="s">
        <v>32</v>
      </c>
      <c r="O23" t="s">
        <v>41</v>
      </c>
      <c r="P23" t="s">
        <v>27</v>
      </c>
      <c r="Q23" t="s">
        <v>28</v>
      </c>
      <c r="R23" s="2">
        <v>0.48055555555555557</v>
      </c>
    </row>
    <row r="24" spans="1:18" x14ac:dyDescent="0.25">
      <c r="A24" t="s">
        <v>2541</v>
      </c>
      <c r="B24" t="s">
        <v>255</v>
      </c>
      <c r="C24" s="1">
        <v>45175</v>
      </c>
      <c r="D24" s="1" t="str">
        <f>TEXT(Delivery_data[[#This Row],[Order date]], "MMMM")</f>
        <v>September</v>
      </c>
      <c r="E24" s="1" t="str">
        <f>TEXT(Delivery_data[[#This Row],[Order date]], "DDDD")</f>
        <v>Wednesday</v>
      </c>
      <c r="F24" s="2">
        <v>0.56874999999999998</v>
      </c>
      <c r="G24" t="s">
        <v>48</v>
      </c>
      <c r="H24" t="str">
        <f>IF(Delivery_data[[#This Row],[Order Status]] = "In Progress", "Backlog", "Complete")</f>
        <v>Backlog</v>
      </c>
      <c r="I24" t="s">
        <v>88</v>
      </c>
      <c r="J24" t="s">
        <v>1637</v>
      </c>
      <c r="K24" t="s">
        <v>24</v>
      </c>
      <c r="L24">
        <v>128</v>
      </c>
      <c r="M24">
        <v>17</v>
      </c>
      <c r="N24" t="s">
        <v>38</v>
      </c>
      <c r="O24" t="s">
        <v>26</v>
      </c>
      <c r="P24" t="s">
        <v>34</v>
      </c>
      <c r="Q24" t="s">
        <v>28</v>
      </c>
      <c r="R24" s="2">
        <v>0.37291666666666667</v>
      </c>
    </row>
    <row r="25" spans="1:18" x14ac:dyDescent="0.25">
      <c r="A25" t="s">
        <v>2758</v>
      </c>
      <c r="B25" t="s">
        <v>1236</v>
      </c>
      <c r="C25" s="1">
        <v>45177</v>
      </c>
      <c r="D25" s="1" t="str">
        <f>TEXT(Delivery_data[[#This Row],[Order date]], "MMMM")</f>
        <v>September</v>
      </c>
      <c r="E25" s="1" t="str">
        <f>TEXT(Delivery_data[[#This Row],[Order date]], "DDDD")</f>
        <v>Friday</v>
      </c>
      <c r="F25" s="2">
        <v>0.52916666666666667</v>
      </c>
      <c r="G25" t="s">
        <v>22</v>
      </c>
      <c r="H25" t="str">
        <f>IF(Delivery_data[[#This Row],[Order Status]] = "In Progress", "Backlog", "Complete")</f>
        <v>Complete</v>
      </c>
      <c r="I25" t="s">
        <v>88</v>
      </c>
      <c r="J25" t="s">
        <v>1633</v>
      </c>
      <c r="K25" t="s">
        <v>44</v>
      </c>
      <c r="L25">
        <v>230</v>
      </c>
      <c r="M25">
        <v>12</v>
      </c>
      <c r="N25" t="s">
        <v>32</v>
      </c>
      <c r="O25" t="s">
        <v>26</v>
      </c>
      <c r="P25" t="s">
        <v>34</v>
      </c>
      <c r="Q25" t="s">
        <v>51</v>
      </c>
      <c r="R25" s="2">
        <v>0.50416666666666665</v>
      </c>
    </row>
    <row r="26" spans="1:18" x14ac:dyDescent="0.25">
      <c r="A26" t="s">
        <v>2893</v>
      </c>
      <c r="B26" t="s">
        <v>1366</v>
      </c>
      <c r="C26" s="1">
        <v>45177</v>
      </c>
      <c r="D26" s="1" t="str">
        <f>TEXT(Delivery_data[[#This Row],[Order date]], "MMMM")</f>
        <v>September</v>
      </c>
      <c r="E26" s="1" t="str">
        <f>TEXT(Delivery_data[[#This Row],[Order date]], "DDDD")</f>
        <v>Friday</v>
      </c>
      <c r="F26" s="2">
        <v>0.43402777777777779</v>
      </c>
      <c r="G26" t="s">
        <v>48</v>
      </c>
      <c r="H26" t="str">
        <f>IF(Delivery_data[[#This Row],[Order Status]] = "In Progress", "Backlog", "Complete")</f>
        <v>Backlog</v>
      </c>
      <c r="I26" t="s">
        <v>88</v>
      </c>
      <c r="J26" t="s">
        <v>1631</v>
      </c>
      <c r="K26" t="s">
        <v>44</v>
      </c>
      <c r="L26">
        <v>96</v>
      </c>
      <c r="M26">
        <v>21</v>
      </c>
      <c r="N26" t="s">
        <v>25</v>
      </c>
      <c r="O26" t="s">
        <v>50</v>
      </c>
      <c r="P26" t="s">
        <v>34</v>
      </c>
      <c r="Q26" t="s">
        <v>28</v>
      </c>
      <c r="R26" s="2">
        <v>0.64444444444444449</v>
      </c>
    </row>
    <row r="27" spans="1:18" x14ac:dyDescent="0.25">
      <c r="A27" t="s">
        <v>2930</v>
      </c>
      <c r="B27" t="s">
        <v>1403</v>
      </c>
      <c r="C27" s="1">
        <v>45170</v>
      </c>
      <c r="D27" s="1" t="str">
        <f>TEXT(Delivery_data[[#This Row],[Order date]], "MMMM")</f>
        <v>September</v>
      </c>
      <c r="E27" s="1" t="str">
        <f>TEXT(Delivery_data[[#This Row],[Order date]], "DDDD")</f>
        <v>Friday</v>
      </c>
      <c r="F27" s="2">
        <v>0.60486111111111107</v>
      </c>
      <c r="G27" t="s">
        <v>48</v>
      </c>
      <c r="H27" t="str">
        <f>IF(Delivery_data[[#This Row],[Order Status]] = "In Progress", "Backlog", "Complete")</f>
        <v>Backlog</v>
      </c>
      <c r="I27" t="s">
        <v>88</v>
      </c>
      <c r="J27" t="s">
        <v>1637</v>
      </c>
      <c r="K27" t="s">
        <v>61</v>
      </c>
      <c r="L27">
        <v>94</v>
      </c>
      <c r="M27">
        <v>6</v>
      </c>
      <c r="N27" t="s">
        <v>32</v>
      </c>
      <c r="O27" t="s">
        <v>41</v>
      </c>
      <c r="P27" t="s">
        <v>27</v>
      </c>
      <c r="Q27" t="s">
        <v>51</v>
      </c>
      <c r="R27" s="2">
        <v>0.47361111111111109</v>
      </c>
    </row>
    <row r="28" spans="1:18" x14ac:dyDescent="0.25">
      <c r="A28" t="s">
        <v>2938</v>
      </c>
      <c r="B28" t="s">
        <v>1411</v>
      </c>
      <c r="C28" s="1">
        <v>45177</v>
      </c>
      <c r="D28" s="1" t="str">
        <f>TEXT(Delivery_data[[#This Row],[Order date]], "MMMM")</f>
        <v>September</v>
      </c>
      <c r="E28" s="1" t="str">
        <f>TEXT(Delivery_data[[#This Row],[Order date]], "DDDD")</f>
        <v>Friday</v>
      </c>
      <c r="F28" s="2">
        <v>0.47083333333333333</v>
      </c>
      <c r="G28" t="s">
        <v>22</v>
      </c>
      <c r="H28" t="str">
        <f>IF(Delivery_data[[#This Row],[Order Status]] = "In Progress", "Backlog", "Complete")</f>
        <v>Complete</v>
      </c>
      <c r="I28" t="s">
        <v>88</v>
      </c>
      <c r="J28" t="s">
        <v>1637</v>
      </c>
      <c r="K28" t="s">
        <v>24</v>
      </c>
      <c r="L28">
        <v>173</v>
      </c>
      <c r="M28">
        <v>17</v>
      </c>
      <c r="N28" t="s">
        <v>25</v>
      </c>
      <c r="O28" t="s">
        <v>33</v>
      </c>
      <c r="P28" t="s">
        <v>34</v>
      </c>
      <c r="Q28" t="s">
        <v>28</v>
      </c>
      <c r="R28" s="2">
        <v>0.41736111111111113</v>
      </c>
    </row>
    <row r="29" spans="1:18" x14ac:dyDescent="0.25">
      <c r="A29" t="s">
        <v>2989</v>
      </c>
      <c r="B29" t="s">
        <v>1462</v>
      </c>
      <c r="C29" s="1">
        <v>45170</v>
      </c>
      <c r="D29" s="1" t="str">
        <f>TEXT(Delivery_data[[#This Row],[Order date]], "MMMM")</f>
        <v>September</v>
      </c>
      <c r="E29" s="1" t="str">
        <f>TEXT(Delivery_data[[#This Row],[Order date]], "DDDD")</f>
        <v>Friday</v>
      </c>
      <c r="F29" s="2">
        <v>0.51944444444444449</v>
      </c>
      <c r="G29" t="s">
        <v>48</v>
      </c>
      <c r="H29" t="str">
        <f>IF(Delivery_data[[#This Row],[Order Status]] = "In Progress", "Backlog", "Complete")</f>
        <v>Backlog</v>
      </c>
      <c r="I29" t="s">
        <v>88</v>
      </c>
      <c r="J29" t="s">
        <v>1631</v>
      </c>
      <c r="K29" t="s">
        <v>31</v>
      </c>
      <c r="L29">
        <v>134</v>
      </c>
      <c r="M29">
        <v>17</v>
      </c>
      <c r="N29" t="s">
        <v>32</v>
      </c>
      <c r="O29" t="s">
        <v>50</v>
      </c>
      <c r="P29" t="s">
        <v>27</v>
      </c>
      <c r="Q29" t="s">
        <v>46</v>
      </c>
      <c r="R29" s="2">
        <v>0.41875000000000001</v>
      </c>
    </row>
    <row r="30" spans="1:18" x14ac:dyDescent="0.25">
      <c r="A30" t="s">
        <v>3071</v>
      </c>
      <c r="B30" t="s">
        <v>1539</v>
      </c>
      <c r="C30" s="1">
        <v>45171</v>
      </c>
      <c r="D30" s="1" t="str">
        <f>TEXT(Delivery_data[[#This Row],[Order date]], "MMMM")</f>
        <v>September</v>
      </c>
      <c r="E30" s="1" t="str">
        <f>TEXT(Delivery_data[[#This Row],[Order date]], "DDDD")</f>
        <v>Saturday</v>
      </c>
      <c r="F30" s="2">
        <v>0.67222222222222228</v>
      </c>
      <c r="G30" t="s">
        <v>22</v>
      </c>
      <c r="H30" t="str">
        <f>IF(Delivery_data[[#This Row],[Order Status]] = "In Progress", "Backlog", "Complete")</f>
        <v>Complete</v>
      </c>
      <c r="I30" t="s">
        <v>88</v>
      </c>
      <c r="J30" t="s">
        <v>1633</v>
      </c>
      <c r="K30" t="s">
        <v>31</v>
      </c>
      <c r="L30">
        <v>217</v>
      </c>
      <c r="M30">
        <v>4</v>
      </c>
      <c r="N30" t="s">
        <v>25</v>
      </c>
      <c r="O30" t="s">
        <v>26</v>
      </c>
      <c r="P30" t="s">
        <v>34</v>
      </c>
      <c r="Q30" t="s">
        <v>28</v>
      </c>
      <c r="R30" s="2">
        <v>0.40347222222222223</v>
      </c>
    </row>
    <row r="31" spans="1:18" x14ac:dyDescent="0.25">
      <c r="A31" t="s">
        <v>1763</v>
      </c>
      <c r="B31" t="s">
        <v>247</v>
      </c>
      <c r="C31" s="1">
        <v>45174</v>
      </c>
      <c r="D31" s="1" t="str">
        <f>TEXT(Delivery_data[[#This Row],[Order date]], "MMMM")</f>
        <v>September</v>
      </c>
      <c r="E31" s="1" t="str">
        <f>TEXT(Delivery_data[[#This Row],[Order date]], "DDDD")</f>
        <v>Tuesday</v>
      </c>
      <c r="F31" s="2">
        <v>0.56597222222222221</v>
      </c>
      <c r="G31" t="s">
        <v>22</v>
      </c>
      <c r="H31" t="str">
        <f>IF(Delivery_data[[#This Row],[Order Status]] = "In Progress", "Backlog", "Complete")</f>
        <v>Complete</v>
      </c>
      <c r="I31" t="s">
        <v>248</v>
      </c>
      <c r="J31" t="s">
        <v>1633</v>
      </c>
      <c r="K31" t="s">
        <v>37</v>
      </c>
      <c r="L31">
        <v>73</v>
      </c>
      <c r="M31">
        <v>25</v>
      </c>
      <c r="N31" t="s">
        <v>32</v>
      </c>
      <c r="O31" t="s">
        <v>54</v>
      </c>
      <c r="P31" t="s">
        <v>34</v>
      </c>
      <c r="Q31" t="s">
        <v>28</v>
      </c>
      <c r="R31" s="2">
        <v>0.56874999999999998</v>
      </c>
    </row>
    <row r="32" spans="1:18" x14ac:dyDescent="0.25">
      <c r="A32" t="s">
        <v>1853</v>
      </c>
      <c r="B32" t="s">
        <v>352</v>
      </c>
      <c r="C32" s="1">
        <v>45170</v>
      </c>
      <c r="D32" s="1" t="str">
        <f>TEXT(Delivery_data[[#This Row],[Order date]], "MMMM")</f>
        <v>September</v>
      </c>
      <c r="E32" s="1" t="str">
        <f>TEXT(Delivery_data[[#This Row],[Order date]], "DDDD")</f>
        <v>Friday</v>
      </c>
      <c r="F32" s="2">
        <v>0.45277777777777778</v>
      </c>
      <c r="G32" t="s">
        <v>22</v>
      </c>
      <c r="H32" t="str">
        <f>IF(Delivery_data[[#This Row],[Order Status]] = "In Progress", "Backlog", "Complete")</f>
        <v>Complete</v>
      </c>
      <c r="I32" t="s">
        <v>248</v>
      </c>
      <c r="J32" t="s">
        <v>1631</v>
      </c>
      <c r="K32" t="s">
        <v>24</v>
      </c>
      <c r="L32">
        <v>177</v>
      </c>
      <c r="M32">
        <v>19</v>
      </c>
      <c r="N32" t="s">
        <v>25</v>
      </c>
      <c r="O32" t="s">
        <v>41</v>
      </c>
      <c r="P32" t="s">
        <v>34</v>
      </c>
      <c r="Q32" t="s">
        <v>51</v>
      </c>
      <c r="R32" s="2">
        <v>0.6791666666666667</v>
      </c>
    </row>
    <row r="33" spans="1:18" x14ac:dyDescent="0.25">
      <c r="A33" t="s">
        <v>1929</v>
      </c>
      <c r="B33" t="s">
        <v>432</v>
      </c>
      <c r="C33" s="1">
        <v>45176</v>
      </c>
      <c r="D33" s="1" t="str">
        <f>TEXT(Delivery_data[[#This Row],[Order date]], "MMMM")</f>
        <v>September</v>
      </c>
      <c r="E33" s="1" t="str">
        <f>TEXT(Delivery_data[[#This Row],[Order date]], "DDDD")</f>
        <v>Thursday</v>
      </c>
      <c r="F33" s="2">
        <v>0.37847222222222221</v>
      </c>
      <c r="G33" t="s">
        <v>48</v>
      </c>
      <c r="H33" t="str">
        <f>IF(Delivery_data[[#This Row],[Order Status]] = "In Progress", "Backlog", "Complete")</f>
        <v>Backlog</v>
      </c>
      <c r="I33" t="s">
        <v>248</v>
      </c>
      <c r="J33" t="s">
        <v>1633</v>
      </c>
      <c r="K33" t="s">
        <v>37</v>
      </c>
      <c r="L33">
        <v>175</v>
      </c>
      <c r="M33">
        <v>0</v>
      </c>
      <c r="N33" t="s">
        <v>32</v>
      </c>
      <c r="O33" t="s">
        <v>54</v>
      </c>
      <c r="P33" t="s">
        <v>45</v>
      </c>
      <c r="Q33" t="s">
        <v>28</v>
      </c>
      <c r="R33" s="2">
        <v>0.55138888888888893</v>
      </c>
    </row>
    <row r="34" spans="1:18" x14ac:dyDescent="0.25">
      <c r="A34" t="s">
        <v>1934</v>
      </c>
      <c r="B34" t="s">
        <v>437</v>
      </c>
      <c r="C34" s="1">
        <v>45171</v>
      </c>
      <c r="D34" s="1" t="str">
        <f>TEXT(Delivery_data[[#This Row],[Order date]], "MMMM")</f>
        <v>September</v>
      </c>
      <c r="E34" s="1" t="str">
        <f>TEXT(Delivery_data[[#This Row],[Order date]], "DDDD")</f>
        <v>Saturday</v>
      </c>
      <c r="F34" s="2">
        <v>0.45624999999999999</v>
      </c>
      <c r="G34" t="s">
        <v>48</v>
      </c>
      <c r="H34" t="str">
        <f>IF(Delivery_data[[#This Row],[Order Status]] = "In Progress", "Backlog", "Complete")</f>
        <v>Backlog</v>
      </c>
      <c r="I34" t="s">
        <v>248</v>
      </c>
      <c r="J34" t="s">
        <v>1633</v>
      </c>
      <c r="K34" t="s">
        <v>44</v>
      </c>
      <c r="L34">
        <v>237</v>
      </c>
      <c r="M34">
        <v>1</v>
      </c>
      <c r="N34" t="s">
        <v>32</v>
      </c>
      <c r="O34" t="s">
        <v>26</v>
      </c>
      <c r="P34" t="s">
        <v>45</v>
      </c>
      <c r="Q34" t="s">
        <v>28</v>
      </c>
      <c r="R34" s="2">
        <v>0.48958333333333331</v>
      </c>
    </row>
    <row r="35" spans="1:18" x14ac:dyDescent="0.25">
      <c r="A35" t="s">
        <v>1971</v>
      </c>
      <c r="B35" t="s">
        <v>476</v>
      </c>
      <c r="C35" s="1">
        <v>45173</v>
      </c>
      <c r="D35" s="1" t="str">
        <f>TEXT(Delivery_data[[#This Row],[Order date]], "MMMM")</f>
        <v>September</v>
      </c>
      <c r="E35" s="1" t="str">
        <f>TEXT(Delivery_data[[#This Row],[Order date]], "DDDD")</f>
        <v>Monday</v>
      </c>
      <c r="F35" s="2">
        <v>0.6069444444444444</v>
      </c>
      <c r="G35" t="s">
        <v>22</v>
      </c>
      <c r="H35" t="str">
        <f>IF(Delivery_data[[#This Row],[Order Status]] = "In Progress", "Backlog", "Complete")</f>
        <v>Complete</v>
      </c>
      <c r="I35" t="s">
        <v>248</v>
      </c>
      <c r="J35" t="s">
        <v>1637</v>
      </c>
      <c r="K35" t="s">
        <v>31</v>
      </c>
      <c r="L35">
        <v>149</v>
      </c>
      <c r="M35">
        <v>7</v>
      </c>
      <c r="N35" t="s">
        <v>38</v>
      </c>
      <c r="O35" t="s">
        <v>26</v>
      </c>
      <c r="P35" t="s">
        <v>27</v>
      </c>
      <c r="Q35" t="s">
        <v>28</v>
      </c>
      <c r="R35" s="2">
        <v>0.5180555555555556</v>
      </c>
    </row>
    <row r="36" spans="1:18" x14ac:dyDescent="0.25">
      <c r="A36" t="s">
        <v>1998</v>
      </c>
      <c r="B36" t="s">
        <v>503</v>
      </c>
      <c r="C36" s="1">
        <v>45174</v>
      </c>
      <c r="D36" s="1" t="str">
        <f>TEXT(Delivery_data[[#This Row],[Order date]], "MMMM")</f>
        <v>September</v>
      </c>
      <c r="E36" s="1" t="str">
        <f>TEXT(Delivery_data[[#This Row],[Order date]], "DDDD")</f>
        <v>Tuesday</v>
      </c>
      <c r="F36" s="2">
        <v>0.43263888888888891</v>
      </c>
      <c r="G36" t="s">
        <v>48</v>
      </c>
      <c r="H36" t="str">
        <f>IF(Delivery_data[[#This Row],[Order Status]] = "In Progress", "Backlog", "Complete")</f>
        <v>Backlog</v>
      </c>
      <c r="I36" t="s">
        <v>248</v>
      </c>
      <c r="J36" t="s">
        <v>1631</v>
      </c>
      <c r="K36" t="s">
        <v>37</v>
      </c>
      <c r="L36">
        <v>62</v>
      </c>
      <c r="M36">
        <v>19</v>
      </c>
      <c r="N36" t="s">
        <v>25</v>
      </c>
      <c r="O36" t="s">
        <v>41</v>
      </c>
      <c r="P36" t="s">
        <v>45</v>
      </c>
      <c r="Q36" t="s">
        <v>51</v>
      </c>
      <c r="R36" s="2">
        <v>0.64166666666666672</v>
      </c>
    </row>
    <row r="37" spans="1:18" x14ac:dyDescent="0.25">
      <c r="A37" t="s">
        <v>2226</v>
      </c>
      <c r="B37" t="s">
        <v>727</v>
      </c>
      <c r="C37" s="1">
        <v>45172</v>
      </c>
      <c r="D37" s="1" t="str">
        <f>TEXT(Delivery_data[[#This Row],[Order date]], "MMMM")</f>
        <v>September</v>
      </c>
      <c r="E37" s="1" t="str">
        <f>TEXT(Delivery_data[[#This Row],[Order date]], "DDDD")</f>
        <v>Sunday</v>
      </c>
      <c r="F37" s="2">
        <v>0.39652777777777776</v>
      </c>
      <c r="G37" t="s">
        <v>22</v>
      </c>
      <c r="H37" t="str">
        <f>IF(Delivery_data[[#This Row],[Order Status]] = "In Progress", "Backlog", "Complete")</f>
        <v>Complete</v>
      </c>
      <c r="I37" t="s">
        <v>248</v>
      </c>
      <c r="J37" t="s">
        <v>1631</v>
      </c>
      <c r="K37" t="s">
        <v>31</v>
      </c>
      <c r="L37">
        <v>169</v>
      </c>
      <c r="M37">
        <v>20</v>
      </c>
      <c r="N37" t="s">
        <v>25</v>
      </c>
      <c r="O37" t="s">
        <v>41</v>
      </c>
      <c r="P37" t="s">
        <v>34</v>
      </c>
      <c r="Q37" t="s">
        <v>46</v>
      </c>
      <c r="R37" s="2">
        <v>0.55347222222222225</v>
      </c>
    </row>
    <row r="38" spans="1:18" x14ac:dyDescent="0.25">
      <c r="A38" t="s">
        <v>2618</v>
      </c>
      <c r="B38" t="s">
        <v>1102</v>
      </c>
      <c r="C38" s="1">
        <v>45175</v>
      </c>
      <c r="D38" s="1" t="str">
        <f>TEXT(Delivery_data[[#This Row],[Order date]], "MMMM")</f>
        <v>September</v>
      </c>
      <c r="E38" s="1" t="str">
        <f>TEXT(Delivery_data[[#This Row],[Order date]], "DDDD")</f>
        <v>Wednesday</v>
      </c>
      <c r="F38" s="2">
        <v>0.68472222222222223</v>
      </c>
      <c r="G38" t="s">
        <v>48</v>
      </c>
      <c r="H38" t="str">
        <f>IF(Delivery_data[[#This Row],[Order Status]] = "In Progress", "Backlog", "Complete")</f>
        <v>Backlog</v>
      </c>
      <c r="I38" t="s">
        <v>248</v>
      </c>
      <c r="J38" t="s">
        <v>1631</v>
      </c>
      <c r="K38" t="s">
        <v>24</v>
      </c>
      <c r="L38">
        <v>160</v>
      </c>
      <c r="M38">
        <v>6</v>
      </c>
      <c r="N38" t="s">
        <v>25</v>
      </c>
      <c r="O38" t="s">
        <v>33</v>
      </c>
      <c r="P38" t="s">
        <v>27</v>
      </c>
      <c r="Q38" t="s">
        <v>28</v>
      </c>
      <c r="R38" s="2">
        <v>0.61875000000000002</v>
      </c>
    </row>
    <row r="39" spans="1:18" x14ac:dyDescent="0.25">
      <c r="A39" t="s">
        <v>2652</v>
      </c>
      <c r="B39" t="s">
        <v>1135</v>
      </c>
      <c r="C39" s="1">
        <v>45170</v>
      </c>
      <c r="D39" s="1" t="str">
        <f>TEXT(Delivery_data[[#This Row],[Order date]], "MMMM")</f>
        <v>September</v>
      </c>
      <c r="E39" s="1" t="str">
        <f>TEXT(Delivery_data[[#This Row],[Order date]], "DDDD")</f>
        <v>Friday</v>
      </c>
      <c r="F39" s="2">
        <v>0.65694444444444444</v>
      </c>
      <c r="G39" t="s">
        <v>22</v>
      </c>
      <c r="H39" t="str">
        <f>IF(Delivery_data[[#This Row],[Order Status]] = "In Progress", "Backlog", "Complete")</f>
        <v>Complete</v>
      </c>
      <c r="I39" t="s">
        <v>248</v>
      </c>
      <c r="J39" t="s">
        <v>1637</v>
      </c>
      <c r="K39" t="s">
        <v>61</v>
      </c>
      <c r="L39">
        <v>200</v>
      </c>
      <c r="M39">
        <v>10</v>
      </c>
      <c r="N39" t="s">
        <v>38</v>
      </c>
      <c r="O39" t="s">
        <v>50</v>
      </c>
      <c r="P39" t="s">
        <v>34</v>
      </c>
      <c r="Q39" t="s">
        <v>51</v>
      </c>
      <c r="R39" s="2">
        <v>0.55138888888888893</v>
      </c>
    </row>
    <row r="40" spans="1:18" x14ac:dyDescent="0.25">
      <c r="A40" t="s">
        <v>2729</v>
      </c>
      <c r="B40" t="s">
        <v>1210</v>
      </c>
      <c r="C40" s="1">
        <v>45175</v>
      </c>
      <c r="D40" s="1" t="str">
        <f>TEXT(Delivery_data[[#This Row],[Order date]], "MMMM")</f>
        <v>September</v>
      </c>
      <c r="E40" s="1" t="str">
        <f>TEXT(Delivery_data[[#This Row],[Order date]], "DDDD")</f>
        <v>Wednesday</v>
      </c>
      <c r="F40" s="2">
        <v>0.43611111111111112</v>
      </c>
      <c r="G40" t="s">
        <v>48</v>
      </c>
      <c r="H40" t="str">
        <f>IF(Delivery_data[[#This Row],[Order Status]] = "In Progress", "Backlog", "Complete")</f>
        <v>Backlog</v>
      </c>
      <c r="I40" t="s">
        <v>248</v>
      </c>
      <c r="J40" t="s">
        <v>1631</v>
      </c>
      <c r="K40" t="s">
        <v>31</v>
      </c>
      <c r="L40">
        <v>168</v>
      </c>
      <c r="M40">
        <v>15</v>
      </c>
      <c r="N40" t="s">
        <v>32</v>
      </c>
      <c r="O40" t="s">
        <v>26</v>
      </c>
      <c r="P40" t="s">
        <v>27</v>
      </c>
      <c r="Q40" t="s">
        <v>51</v>
      </c>
      <c r="R40" s="2">
        <v>0.38958333333333334</v>
      </c>
    </row>
    <row r="41" spans="1:18" x14ac:dyDescent="0.25">
      <c r="A41" t="s">
        <v>2780</v>
      </c>
      <c r="B41" t="s">
        <v>1257</v>
      </c>
      <c r="C41" s="1">
        <v>45170</v>
      </c>
      <c r="D41" s="1" t="str">
        <f>TEXT(Delivery_data[[#This Row],[Order date]], "MMMM")</f>
        <v>September</v>
      </c>
      <c r="E41" s="1" t="str">
        <f>TEXT(Delivery_data[[#This Row],[Order date]], "DDDD")</f>
        <v>Friday</v>
      </c>
      <c r="F41" s="2">
        <v>0.63749999999999996</v>
      </c>
      <c r="G41" t="s">
        <v>48</v>
      </c>
      <c r="H41" t="str">
        <f>IF(Delivery_data[[#This Row],[Order Status]] = "In Progress", "Backlog", "Complete")</f>
        <v>Backlog</v>
      </c>
      <c r="I41" t="s">
        <v>248</v>
      </c>
      <c r="J41" t="s">
        <v>1637</v>
      </c>
      <c r="K41" t="s">
        <v>37</v>
      </c>
      <c r="L41">
        <v>170</v>
      </c>
      <c r="M41">
        <v>29</v>
      </c>
      <c r="N41" t="s">
        <v>32</v>
      </c>
      <c r="O41" t="s">
        <v>26</v>
      </c>
      <c r="P41" t="s">
        <v>45</v>
      </c>
      <c r="Q41" t="s">
        <v>51</v>
      </c>
      <c r="R41" s="2">
        <v>0.44166666666666665</v>
      </c>
    </row>
    <row r="42" spans="1:18" x14ac:dyDescent="0.25">
      <c r="A42" t="s">
        <v>2797</v>
      </c>
      <c r="B42" t="s">
        <v>1274</v>
      </c>
      <c r="C42" s="1">
        <v>45170</v>
      </c>
      <c r="D42" s="1" t="str">
        <f>TEXT(Delivery_data[[#This Row],[Order date]], "MMMM")</f>
        <v>September</v>
      </c>
      <c r="E42" s="1" t="str">
        <f>TEXT(Delivery_data[[#This Row],[Order date]], "DDDD")</f>
        <v>Friday</v>
      </c>
      <c r="F42" s="2">
        <v>0.51944444444444449</v>
      </c>
      <c r="G42" t="s">
        <v>48</v>
      </c>
      <c r="H42" t="str">
        <f>IF(Delivery_data[[#This Row],[Order Status]] = "In Progress", "Backlog", "Complete")</f>
        <v>Backlog</v>
      </c>
      <c r="I42" t="s">
        <v>248</v>
      </c>
      <c r="J42" t="s">
        <v>1637</v>
      </c>
      <c r="K42" t="s">
        <v>24</v>
      </c>
      <c r="L42">
        <v>228</v>
      </c>
      <c r="M42">
        <v>20</v>
      </c>
      <c r="N42" t="s">
        <v>38</v>
      </c>
      <c r="O42" t="s">
        <v>50</v>
      </c>
      <c r="P42" t="s">
        <v>45</v>
      </c>
      <c r="Q42" t="s">
        <v>51</v>
      </c>
      <c r="R42" s="2">
        <v>0.35555555555555557</v>
      </c>
    </row>
    <row r="43" spans="1:18" x14ac:dyDescent="0.25">
      <c r="A43" t="s">
        <v>2812</v>
      </c>
      <c r="B43" t="s">
        <v>1289</v>
      </c>
      <c r="C43" s="1">
        <v>45175</v>
      </c>
      <c r="D43" s="1" t="str">
        <f>TEXT(Delivery_data[[#This Row],[Order date]], "MMMM")</f>
        <v>September</v>
      </c>
      <c r="E43" s="1" t="str">
        <f>TEXT(Delivery_data[[#This Row],[Order date]], "DDDD")</f>
        <v>Wednesday</v>
      </c>
      <c r="F43" s="2">
        <v>0.45694444444444443</v>
      </c>
      <c r="G43" t="s">
        <v>48</v>
      </c>
      <c r="H43" t="str">
        <f>IF(Delivery_data[[#This Row],[Order Status]] = "In Progress", "Backlog", "Complete")</f>
        <v>Backlog</v>
      </c>
      <c r="I43" t="s">
        <v>248</v>
      </c>
      <c r="J43" t="s">
        <v>1631</v>
      </c>
      <c r="K43" t="s">
        <v>44</v>
      </c>
      <c r="L43">
        <v>105</v>
      </c>
      <c r="M43">
        <v>13</v>
      </c>
      <c r="N43" t="s">
        <v>38</v>
      </c>
      <c r="O43" t="s">
        <v>26</v>
      </c>
      <c r="P43" t="s">
        <v>27</v>
      </c>
      <c r="Q43" t="s">
        <v>28</v>
      </c>
      <c r="R43" s="2">
        <v>0.66041666666666665</v>
      </c>
    </row>
    <row r="44" spans="1:18" x14ac:dyDescent="0.25">
      <c r="A44" t="s">
        <v>3067</v>
      </c>
      <c r="B44" t="s">
        <v>1535</v>
      </c>
      <c r="C44" s="1">
        <v>45174</v>
      </c>
      <c r="D44" s="1" t="str">
        <f>TEXT(Delivery_data[[#This Row],[Order date]], "MMMM")</f>
        <v>September</v>
      </c>
      <c r="E44" s="1" t="str">
        <f>TEXT(Delivery_data[[#This Row],[Order date]], "DDDD")</f>
        <v>Tuesday</v>
      </c>
      <c r="F44" s="2">
        <v>0.59513888888888888</v>
      </c>
      <c r="G44" t="s">
        <v>22</v>
      </c>
      <c r="H44" t="str">
        <f>IF(Delivery_data[[#This Row],[Order Status]] = "In Progress", "Backlog", "Complete")</f>
        <v>Complete</v>
      </c>
      <c r="I44" t="s">
        <v>248</v>
      </c>
      <c r="J44" t="s">
        <v>1637</v>
      </c>
      <c r="K44" t="s">
        <v>31</v>
      </c>
      <c r="L44">
        <v>107</v>
      </c>
      <c r="M44">
        <v>11</v>
      </c>
      <c r="N44" t="s">
        <v>32</v>
      </c>
      <c r="O44" t="s">
        <v>54</v>
      </c>
      <c r="P44" t="s">
        <v>27</v>
      </c>
      <c r="Q44" t="s">
        <v>28</v>
      </c>
      <c r="R44" s="2">
        <v>0.66874999999999996</v>
      </c>
    </row>
    <row r="45" spans="1:18" x14ac:dyDescent="0.25">
      <c r="A45" t="s">
        <v>1649</v>
      </c>
      <c r="B45" t="s">
        <v>74</v>
      </c>
      <c r="C45" s="1">
        <v>45173</v>
      </c>
      <c r="D45" s="1" t="str">
        <f>TEXT(Delivery_data[[#This Row],[Order date]], "MMMM")</f>
        <v>September</v>
      </c>
      <c r="E45" s="1" t="str">
        <f>TEXT(Delivery_data[[#This Row],[Order date]], "DDDD")</f>
        <v>Monday</v>
      </c>
      <c r="F45" s="2">
        <v>0.44444444444444442</v>
      </c>
      <c r="G45" t="s">
        <v>48</v>
      </c>
      <c r="H45" t="str">
        <f>IF(Delivery_data[[#This Row],[Order Status]] = "In Progress", "Backlog", "Complete")</f>
        <v>Backlog</v>
      </c>
      <c r="I45" t="s">
        <v>75</v>
      </c>
      <c r="J45" t="s">
        <v>1631</v>
      </c>
      <c r="K45" t="s">
        <v>31</v>
      </c>
      <c r="L45">
        <v>174</v>
      </c>
      <c r="M45">
        <v>16</v>
      </c>
      <c r="N45" t="s">
        <v>32</v>
      </c>
      <c r="O45" t="s">
        <v>54</v>
      </c>
      <c r="P45" t="s">
        <v>34</v>
      </c>
      <c r="Q45" t="s">
        <v>46</v>
      </c>
      <c r="R45" s="2">
        <v>0.43541666666666667</v>
      </c>
    </row>
    <row r="46" spans="1:18" x14ac:dyDescent="0.25">
      <c r="A46" t="s">
        <v>1824</v>
      </c>
      <c r="B46" t="s">
        <v>128</v>
      </c>
      <c r="C46" s="1">
        <v>45176</v>
      </c>
      <c r="D46" s="1" t="str">
        <f>TEXT(Delivery_data[[#This Row],[Order date]], "MMMM")</f>
        <v>September</v>
      </c>
      <c r="E46" s="1" t="str">
        <f>TEXT(Delivery_data[[#This Row],[Order date]], "DDDD")</f>
        <v>Thursday</v>
      </c>
      <c r="F46" s="2">
        <v>0.69652777777777775</v>
      </c>
      <c r="G46" t="s">
        <v>48</v>
      </c>
      <c r="H46" t="str">
        <f>IF(Delivery_data[[#This Row],[Order Status]] = "In Progress", "Backlog", "Complete")</f>
        <v>Backlog</v>
      </c>
      <c r="I46" t="s">
        <v>75</v>
      </c>
      <c r="J46" t="s">
        <v>1633</v>
      </c>
      <c r="K46" t="s">
        <v>44</v>
      </c>
      <c r="L46">
        <v>149</v>
      </c>
      <c r="M46">
        <v>22</v>
      </c>
      <c r="N46" t="s">
        <v>32</v>
      </c>
      <c r="O46" t="s">
        <v>54</v>
      </c>
      <c r="P46" t="s">
        <v>45</v>
      </c>
      <c r="Q46" t="s">
        <v>28</v>
      </c>
      <c r="R46" s="2">
        <v>0.64166666666666672</v>
      </c>
    </row>
    <row r="47" spans="1:18" x14ac:dyDescent="0.25">
      <c r="A47" t="s">
        <v>1888</v>
      </c>
      <c r="B47" t="s">
        <v>389</v>
      </c>
      <c r="C47" s="1">
        <v>45176</v>
      </c>
      <c r="D47" s="1" t="str">
        <f>TEXT(Delivery_data[[#This Row],[Order date]], "MMMM")</f>
        <v>September</v>
      </c>
      <c r="E47" s="1" t="str">
        <f>TEXT(Delivery_data[[#This Row],[Order date]], "DDDD")</f>
        <v>Thursday</v>
      </c>
      <c r="F47" s="2">
        <v>0.64375000000000004</v>
      </c>
      <c r="G47" t="s">
        <v>48</v>
      </c>
      <c r="H47" t="str">
        <f>IF(Delivery_data[[#This Row],[Order Status]] = "In Progress", "Backlog", "Complete")</f>
        <v>Backlog</v>
      </c>
      <c r="I47" t="s">
        <v>75</v>
      </c>
      <c r="J47" t="s">
        <v>1633</v>
      </c>
      <c r="K47" t="s">
        <v>44</v>
      </c>
      <c r="L47">
        <v>67</v>
      </c>
      <c r="M47">
        <v>22</v>
      </c>
      <c r="N47" t="s">
        <v>32</v>
      </c>
      <c r="O47" t="s">
        <v>26</v>
      </c>
      <c r="P47" t="s">
        <v>34</v>
      </c>
      <c r="Q47" t="s">
        <v>51</v>
      </c>
      <c r="R47" s="2">
        <v>0.44513888888888886</v>
      </c>
    </row>
    <row r="48" spans="1:18" x14ac:dyDescent="0.25">
      <c r="A48" t="s">
        <v>2037</v>
      </c>
      <c r="B48" t="s">
        <v>542</v>
      </c>
      <c r="C48" s="1">
        <v>45174</v>
      </c>
      <c r="D48" s="1" t="str">
        <f>TEXT(Delivery_data[[#This Row],[Order date]], "MMMM")</f>
        <v>September</v>
      </c>
      <c r="E48" s="1" t="str">
        <f>TEXT(Delivery_data[[#This Row],[Order date]], "DDDD")</f>
        <v>Tuesday</v>
      </c>
      <c r="F48" s="2">
        <v>0.6</v>
      </c>
      <c r="G48" t="s">
        <v>22</v>
      </c>
      <c r="H48" t="str">
        <f>IF(Delivery_data[[#This Row],[Order Status]] = "In Progress", "Backlog", "Complete")</f>
        <v>Complete</v>
      </c>
      <c r="I48" t="s">
        <v>75</v>
      </c>
      <c r="J48" t="s">
        <v>1633</v>
      </c>
      <c r="K48" t="s">
        <v>61</v>
      </c>
      <c r="L48">
        <v>81</v>
      </c>
      <c r="M48">
        <v>26</v>
      </c>
      <c r="N48" t="s">
        <v>32</v>
      </c>
      <c r="O48" t="s">
        <v>54</v>
      </c>
      <c r="P48" t="s">
        <v>27</v>
      </c>
      <c r="Q48" t="s">
        <v>51</v>
      </c>
      <c r="R48" s="2">
        <v>0.50069444444444444</v>
      </c>
    </row>
    <row r="49" spans="1:18" x14ac:dyDescent="0.25">
      <c r="A49" t="s">
        <v>2066</v>
      </c>
      <c r="B49" t="s">
        <v>571</v>
      </c>
      <c r="C49" s="1">
        <v>45174</v>
      </c>
      <c r="D49" s="1" t="str">
        <f>TEXT(Delivery_data[[#This Row],[Order date]], "MMMM")</f>
        <v>September</v>
      </c>
      <c r="E49" s="1" t="str">
        <f>TEXT(Delivery_data[[#This Row],[Order date]], "DDDD")</f>
        <v>Tuesday</v>
      </c>
      <c r="F49" s="2">
        <v>0.39097222222222222</v>
      </c>
      <c r="G49" t="s">
        <v>22</v>
      </c>
      <c r="H49" t="str">
        <f>IF(Delivery_data[[#This Row],[Order Status]] = "In Progress", "Backlog", "Complete")</f>
        <v>Complete</v>
      </c>
      <c r="I49" t="s">
        <v>75</v>
      </c>
      <c r="J49" t="s">
        <v>1633</v>
      </c>
      <c r="K49" t="s">
        <v>24</v>
      </c>
      <c r="L49">
        <v>224</v>
      </c>
      <c r="M49">
        <v>23</v>
      </c>
      <c r="N49" t="s">
        <v>38</v>
      </c>
      <c r="O49" t="s">
        <v>33</v>
      </c>
      <c r="P49" t="s">
        <v>27</v>
      </c>
      <c r="Q49" t="s">
        <v>51</v>
      </c>
      <c r="R49" s="2">
        <v>0.46666666666666667</v>
      </c>
    </row>
    <row r="50" spans="1:18" x14ac:dyDescent="0.25">
      <c r="A50" t="s">
        <v>2143</v>
      </c>
      <c r="B50" t="s">
        <v>646</v>
      </c>
      <c r="C50" s="1">
        <v>45173</v>
      </c>
      <c r="D50" s="1" t="str">
        <f>TEXT(Delivery_data[[#This Row],[Order date]], "MMMM")</f>
        <v>September</v>
      </c>
      <c r="E50" s="1" t="str">
        <f>TEXT(Delivery_data[[#This Row],[Order date]], "DDDD")</f>
        <v>Monday</v>
      </c>
      <c r="F50" s="2">
        <v>0.70763888888888893</v>
      </c>
      <c r="G50" t="s">
        <v>22</v>
      </c>
      <c r="H50" t="str">
        <f>IF(Delivery_data[[#This Row],[Order Status]] = "In Progress", "Backlog", "Complete")</f>
        <v>Complete</v>
      </c>
      <c r="I50" t="s">
        <v>75</v>
      </c>
      <c r="J50" t="s">
        <v>1633</v>
      </c>
      <c r="K50" t="s">
        <v>44</v>
      </c>
      <c r="L50">
        <v>87</v>
      </c>
      <c r="M50">
        <v>9</v>
      </c>
      <c r="N50" t="s">
        <v>25</v>
      </c>
      <c r="O50" t="s">
        <v>41</v>
      </c>
      <c r="P50" t="s">
        <v>45</v>
      </c>
      <c r="Q50" t="s">
        <v>51</v>
      </c>
      <c r="R50" s="2">
        <v>0.6694444444444444</v>
      </c>
    </row>
    <row r="51" spans="1:18" x14ac:dyDescent="0.25">
      <c r="A51" t="s">
        <v>2268</v>
      </c>
      <c r="B51" t="s">
        <v>768</v>
      </c>
      <c r="C51" s="1">
        <v>45174</v>
      </c>
      <c r="D51" s="1" t="str">
        <f>TEXT(Delivery_data[[#This Row],[Order date]], "MMMM")</f>
        <v>September</v>
      </c>
      <c r="E51" s="1" t="str">
        <f>TEXT(Delivery_data[[#This Row],[Order date]], "DDDD")</f>
        <v>Tuesday</v>
      </c>
      <c r="F51" s="2">
        <v>0.67638888888888893</v>
      </c>
      <c r="G51" t="s">
        <v>22</v>
      </c>
      <c r="H51" t="str">
        <f>IF(Delivery_data[[#This Row],[Order Status]] = "In Progress", "Backlog", "Complete")</f>
        <v>Complete</v>
      </c>
      <c r="I51" t="s">
        <v>75</v>
      </c>
      <c r="J51" t="s">
        <v>1637</v>
      </c>
      <c r="K51" t="s">
        <v>44</v>
      </c>
      <c r="L51">
        <v>128</v>
      </c>
      <c r="M51">
        <v>3</v>
      </c>
      <c r="N51" t="s">
        <v>32</v>
      </c>
      <c r="O51" t="s">
        <v>41</v>
      </c>
      <c r="P51" t="s">
        <v>34</v>
      </c>
      <c r="Q51" t="s">
        <v>51</v>
      </c>
      <c r="R51" s="2">
        <v>0.54652777777777772</v>
      </c>
    </row>
    <row r="52" spans="1:18" x14ac:dyDescent="0.25">
      <c r="A52" t="s">
        <v>2291</v>
      </c>
      <c r="B52" t="s">
        <v>790</v>
      </c>
      <c r="C52" s="1">
        <v>45172</v>
      </c>
      <c r="D52" s="1" t="str">
        <f>TEXT(Delivery_data[[#This Row],[Order date]], "MMMM")</f>
        <v>September</v>
      </c>
      <c r="E52" s="1" t="str">
        <f>TEXT(Delivery_data[[#This Row],[Order date]], "DDDD")</f>
        <v>Sunday</v>
      </c>
      <c r="F52" s="2">
        <v>0.36319444444444443</v>
      </c>
      <c r="G52" t="s">
        <v>48</v>
      </c>
      <c r="H52" t="str">
        <f>IF(Delivery_data[[#This Row],[Order Status]] = "In Progress", "Backlog", "Complete")</f>
        <v>Backlog</v>
      </c>
      <c r="I52" t="s">
        <v>75</v>
      </c>
      <c r="J52" t="s">
        <v>1637</v>
      </c>
      <c r="K52" t="s">
        <v>31</v>
      </c>
      <c r="L52">
        <v>208</v>
      </c>
      <c r="M52">
        <v>13</v>
      </c>
      <c r="N52" t="s">
        <v>25</v>
      </c>
      <c r="O52" t="s">
        <v>41</v>
      </c>
      <c r="P52" t="s">
        <v>27</v>
      </c>
      <c r="Q52" t="s">
        <v>51</v>
      </c>
      <c r="R52" s="2">
        <v>0.52986111111111112</v>
      </c>
    </row>
    <row r="53" spans="1:18" x14ac:dyDescent="0.25">
      <c r="A53" t="s">
        <v>2294</v>
      </c>
      <c r="B53" t="s">
        <v>792</v>
      </c>
      <c r="C53" s="1">
        <v>45174</v>
      </c>
      <c r="D53" s="1" t="str">
        <f>TEXT(Delivery_data[[#This Row],[Order date]], "MMMM")</f>
        <v>September</v>
      </c>
      <c r="E53" s="1" t="str">
        <f>TEXT(Delivery_data[[#This Row],[Order date]], "DDDD")</f>
        <v>Tuesday</v>
      </c>
      <c r="F53" s="2">
        <v>0.47222222222222221</v>
      </c>
      <c r="G53" t="s">
        <v>22</v>
      </c>
      <c r="H53" t="str">
        <f>IF(Delivery_data[[#This Row],[Order Status]] = "In Progress", "Backlog", "Complete")</f>
        <v>Complete</v>
      </c>
      <c r="I53" t="s">
        <v>75</v>
      </c>
      <c r="J53" t="s">
        <v>1637</v>
      </c>
      <c r="K53" t="s">
        <v>44</v>
      </c>
      <c r="L53">
        <v>137</v>
      </c>
      <c r="M53">
        <v>11</v>
      </c>
      <c r="N53" t="s">
        <v>32</v>
      </c>
      <c r="O53" t="s">
        <v>54</v>
      </c>
      <c r="P53" t="s">
        <v>45</v>
      </c>
      <c r="Q53" t="s">
        <v>51</v>
      </c>
      <c r="R53" s="2">
        <v>0.61805555555555558</v>
      </c>
    </row>
    <row r="54" spans="1:18" x14ac:dyDescent="0.25">
      <c r="A54" t="s">
        <v>2435</v>
      </c>
      <c r="B54" t="s">
        <v>928</v>
      </c>
      <c r="C54" s="1">
        <v>45176</v>
      </c>
      <c r="D54" s="1" t="str">
        <f>TEXT(Delivery_data[[#This Row],[Order date]], "MMMM")</f>
        <v>September</v>
      </c>
      <c r="E54" s="1" t="str">
        <f>TEXT(Delivery_data[[#This Row],[Order date]], "DDDD")</f>
        <v>Thursday</v>
      </c>
      <c r="F54" s="2">
        <v>0.59305555555555556</v>
      </c>
      <c r="G54" t="s">
        <v>48</v>
      </c>
      <c r="H54" t="str">
        <f>IF(Delivery_data[[#This Row],[Order Status]] = "In Progress", "Backlog", "Complete")</f>
        <v>Backlog</v>
      </c>
      <c r="I54" t="s">
        <v>75</v>
      </c>
      <c r="J54" t="s">
        <v>1631</v>
      </c>
      <c r="K54" t="s">
        <v>37</v>
      </c>
      <c r="L54">
        <v>125</v>
      </c>
      <c r="M54">
        <v>10</v>
      </c>
      <c r="N54" t="s">
        <v>25</v>
      </c>
      <c r="O54" t="s">
        <v>41</v>
      </c>
      <c r="P54" t="s">
        <v>45</v>
      </c>
      <c r="Q54" t="s">
        <v>28</v>
      </c>
      <c r="R54" s="2">
        <v>0.39097222222222222</v>
      </c>
    </row>
    <row r="55" spans="1:18" x14ac:dyDescent="0.25">
      <c r="A55" t="s">
        <v>2512</v>
      </c>
      <c r="B55" t="s">
        <v>1001</v>
      </c>
      <c r="C55" s="1">
        <v>45176</v>
      </c>
      <c r="D55" s="1" t="str">
        <f>TEXT(Delivery_data[[#This Row],[Order date]], "MMMM")</f>
        <v>September</v>
      </c>
      <c r="E55" s="1" t="str">
        <f>TEXT(Delivery_data[[#This Row],[Order date]], "DDDD")</f>
        <v>Thursday</v>
      </c>
      <c r="F55" s="2">
        <v>0.36388888888888887</v>
      </c>
      <c r="G55" t="s">
        <v>48</v>
      </c>
      <c r="H55" t="str">
        <f>IF(Delivery_data[[#This Row],[Order Status]] = "In Progress", "Backlog", "Complete")</f>
        <v>Backlog</v>
      </c>
      <c r="I55" t="s">
        <v>75</v>
      </c>
      <c r="J55" t="s">
        <v>1631</v>
      </c>
      <c r="K55" t="s">
        <v>37</v>
      </c>
      <c r="L55">
        <v>167</v>
      </c>
      <c r="M55">
        <v>4</v>
      </c>
      <c r="N55" t="s">
        <v>32</v>
      </c>
      <c r="O55" t="s">
        <v>26</v>
      </c>
      <c r="P55" t="s">
        <v>45</v>
      </c>
      <c r="Q55" t="s">
        <v>46</v>
      </c>
      <c r="R55" s="2">
        <v>0.40694444444444444</v>
      </c>
    </row>
    <row r="56" spans="1:18" x14ac:dyDescent="0.25">
      <c r="A56" t="s">
        <v>2553</v>
      </c>
      <c r="B56" t="s">
        <v>1038</v>
      </c>
      <c r="C56" s="1">
        <v>45170</v>
      </c>
      <c r="D56" s="1" t="str">
        <f>TEXT(Delivery_data[[#This Row],[Order date]], "MMMM")</f>
        <v>September</v>
      </c>
      <c r="E56" s="1" t="str">
        <f>TEXT(Delivery_data[[#This Row],[Order date]], "DDDD")</f>
        <v>Friday</v>
      </c>
      <c r="F56" s="2">
        <v>0.68680555555555556</v>
      </c>
      <c r="G56" t="s">
        <v>22</v>
      </c>
      <c r="H56" t="str">
        <f>IF(Delivery_data[[#This Row],[Order Status]] = "In Progress", "Backlog", "Complete")</f>
        <v>Complete</v>
      </c>
      <c r="I56" t="s">
        <v>75</v>
      </c>
      <c r="J56" t="s">
        <v>1633</v>
      </c>
      <c r="K56" t="s">
        <v>44</v>
      </c>
      <c r="L56">
        <v>67</v>
      </c>
      <c r="M56">
        <v>1</v>
      </c>
      <c r="N56" t="s">
        <v>25</v>
      </c>
      <c r="O56" t="s">
        <v>41</v>
      </c>
      <c r="P56" t="s">
        <v>27</v>
      </c>
      <c r="Q56" t="s">
        <v>28</v>
      </c>
      <c r="R56" s="2">
        <v>0.39027777777777778</v>
      </c>
    </row>
    <row r="57" spans="1:18" x14ac:dyDescent="0.25">
      <c r="A57" t="s">
        <v>2622</v>
      </c>
      <c r="B57" t="s">
        <v>1105</v>
      </c>
      <c r="C57" s="1">
        <v>45173</v>
      </c>
      <c r="D57" s="1" t="str">
        <f>TEXT(Delivery_data[[#This Row],[Order date]], "MMMM")</f>
        <v>September</v>
      </c>
      <c r="E57" s="1" t="str">
        <f>TEXT(Delivery_data[[#This Row],[Order date]], "DDDD")</f>
        <v>Monday</v>
      </c>
      <c r="F57" s="2">
        <v>0.55486111111111114</v>
      </c>
      <c r="G57" t="s">
        <v>48</v>
      </c>
      <c r="H57" t="str">
        <f>IF(Delivery_data[[#This Row],[Order Status]] = "In Progress", "Backlog", "Complete")</f>
        <v>Backlog</v>
      </c>
      <c r="I57" t="s">
        <v>75</v>
      </c>
      <c r="J57" t="s">
        <v>1631</v>
      </c>
      <c r="K57" t="s">
        <v>44</v>
      </c>
      <c r="L57">
        <v>75</v>
      </c>
      <c r="M57">
        <v>28</v>
      </c>
      <c r="N57" t="s">
        <v>25</v>
      </c>
      <c r="O57" t="s">
        <v>41</v>
      </c>
      <c r="P57" t="s">
        <v>34</v>
      </c>
      <c r="Q57" t="s">
        <v>46</v>
      </c>
      <c r="R57" s="2">
        <v>0.34722222222222221</v>
      </c>
    </row>
    <row r="58" spans="1:18" x14ac:dyDescent="0.25">
      <c r="A58" t="s">
        <v>2667</v>
      </c>
      <c r="B58" t="s">
        <v>1150</v>
      </c>
      <c r="C58" s="1">
        <v>45177</v>
      </c>
      <c r="D58" s="1" t="str">
        <f>TEXT(Delivery_data[[#This Row],[Order date]], "MMMM")</f>
        <v>September</v>
      </c>
      <c r="E58" s="1" t="str">
        <f>TEXT(Delivery_data[[#This Row],[Order date]], "DDDD")</f>
        <v>Friday</v>
      </c>
      <c r="F58" s="2">
        <v>0.52569444444444446</v>
      </c>
      <c r="G58" t="s">
        <v>48</v>
      </c>
      <c r="H58" t="str">
        <f>IF(Delivery_data[[#This Row],[Order Status]] = "In Progress", "Backlog", "Complete")</f>
        <v>Backlog</v>
      </c>
      <c r="I58" t="s">
        <v>75</v>
      </c>
      <c r="J58" t="s">
        <v>1637</v>
      </c>
      <c r="K58" t="s">
        <v>24</v>
      </c>
      <c r="L58">
        <v>197</v>
      </c>
      <c r="M58">
        <v>5</v>
      </c>
      <c r="N58" t="s">
        <v>25</v>
      </c>
      <c r="O58" t="s">
        <v>41</v>
      </c>
      <c r="P58" t="s">
        <v>45</v>
      </c>
      <c r="Q58" t="s">
        <v>46</v>
      </c>
      <c r="R58" s="2">
        <v>0.44236111111111109</v>
      </c>
    </row>
    <row r="59" spans="1:18" x14ac:dyDescent="0.25">
      <c r="A59" t="s">
        <v>2706</v>
      </c>
      <c r="B59" t="s">
        <v>1187</v>
      </c>
      <c r="C59" s="1">
        <v>45176</v>
      </c>
      <c r="D59" s="1" t="str">
        <f>TEXT(Delivery_data[[#This Row],[Order date]], "MMMM")</f>
        <v>September</v>
      </c>
      <c r="E59" s="1" t="str">
        <f>TEXT(Delivery_data[[#This Row],[Order date]], "DDDD")</f>
        <v>Thursday</v>
      </c>
      <c r="F59" s="2">
        <v>0.49513888888888891</v>
      </c>
      <c r="G59" t="s">
        <v>48</v>
      </c>
      <c r="H59" t="str">
        <f>IF(Delivery_data[[#This Row],[Order Status]] = "In Progress", "Backlog", "Complete")</f>
        <v>Backlog</v>
      </c>
      <c r="I59" t="s">
        <v>75</v>
      </c>
      <c r="J59" t="s">
        <v>1631</v>
      </c>
      <c r="K59" t="s">
        <v>44</v>
      </c>
      <c r="L59">
        <v>117</v>
      </c>
      <c r="M59">
        <v>13</v>
      </c>
      <c r="N59" t="s">
        <v>25</v>
      </c>
      <c r="O59" t="s">
        <v>50</v>
      </c>
      <c r="P59" t="s">
        <v>27</v>
      </c>
      <c r="Q59" t="s">
        <v>28</v>
      </c>
      <c r="R59" s="2">
        <v>0.61319444444444449</v>
      </c>
    </row>
    <row r="60" spans="1:18" x14ac:dyDescent="0.25">
      <c r="A60" t="s">
        <v>1968</v>
      </c>
      <c r="B60" t="s">
        <v>472</v>
      </c>
      <c r="C60" s="1">
        <v>45174</v>
      </c>
      <c r="D60" s="1" t="str">
        <f>TEXT(Delivery_data[[#This Row],[Order date]], "MMMM")</f>
        <v>September</v>
      </c>
      <c r="E60" s="1" t="str">
        <f>TEXT(Delivery_data[[#This Row],[Order date]], "DDDD")</f>
        <v>Tuesday</v>
      </c>
      <c r="F60" s="2">
        <v>0.59097222222222223</v>
      </c>
      <c r="G60" t="s">
        <v>48</v>
      </c>
      <c r="H60" t="str">
        <f>IF(Delivery_data[[#This Row],[Order Status]] = "In Progress", "Backlog", "Complete")</f>
        <v>Backlog</v>
      </c>
      <c r="I60" t="s">
        <v>473</v>
      </c>
      <c r="J60" t="s">
        <v>1633</v>
      </c>
      <c r="K60" t="s">
        <v>44</v>
      </c>
      <c r="L60">
        <v>237</v>
      </c>
      <c r="M60">
        <v>9</v>
      </c>
      <c r="N60" t="s">
        <v>32</v>
      </c>
      <c r="O60" t="s">
        <v>33</v>
      </c>
      <c r="P60" t="s">
        <v>34</v>
      </c>
      <c r="Q60" t="s">
        <v>28</v>
      </c>
      <c r="R60" s="2">
        <v>0.38680555555555557</v>
      </c>
    </row>
    <row r="61" spans="1:18" x14ac:dyDescent="0.25">
      <c r="A61" t="s">
        <v>1977</v>
      </c>
      <c r="B61" t="s">
        <v>482</v>
      </c>
      <c r="C61" s="1">
        <v>45172</v>
      </c>
      <c r="D61" s="1" t="str">
        <f>TEXT(Delivery_data[[#This Row],[Order date]], "MMMM")</f>
        <v>September</v>
      </c>
      <c r="E61" s="1" t="str">
        <f>TEXT(Delivery_data[[#This Row],[Order date]], "DDDD")</f>
        <v>Sunday</v>
      </c>
      <c r="F61" s="2">
        <v>0.39166666666666666</v>
      </c>
      <c r="G61" t="s">
        <v>48</v>
      </c>
      <c r="H61" t="str">
        <f>IF(Delivery_data[[#This Row],[Order Status]] = "In Progress", "Backlog", "Complete")</f>
        <v>Backlog</v>
      </c>
      <c r="I61" t="s">
        <v>473</v>
      </c>
      <c r="J61" t="s">
        <v>1637</v>
      </c>
      <c r="K61" t="s">
        <v>24</v>
      </c>
      <c r="L61">
        <v>203</v>
      </c>
      <c r="M61">
        <v>1</v>
      </c>
      <c r="N61" t="s">
        <v>38</v>
      </c>
      <c r="O61" t="s">
        <v>33</v>
      </c>
      <c r="P61" t="s">
        <v>27</v>
      </c>
      <c r="Q61" t="s">
        <v>28</v>
      </c>
      <c r="R61" s="2">
        <v>0.36180555555555555</v>
      </c>
    </row>
    <row r="62" spans="1:18" x14ac:dyDescent="0.25">
      <c r="A62" t="s">
        <v>2026</v>
      </c>
      <c r="B62" t="s">
        <v>531</v>
      </c>
      <c r="C62" s="1">
        <v>45171</v>
      </c>
      <c r="D62" s="1" t="str">
        <f>TEXT(Delivery_data[[#This Row],[Order date]], "MMMM")</f>
        <v>September</v>
      </c>
      <c r="E62" s="1" t="str">
        <f>TEXT(Delivery_data[[#This Row],[Order date]], "DDDD")</f>
        <v>Saturday</v>
      </c>
      <c r="F62" s="2">
        <v>0.39583333333333331</v>
      </c>
      <c r="G62" t="s">
        <v>48</v>
      </c>
      <c r="H62" t="str">
        <f>IF(Delivery_data[[#This Row],[Order Status]] = "In Progress", "Backlog", "Complete")</f>
        <v>Backlog</v>
      </c>
      <c r="I62" t="s">
        <v>473</v>
      </c>
      <c r="J62" t="s">
        <v>1633</v>
      </c>
      <c r="K62" t="s">
        <v>31</v>
      </c>
      <c r="L62">
        <v>92</v>
      </c>
      <c r="M62">
        <v>5</v>
      </c>
      <c r="N62" t="s">
        <v>25</v>
      </c>
      <c r="O62" t="s">
        <v>26</v>
      </c>
      <c r="P62" t="s">
        <v>34</v>
      </c>
      <c r="Q62" t="s">
        <v>28</v>
      </c>
      <c r="R62" s="2">
        <v>0.72222222222222221</v>
      </c>
    </row>
    <row r="63" spans="1:18" x14ac:dyDescent="0.25">
      <c r="A63" t="s">
        <v>2095</v>
      </c>
      <c r="B63" t="s">
        <v>600</v>
      </c>
      <c r="C63" s="1">
        <v>45177</v>
      </c>
      <c r="D63" s="1" t="str">
        <f>TEXT(Delivery_data[[#This Row],[Order date]], "MMMM")</f>
        <v>September</v>
      </c>
      <c r="E63" s="1" t="str">
        <f>TEXT(Delivery_data[[#This Row],[Order date]], "DDDD")</f>
        <v>Friday</v>
      </c>
      <c r="F63" s="2">
        <v>0.45763888888888887</v>
      </c>
      <c r="G63" t="s">
        <v>48</v>
      </c>
      <c r="H63" t="str">
        <f>IF(Delivery_data[[#This Row],[Order Status]] = "In Progress", "Backlog", "Complete")</f>
        <v>Backlog</v>
      </c>
      <c r="I63" t="s">
        <v>473</v>
      </c>
      <c r="J63" t="s">
        <v>1637</v>
      </c>
      <c r="K63" t="s">
        <v>44</v>
      </c>
      <c r="L63">
        <v>176</v>
      </c>
      <c r="M63">
        <v>29</v>
      </c>
      <c r="N63" t="s">
        <v>38</v>
      </c>
      <c r="O63" t="s">
        <v>26</v>
      </c>
      <c r="P63" t="s">
        <v>34</v>
      </c>
      <c r="Q63" t="s">
        <v>51</v>
      </c>
      <c r="R63" s="2">
        <v>0.52152777777777781</v>
      </c>
    </row>
    <row r="64" spans="1:18" x14ac:dyDescent="0.25">
      <c r="A64" t="s">
        <v>2133</v>
      </c>
      <c r="B64" t="s">
        <v>637</v>
      </c>
      <c r="C64" s="1">
        <v>45171</v>
      </c>
      <c r="D64" s="1" t="str">
        <f>TEXT(Delivery_data[[#This Row],[Order date]], "MMMM")</f>
        <v>September</v>
      </c>
      <c r="E64" s="1" t="str">
        <f>TEXT(Delivery_data[[#This Row],[Order date]], "DDDD")</f>
        <v>Saturday</v>
      </c>
      <c r="F64" s="2">
        <v>0.36875000000000002</v>
      </c>
      <c r="G64" t="s">
        <v>48</v>
      </c>
      <c r="H64" t="str">
        <f>IF(Delivery_data[[#This Row],[Order Status]] = "In Progress", "Backlog", "Complete")</f>
        <v>Backlog</v>
      </c>
      <c r="I64" t="s">
        <v>473</v>
      </c>
      <c r="J64" t="s">
        <v>1637</v>
      </c>
      <c r="K64" t="s">
        <v>61</v>
      </c>
      <c r="L64">
        <v>197</v>
      </c>
      <c r="M64">
        <v>19</v>
      </c>
      <c r="N64" t="s">
        <v>38</v>
      </c>
      <c r="O64" t="s">
        <v>41</v>
      </c>
      <c r="P64" t="s">
        <v>34</v>
      </c>
      <c r="Q64" t="s">
        <v>51</v>
      </c>
      <c r="R64" s="2">
        <v>0.6020833333333333</v>
      </c>
    </row>
    <row r="65" spans="1:18" x14ac:dyDescent="0.25">
      <c r="A65" t="s">
        <v>2228</v>
      </c>
      <c r="B65" t="s">
        <v>729</v>
      </c>
      <c r="C65" s="1">
        <v>45171</v>
      </c>
      <c r="D65" s="1" t="str">
        <f>TEXT(Delivery_data[[#This Row],[Order date]], "MMMM")</f>
        <v>September</v>
      </c>
      <c r="E65" s="1" t="str">
        <f>TEXT(Delivery_data[[#This Row],[Order date]], "DDDD")</f>
        <v>Saturday</v>
      </c>
      <c r="F65" s="2">
        <v>0.63541666666666663</v>
      </c>
      <c r="G65" t="s">
        <v>48</v>
      </c>
      <c r="H65" t="str">
        <f>IF(Delivery_data[[#This Row],[Order Status]] = "In Progress", "Backlog", "Complete")</f>
        <v>Backlog</v>
      </c>
      <c r="I65" t="s">
        <v>473</v>
      </c>
      <c r="J65" t="s">
        <v>1637</v>
      </c>
      <c r="K65" t="s">
        <v>37</v>
      </c>
      <c r="L65">
        <v>198</v>
      </c>
      <c r="M65">
        <v>19</v>
      </c>
      <c r="N65" t="s">
        <v>32</v>
      </c>
      <c r="O65" t="s">
        <v>54</v>
      </c>
      <c r="P65" t="s">
        <v>27</v>
      </c>
      <c r="Q65" t="s">
        <v>51</v>
      </c>
      <c r="R65" s="2">
        <v>0.34583333333333333</v>
      </c>
    </row>
    <row r="66" spans="1:18" x14ac:dyDescent="0.25">
      <c r="A66" t="s">
        <v>2236</v>
      </c>
      <c r="B66" t="s">
        <v>736</v>
      </c>
      <c r="C66" s="1">
        <v>45171</v>
      </c>
      <c r="D66" s="1" t="str">
        <f>TEXT(Delivery_data[[#This Row],[Order date]], "MMMM")</f>
        <v>September</v>
      </c>
      <c r="E66" s="1" t="str">
        <f>TEXT(Delivery_data[[#This Row],[Order date]], "DDDD")</f>
        <v>Saturday</v>
      </c>
      <c r="F66" s="2">
        <v>0.66388888888888886</v>
      </c>
      <c r="G66" t="s">
        <v>22</v>
      </c>
      <c r="H66" t="str">
        <f>IF(Delivery_data[[#This Row],[Order Status]] = "In Progress", "Backlog", "Complete")</f>
        <v>Complete</v>
      </c>
      <c r="I66" t="s">
        <v>473</v>
      </c>
      <c r="J66" t="s">
        <v>1633</v>
      </c>
      <c r="K66" t="s">
        <v>31</v>
      </c>
      <c r="L66">
        <v>210</v>
      </c>
      <c r="M66">
        <v>11</v>
      </c>
      <c r="N66" t="s">
        <v>25</v>
      </c>
      <c r="O66" t="s">
        <v>26</v>
      </c>
      <c r="P66" t="s">
        <v>34</v>
      </c>
      <c r="Q66" t="s">
        <v>28</v>
      </c>
      <c r="R66" s="2">
        <v>0.69791666666666663</v>
      </c>
    </row>
    <row r="67" spans="1:18" x14ac:dyDescent="0.25">
      <c r="A67" t="s">
        <v>2296</v>
      </c>
      <c r="B67" t="s">
        <v>794</v>
      </c>
      <c r="C67" s="1">
        <v>45171</v>
      </c>
      <c r="D67" s="1" t="str">
        <f>TEXT(Delivery_data[[#This Row],[Order date]], "MMMM")</f>
        <v>September</v>
      </c>
      <c r="E67" s="1" t="str">
        <f>TEXT(Delivery_data[[#This Row],[Order date]], "DDDD")</f>
        <v>Saturday</v>
      </c>
      <c r="F67" s="2">
        <v>0.37291666666666667</v>
      </c>
      <c r="G67" t="s">
        <v>22</v>
      </c>
      <c r="H67" t="str">
        <f>IF(Delivery_data[[#This Row],[Order Status]] = "In Progress", "Backlog", "Complete")</f>
        <v>Complete</v>
      </c>
      <c r="I67" t="s">
        <v>473</v>
      </c>
      <c r="J67" t="s">
        <v>1637</v>
      </c>
      <c r="K67" t="s">
        <v>24</v>
      </c>
      <c r="L67">
        <v>97</v>
      </c>
      <c r="M67">
        <v>17</v>
      </c>
      <c r="N67" t="s">
        <v>25</v>
      </c>
      <c r="O67" t="s">
        <v>33</v>
      </c>
      <c r="P67" t="s">
        <v>45</v>
      </c>
      <c r="Q67" t="s">
        <v>28</v>
      </c>
      <c r="R67" s="2">
        <v>0.70416666666666672</v>
      </c>
    </row>
    <row r="68" spans="1:18" x14ac:dyDescent="0.25">
      <c r="A68" t="s">
        <v>2356</v>
      </c>
      <c r="B68" t="s">
        <v>853</v>
      </c>
      <c r="C68" s="1">
        <v>45176</v>
      </c>
      <c r="D68" s="1" t="str">
        <f>TEXT(Delivery_data[[#This Row],[Order date]], "MMMM")</f>
        <v>September</v>
      </c>
      <c r="E68" s="1" t="str">
        <f>TEXT(Delivery_data[[#This Row],[Order date]], "DDDD")</f>
        <v>Thursday</v>
      </c>
      <c r="F68" s="2">
        <v>0.39166666666666666</v>
      </c>
      <c r="G68" t="s">
        <v>48</v>
      </c>
      <c r="H68" t="str">
        <f>IF(Delivery_data[[#This Row],[Order Status]] = "In Progress", "Backlog", "Complete")</f>
        <v>Backlog</v>
      </c>
      <c r="I68" t="s">
        <v>473</v>
      </c>
      <c r="J68" t="s">
        <v>1637</v>
      </c>
      <c r="K68" t="s">
        <v>24</v>
      </c>
      <c r="L68">
        <v>96</v>
      </c>
      <c r="M68">
        <v>20</v>
      </c>
      <c r="N68" t="s">
        <v>38</v>
      </c>
      <c r="O68" t="s">
        <v>41</v>
      </c>
      <c r="P68" t="s">
        <v>34</v>
      </c>
      <c r="Q68" t="s">
        <v>51</v>
      </c>
      <c r="R68" s="2">
        <v>0.3972222222222222</v>
      </c>
    </row>
    <row r="69" spans="1:18" x14ac:dyDescent="0.25">
      <c r="A69" t="s">
        <v>2396</v>
      </c>
      <c r="B69" t="s">
        <v>892</v>
      </c>
      <c r="C69" s="1">
        <v>45172</v>
      </c>
      <c r="D69" s="1" t="str">
        <f>TEXT(Delivery_data[[#This Row],[Order date]], "MMMM")</f>
        <v>September</v>
      </c>
      <c r="E69" s="1" t="str">
        <f>TEXT(Delivery_data[[#This Row],[Order date]], "DDDD")</f>
        <v>Sunday</v>
      </c>
      <c r="F69" s="2">
        <v>0.46388888888888891</v>
      </c>
      <c r="G69" t="s">
        <v>22</v>
      </c>
      <c r="H69" t="str">
        <f>IF(Delivery_data[[#This Row],[Order Status]] = "In Progress", "Backlog", "Complete")</f>
        <v>Complete</v>
      </c>
      <c r="I69" t="s">
        <v>473</v>
      </c>
      <c r="J69" t="s">
        <v>1633</v>
      </c>
      <c r="K69" t="s">
        <v>37</v>
      </c>
      <c r="L69">
        <v>150</v>
      </c>
      <c r="M69">
        <v>22</v>
      </c>
      <c r="N69" t="s">
        <v>25</v>
      </c>
      <c r="O69" t="s">
        <v>26</v>
      </c>
      <c r="P69" t="s">
        <v>45</v>
      </c>
      <c r="Q69" t="s">
        <v>28</v>
      </c>
      <c r="R69" s="2">
        <v>0.73263888888888884</v>
      </c>
    </row>
    <row r="70" spans="1:18" x14ac:dyDescent="0.25">
      <c r="A70" t="s">
        <v>2442</v>
      </c>
      <c r="B70" t="s">
        <v>934</v>
      </c>
      <c r="C70" s="1">
        <v>45173</v>
      </c>
      <c r="D70" s="1" t="str">
        <f>TEXT(Delivery_data[[#This Row],[Order date]], "MMMM")</f>
        <v>September</v>
      </c>
      <c r="E70" s="1" t="str">
        <f>TEXT(Delivery_data[[#This Row],[Order date]], "DDDD")</f>
        <v>Monday</v>
      </c>
      <c r="F70" s="2">
        <v>0.48958333333333331</v>
      </c>
      <c r="G70" t="s">
        <v>48</v>
      </c>
      <c r="H70" t="str">
        <f>IF(Delivery_data[[#This Row],[Order Status]] = "In Progress", "Backlog", "Complete")</f>
        <v>Backlog</v>
      </c>
      <c r="I70" t="s">
        <v>473</v>
      </c>
      <c r="J70" t="s">
        <v>1637</v>
      </c>
      <c r="K70" t="s">
        <v>31</v>
      </c>
      <c r="L70">
        <v>131</v>
      </c>
      <c r="M70">
        <v>26</v>
      </c>
      <c r="N70" t="s">
        <v>38</v>
      </c>
      <c r="O70" t="s">
        <v>33</v>
      </c>
      <c r="P70" t="s">
        <v>45</v>
      </c>
      <c r="Q70" t="s">
        <v>28</v>
      </c>
      <c r="R70" s="2">
        <v>0.70416666666666672</v>
      </c>
    </row>
    <row r="71" spans="1:18" x14ac:dyDescent="0.25">
      <c r="A71" t="s">
        <v>2444</v>
      </c>
      <c r="B71" t="s">
        <v>936</v>
      </c>
      <c r="C71" s="1">
        <v>45176</v>
      </c>
      <c r="D71" s="1" t="str">
        <f>TEXT(Delivery_data[[#This Row],[Order date]], "MMMM")</f>
        <v>September</v>
      </c>
      <c r="E71" s="1" t="str">
        <f>TEXT(Delivery_data[[#This Row],[Order date]], "DDDD")</f>
        <v>Thursday</v>
      </c>
      <c r="F71" s="2">
        <v>0.52847222222222223</v>
      </c>
      <c r="G71" t="s">
        <v>22</v>
      </c>
      <c r="H71" t="str">
        <f>IF(Delivery_data[[#This Row],[Order Status]] = "In Progress", "Backlog", "Complete")</f>
        <v>Complete</v>
      </c>
      <c r="I71" t="s">
        <v>473</v>
      </c>
      <c r="J71" t="s">
        <v>1633</v>
      </c>
      <c r="K71" t="s">
        <v>31</v>
      </c>
      <c r="L71">
        <v>211</v>
      </c>
      <c r="M71">
        <v>23</v>
      </c>
      <c r="N71" t="s">
        <v>38</v>
      </c>
      <c r="O71" t="s">
        <v>33</v>
      </c>
      <c r="P71" t="s">
        <v>45</v>
      </c>
      <c r="Q71" t="s">
        <v>51</v>
      </c>
      <c r="R71" s="2">
        <v>0.61805555555555558</v>
      </c>
    </row>
    <row r="72" spans="1:18" x14ac:dyDescent="0.25">
      <c r="A72" t="s">
        <v>2456</v>
      </c>
      <c r="B72" t="s">
        <v>948</v>
      </c>
      <c r="C72" s="1">
        <v>45173</v>
      </c>
      <c r="D72" s="1" t="str">
        <f>TEXT(Delivery_data[[#This Row],[Order date]], "MMMM")</f>
        <v>September</v>
      </c>
      <c r="E72" s="1" t="str">
        <f>TEXT(Delivery_data[[#This Row],[Order date]], "DDDD")</f>
        <v>Monday</v>
      </c>
      <c r="F72" s="2">
        <v>0.44444444444444442</v>
      </c>
      <c r="G72" t="s">
        <v>22</v>
      </c>
      <c r="H72" t="str">
        <f>IF(Delivery_data[[#This Row],[Order Status]] = "In Progress", "Backlog", "Complete")</f>
        <v>Complete</v>
      </c>
      <c r="I72" t="s">
        <v>473</v>
      </c>
      <c r="J72" t="s">
        <v>1631</v>
      </c>
      <c r="K72" t="s">
        <v>37</v>
      </c>
      <c r="L72">
        <v>203</v>
      </c>
      <c r="M72">
        <v>10</v>
      </c>
      <c r="N72" t="s">
        <v>32</v>
      </c>
      <c r="O72" t="s">
        <v>33</v>
      </c>
      <c r="P72" t="s">
        <v>34</v>
      </c>
      <c r="Q72" t="s">
        <v>46</v>
      </c>
      <c r="R72" s="2">
        <v>0.63888888888888884</v>
      </c>
    </row>
    <row r="73" spans="1:18" x14ac:dyDescent="0.25">
      <c r="A73" t="s">
        <v>2493</v>
      </c>
      <c r="B73" t="s">
        <v>983</v>
      </c>
      <c r="C73" s="1">
        <v>45173</v>
      </c>
      <c r="D73" s="1" t="str">
        <f>TEXT(Delivery_data[[#This Row],[Order date]], "MMMM")</f>
        <v>September</v>
      </c>
      <c r="E73" s="1" t="str">
        <f>TEXT(Delivery_data[[#This Row],[Order date]], "DDDD")</f>
        <v>Monday</v>
      </c>
      <c r="F73" s="2">
        <v>0.69236111111111109</v>
      </c>
      <c r="G73" t="s">
        <v>48</v>
      </c>
      <c r="H73" t="str">
        <f>IF(Delivery_data[[#This Row],[Order Status]] = "In Progress", "Backlog", "Complete")</f>
        <v>Backlog</v>
      </c>
      <c r="I73" t="s">
        <v>473</v>
      </c>
      <c r="J73" t="s">
        <v>1637</v>
      </c>
      <c r="K73" t="s">
        <v>61</v>
      </c>
      <c r="L73">
        <v>127</v>
      </c>
      <c r="M73">
        <v>7</v>
      </c>
      <c r="N73" t="s">
        <v>32</v>
      </c>
      <c r="O73" t="s">
        <v>41</v>
      </c>
      <c r="P73" t="s">
        <v>45</v>
      </c>
      <c r="Q73" t="s">
        <v>51</v>
      </c>
      <c r="R73" s="2">
        <v>0.375</v>
      </c>
    </row>
    <row r="74" spans="1:18" x14ac:dyDescent="0.25">
      <c r="A74" t="s">
        <v>2589</v>
      </c>
      <c r="B74" t="s">
        <v>1073</v>
      </c>
      <c r="C74" s="1">
        <v>45177</v>
      </c>
      <c r="D74" s="1" t="str">
        <f>TEXT(Delivery_data[[#This Row],[Order date]], "MMMM")</f>
        <v>September</v>
      </c>
      <c r="E74" s="1" t="str">
        <f>TEXT(Delivery_data[[#This Row],[Order date]], "DDDD")</f>
        <v>Friday</v>
      </c>
      <c r="F74" s="2">
        <v>0.59305555555555556</v>
      </c>
      <c r="G74" t="s">
        <v>48</v>
      </c>
      <c r="H74" t="str">
        <f>IF(Delivery_data[[#This Row],[Order Status]] = "In Progress", "Backlog", "Complete")</f>
        <v>Backlog</v>
      </c>
      <c r="I74" t="s">
        <v>473</v>
      </c>
      <c r="J74" t="s">
        <v>1633</v>
      </c>
      <c r="K74" t="s">
        <v>31</v>
      </c>
      <c r="L74">
        <v>215</v>
      </c>
      <c r="M74">
        <v>5</v>
      </c>
      <c r="N74" t="s">
        <v>32</v>
      </c>
      <c r="O74" t="s">
        <v>54</v>
      </c>
      <c r="P74" t="s">
        <v>45</v>
      </c>
      <c r="Q74" t="s">
        <v>46</v>
      </c>
      <c r="R74" s="2">
        <v>0.56666666666666665</v>
      </c>
    </row>
    <row r="75" spans="1:18" x14ac:dyDescent="0.25">
      <c r="A75" t="s">
        <v>2610</v>
      </c>
      <c r="B75" t="s">
        <v>1094</v>
      </c>
      <c r="C75" s="1">
        <v>45177</v>
      </c>
      <c r="D75" s="1" t="str">
        <f>TEXT(Delivery_data[[#This Row],[Order date]], "MMMM")</f>
        <v>September</v>
      </c>
      <c r="E75" s="1" t="str">
        <f>TEXT(Delivery_data[[#This Row],[Order date]], "DDDD")</f>
        <v>Friday</v>
      </c>
      <c r="F75" s="2">
        <v>0.64861111111111114</v>
      </c>
      <c r="G75" t="s">
        <v>48</v>
      </c>
      <c r="H75" t="str">
        <f>IF(Delivery_data[[#This Row],[Order Status]] = "In Progress", "Backlog", "Complete")</f>
        <v>Backlog</v>
      </c>
      <c r="I75" t="s">
        <v>473</v>
      </c>
      <c r="J75" t="s">
        <v>1633</v>
      </c>
      <c r="K75" t="s">
        <v>31</v>
      </c>
      <c r="L75">
        <v>179</v>
      </c>
      <c r="M75">
        <v>14</v>
      </c>
      <c r="N75" t="s">
        <v>25</v>
      </c>
      <c r="O75" t="s">
        <v>33</v>
      </c>
      <c r="P75" t="s">
        <v>45</v>
      </c>
      <c r="Q75" t="s">
        <v>46</v>
      </c>
      <c r="R75" s="2">
        <v>0.40902777777777777</v>
      </c>
    </row>
    <row r="76" spans="1:18" x14ac:dyDescent="0.25">
      <c r="A76" t="s">
        <v>2659</v>
      </c>
      <c r="B76" t="s">
        <v>1142</v>
      </c>
      <c r="C76" s="1">
        <v>45174</v>
      </c>
      <c r="D76" s="1" t="str">
        <f>TEXT(Delivery_data[[#This Row],[Order date]], "MMMM")</f>
        <v>September</v>
      </c>
      <c r="E76" s="1" t="str">
        <f>TEXT(Delivery_data[[#This Row],[Order date]], "DDDD")</f>
        <v>Tuesday</v>
      </c>
      <c r="F76" s="2">
        <v>0.59861111111111109</v>
      </c>
      <c r="G76" t="s">
        <v>22</v>
      </c>
      <c r="H76" t="str">
        <f>IF(Delivery_data[[#This Row],[Order Status]] = "In Progress", "Backlog", "Complete")</f>
        <v>Complete</v>
      </c>
      <c r="I76" t="s">
        <v>473</v>
      </c>
      <c r="J76" t="s">
        <v>1637</v>
      </c>
      <c r="K76" t="s">
        <v>44</v>
      </c>
      <c r="L76">
        <v>134</v>
      </c>
      <c r="M76">
        <v>1</v>
      </c>
      <c r="N76" t="s">
        <v>32</v>
      </c>
      <c r="O76" t="s">
        <v>50</v>
      </c>
      <c r="P76" t="s">
        <v>34</v>
      </c>
      <c r="Q76" t="s">
        <v>46</v>
      </c>
      <c r="R76" s="2">
        <v>0.6333333333333333</v>
      </c>
    </row>
    <row r="77" spans="1:18" x14ac:dyDescent="0.25">
      <c r="A77" t="s">
        <v>2707</v>
      </c>
      <c r="B77" t="s">
        <v>1188</v>
      </c>
      <c r="C77" s="1">
        <v>45172</v>
      </c>
      <c r="D77" s="1" t="str">
        <f>TEXT(Delivery_data[[#This Row],[Order date]], "MMMM")</f>
        <v>September</v>
      </c>
      <c r="E77" s="1" t="str">
        <f>TEXT(Delivery_data[[#This Row],[Order date]], "DDDD")</f>
        <v>Sunday</v>
      </c>
      <c r="F77" s="2">
        <v>0.45763888888888887</v>
      </c>
      <c r="G77" t="s">
        <v>48</v>
      </c>
      <c r="H77" t="str">
        <f>IF(Delivery_data[[#This Row],[Order Status]] = "In Progress", "Backlog", "Complete")</f>
        <v>Backlog</v>
      </c>
      <c r="I77" t="s">
        <v>473</v>
      </c>
      <c r="J77" t="s">
        <v>1631</v>
      </c>
      <c r="K77" t="s">
        <v>44</v>
      </c>
      <c r="L77">
        <v>131</v>
      </c>
      <c r="M77">
        <v>24</v>
      </c>
      <c r="N77" t="s">
        <v>32</v>
      </c>
      <c r="O77" t="s">
        <v>26</v>
      </c>
      <c r="P77" t="s">
        <v>34</v>
      </c>
      <c r="Q77" t="s">
        <v>51</v>
      </c>
      <c r="R77" s="2">
        <v>0.4548611111111111</v>
      </c>
    </row>
    <row r="78" spans="1:18" x14ac:dyDescent="0.25">
      <c r="A78" t="s">
        <v>2884</v>
      </c>
      <c r="B78" t="s">
        <v>1357</v>
      </c>
      <c r="C78" s="1">
        <v>45176</v>
      </c>
      <c r="D78" s="1" t="str">
        <f>TEXT(Delivery_data[[#This Row],[Order date]], "MMMM")</f>
        <v>September</v>
      </c>
      <c r="E78" s="1" t="str">
        <f>TEXT(Delivery_data[[#This Row],[Order date]], "DDDD")</f>
        <v>Thursday</v>
      </c>
      <c r="F78" s="2">
        <v>0.6069444444444444</v>
      </c>
      <c r="G78" t="s">
        <v>48</v>
      </c>
      <c r="H78" t="str">
        <f>IF(Delivery_data[[#This Row],[Order Status]] = "In Progress", "Backlog", "Complete")</f>
        <v>Backlog</v>
      </c>
      <c r="I78" t="s">
        <v>473</v>
      </c>
      <c r="J78" t="s">
        <v>1631</v>
      </c>
      <c r="K78" t="s">
        <v>31</v>
      </c>
      <c r="L78">
        <v>158</v>
      </c>
      <c r="M78">
        <v>1</v>
      </c>
      <c r="N78" t="s">
        <v>32</v>
      </c>
      <c r="O78" t="s">
        <v>33</v>
      </c>
      <c r="P78" t="s">
        <v>27</v>
      </c>
      <c r="Q78" t="s">
        <v>28</v>
      </c>
      <c r="R78" s="2">
        <v>0.63263888888888886</v>
      </c>
    </row>
    <row r="79" spans="1:18" x14ac:dyDescent="0.25">
      <c r="A79" t="s">
        <v>2959</v>
      </c>
      <c r="B79" t="s">
        <v>1432</v>
      </c>
      <c r="C79" s="1">
        <v>45175</v>
      </c>
      <c r="D79" s="1" t="str">
        <f>TEXT(Delivery_data[[#This Row],[Order date]], "MMMM")</f>
        <v>September</v>
      </c>
      <c r="E79" s="1" t="str">
        <f>TEXT(Delivery_data[[#This Row],[Order date]], "DDDD")</f>
        <v>Wednesday</v>
      </c>
      <c r="F79" s="2">
        <v>0.65972222222222221</v>
      </c>
      <c r="G79" t="s">
        <v>22</v>
      </c>
      <c r="H79" t="str">
        <f>IF(Delivery_data[[#This Row],[Order Status]] = "In Progress", "Backlog", "Complete")</f>
        <v>Complete</v>
      </c>
      <c r="I79" t="s">
        <v>473</v>
      </c>
      <c r="J79" t="s">
        <v>1637</v>
      </c>
      <c r="K79" t="s">
        <v>37</v>
      </c>
      <c r="L79">
        <v>102</v>
      </c>
      <c r="M79">
        <v>21</v>
      </c>
      <c r="N79" t="s">
        <v>25</v>
      </c>
      <c r="O79" t="s">
        <v>54</v>
      </c>
      <c r="P79" t="s">
        <v>27</v>
      </c>
      <c r="Q79" t="s">
        <v>46</v>
      </c>
      <c r="R79" s="2">
        <v>0.41319444444444442</v>
      </c>
    </row>
    <row r="80" spans="1:18" x14ac:dyDescent="0.25">
      <c r="A80" t="s">
        <v>2960</v>
      </c>
      <c r="B80" t="s">
        <v>1433</v>
      </c>
      <c r="C80" s="1">
        <v>45170</v>
      </c>
      <c r="D80" s="1" t="str">
        <f>TEXT(Delivery_data[[#This Row],[Order date]], "MMMM")</f>
        <v>September</v>
      </c>
      <c r="E80" s="1" t="str">
        <f>TEXT(Delivery_data[[#This Row],[Order date]], "DDDD")</f>
        <v>Friday</v>
      </c>
      <c r="F80" s="2">
        <v>0.33541666666666664</v>
      </c>
      <c r="G80" t="s">
        <v>22</v>
      </c>
      <c r="H80" t="str">
        <f>IF(Delivery_data[[#This Row],[Order Status]] = "In Progress", "Backlog", "Complete")</f>
        <v>Complete</v>
      </c>
      <c r="I80" t="s">
        <v>473</v>
      </c>
      <c r="J80" t="s">
        <v>1631</v>
      </c>
      <c r="K80" t="s">
        <v>24</v>
      </c>
      <c r="L80">
        <v>103</v>
      </c>
      <c r="M80">
        <v>6</v>
      </c>
      <c r="N80" t="s">
        <v>38</v>
      </c>
      <c r="O80" t="s">
        <v>26</v>
      </c>
      <c r="P80" t="s">
        <v>27</v>
      </c>
      <c r="Q80" t="s">
        <v>28</v>
      </c>
      <c r="R80" s="2">
        <v>0.47361111111111109</v>
      </c>
    </row>
    <row r="81" spans="1:18" x14ac:dyDescent="0.25">
      <c r="A81" t="s">
        <v>1796</v>
      </c>
      <c r="B81" t="s">
        <v>289</v>
      </c>
      <c r="C81" s="1">
        <v>45172</v>
      </c>
      <c r="D81" s="1" t="str">
        <f>TEXT(Delivery_data[[#This Row],[Order date]], "MMMM")</f>
        <v>September</v>
      </c>
      <c r="E81" s="1" t="str">
        <f>TEXT(Delivery_data[[#This Row],[Order date]], "DDDD")</f>
        <v>Sunday</v>
      </c>
      <c r="F81" s="2">
        <v>0.36736111111111114</v>
      </c>
      <c r="G81" t="s">
        <v>22</v>
      </c>
      <c r="H81" t="str">
        <f>IF(Delivery_data[[#This Row],[Order Status]] = "In Progress", "Backlog", "Complete")</f>
        <v>Complete</v>
      </c>
      <c r="I81" t="s">
        <v>290</v>
      </c>
      <c r="J81" t="s">
        <v>1633</v>
      </c>
      <c r="K81" t="s">
        <v>31</v>
      </c>
      <c r="L81">
        <v>236</v>
      </c>
      <c r="M81">
        <v>20</v>
      </c>
      <c r="N81" t="s">
        <v>38</v>
      </c>
      <c r="O81" t="s">
        <v>50</v>
      </c>
      <c r="P81" t="s">
        <v>34</v>
      </c>
      <c r="Q81" t="s">
        <v>46</v>
      </c>
      <c r="R81" s="2">
        <v>0.36249999999999999</v>
      </c>
    </row>
    <row r="82" spans="1:18" x14ac:dyDescent="0.25">
      <c r="A82" t="s">
        <v>1847</v>
      </c>
      <c r="B82" t="s">
        <v>346</v>
      </c>
      <c r="C82" s="1">
        <v>45171</v>
      </c>
      <c r="D82" s="1" t="str">
        <f>TEXT(Delivery_data[[#This Row],[Order date]], "MMMM")</f>
        <v>September</v>
      </c>
      <c r="E82" s="1" t="str">
        <f>TEXT(Delivery_data[[#This Row],[Order date]], "DDDD")</f>
        <v>Saturday</v>
      </c>
      <c r="F82" s="2">
        <v>0.3527777777777778</v>
      </c>
      <c r="G82" t="s">
        <v>22</v>
      </c>
      <c r="H82" t="str">
        <f>IF(Delivery_data[[#This Row],[Order Status]] = "In Progress", "Backlog", "Complete")</f>
        <v>Complete</v>
      </c>
      <c r="I82" t="s">
        <v>290</v>
      </c>
      <c r="J82" t="s">
        <v>1637</v>
      </c>
      <c r="K82" t="s">
        <v>24</v>
      </c>
      <c r="L82">
        <v>162</v>
      </c>
      <c r="M82">
        <v>25</v>
      </c>
      <c r="N82" t="s">
        <v>32</v>
      </c>
      <c r="O82" t="s">
        <v>41</v>
      </c>
      <c r="P82" t="s">
        <v>27</v>
      </c>
      <c r="Q82" t="s">
        <v>28</v>
      </c>
      <c r="R82" s="2">
        <v>0.51597222222222228</v>
      </c>
    </row>
    <row r="83" spans="1:18" x14ac:dyDescent="0.25">
      <c r="A83" t="s">
        <v>1864</v>
      </c>
      <c r="B83" t="s">
        <v>363</v>
      </c>
      <c r="C83" s="1">
        <v>45170</v>
      </c>
      <c r="D83" s="1" t="str">
        <f>TEXT(Delivery_data[[#This Row],[Order date]], "MMMM")</f>
        <v>September</v>
      </c>
      <c r="E83" s="1" t="str">
        <f>TEXT(Delivery_data[[#This Row],[Order date]], "DDDD")</f>
        <v>Friday</v>
      </c>
      <c r="F83" s="2">
        <v>0.64375000000000004</v>
      </c>
      <c r="G83" t="s">
        <v>48</v>
      </c>
      <c r="H83" t="str">
        <f>IF(Delivery_data[[#This Row],[Order Status]] = "In Progress", "Backlog", "Complete")</f>
        <v>Backlog</v>
      </c>
      <c r="I83" t="s">
        <v>290</v>
      </c>
      <c r="J83" t="s">
        <v>1631</v>
      </c>
      <c r="K83" t="s">
        <v>24</v>
      </c>
      <c r="L83">
        <v>140</v>
      </c>
      <c r="M83">
        <v>17</v>
      </c>
      <c r="N83" t="s">
        <v>32</v>
      </c>
      <c r="O83" t="s">
        <v>41</v>
      </c>
      <c r="P83" t="s">
        <v>27</v>
      </c>
      <c r="Q83" t="s">
        <v>51</v>
      </c>
      <c r="R83" s="2">
        <v>0.60486111111111107</v>
      </c>
    </row>
    <row r="84" spans="1:18" x14ac:dyDescent="0.25">
      <c r="A84" t="s">
        <v>1902</v>
      </c>
      <c r="B84" t="s">
        <v>403</v>
      </c>
      <c r="C84" s="1">
        <v>45177</v>
      </c>
      <c r="D84" s="1" t="str">
        <f>TEXT(Delivery_data[[#This Row],[Order date]], "MMMM")</f>
        <v>September</v>
      </c>
      <c r="E84" s="1" t="str">
        <f>TEXT(Delivery_data[[#This Row],[Order date]], "DDDD")</f>
        <v>Friday</v>
      </c>
      <c r="F84" s="2">
        <v>0.3527777777777778</v>
      </c>
      <c r="G84" t="s">
        <v>48</v>
      </c>
      <c r="H84" t="str">
        <f>IF(Delivery_data[[#This Row],[Order Status]] = "In Progress", "Backlog", "Complete")</f>
        <v>Backlog</v>
      </c>
      <c r="I84" t="s">
        <v>290</v>
      </c>
      <c r="J84" t="s">
        <v>1633</v>
      </c>
      <c r="K84" t="s">
        <v>44</v>
      </c>
      <c r="L84">
        <v>132</v>
      </c>
      <c r="M84">
        <v>2</v>
      </c>
      <c r="N84" t="s">
        <v>25</v>
      </c>
      <c r="O84" t="s">
        <v>41</v>
      </c>
      <c r="P84" t="s">
        <v>45</v>
      </c>
      <c r="Q84" t="s">
        <v>28</v>
      </c>
      <c r="R84" s="2">
        <v>0.63055555555555554</v>
      </c>
    </row>
    <row r="85" spans="1:18" x14ac:dyDescent="0.25">
      <c r="A85" t="s">
        <v>1913</v>
      </c>
      <c r="B85" t="s">
        <v>416</v>
      </c>
      <c r="C85" s="1">
        <v>45177</v>
      </c>
      <c r="D85" s="1" t="str">
        <f>TEXT(Delivery_data[[#This Row],[Order date]], "MMMM")</f>
        <v>September</v>
      </c>
      <c r="E85" s="1" t="str">
        <f>TEXT(Delivery_data[[#This Row],[Order date]], "DDDD")</f>
        <v>Friday</v>
      </c>
      <c r="F85" s="2">
        <v>0.47847222222222224</v>
      </c>
      <c r="G85" t="s">
        <v>48</v>
      </c>
      <c r="H85" t="str">
        <f>IF(Delivery_data[[#This Row],[Order Status]] = "In Progress", "Backlog", "Complete")</f>
        <v>Backlog</v>
      </c>
      <c r="I85" t="s">
        <v>290</v>
      </c>
      <c r="J85" t="s">
        <v>1637</v>
      </c>
      <c r="K85" t="s">
        <v>24</v>
      </c>
      <c r="L85">
        <v>220</v>
      </c>
      <c r="M85">
        <v>27</v>
      </c>
      <c r="N85" t="s">
        <v>25</v>
      </c>
      <c r="O85" t="s">
        <v>50</v>
      </c>
      <c r="P85" t="s">
        <v>34</v>
      </c>
      <c r="Q85" t="s">
        <v>51</v>
      </c>
      <c r="R85" s="2">
        <v>0.69652777777777775</v>
      </c>
    </row>
    <row r="86" spans="1:18" x14ac:dyDescent="0.25">
      <c r="A86" t="s">
        <v>1956</v>
      </c>
      <c r="B86" t="s">
        <v>460</v>
      </c>
      <c r="C86" s="1">
        <v>45176</v>
      </c>
      <c r="D86" s="1" t="str">
        <f>TEXT(Delivery_data[[#This Row],[Order date]], "MMMM")</f>
        <v>September</v>
      </c>
      <c r="E86" s="1" t="str">
        <f>TEXT(Delivery_data[[#This Row],[Order date]], "DDDD")</f>
        <v>Thursday</v>
      </c>
      <c r="F86" s="2">
        <v>0.65694444444444444</v>
      </c>
      <c r="G86" t="s">
        <v>48</v>
      </c>
      <c r="H86" t="str">
        <f>IF(Delivery_data[[#This Row],[Order Status]] = "In Progress", "Backlog", "Complete")</f>
        <v>Backlog</v>
      </c>
      <c r="I86" t="s">
        <v>290</v>
      </c>
      <c r="J86" t="s">
        <v>1631</v>
      </c>
      <c r="K86" t="s">
        <v>31</v>
      </c>
      <c r="L86">
        <v>119</v>
      </c>
      <c r="M86">
        <v>10</v>
      </c>
      <c r="N86" t="s">
        <v>25</v>
      </c>
      <c r="O86" t="s">
        <v>26</v>
      </c>
      <c r="P86" t="s">
        <v>27</v>
      </c>
      <c r="Q86" t="s">
        <v>28</v>
      </c>
      <c r="R86" s="2">
        <v>0.52083333333333337</v>
      </c>
    </row>
    <row r="87" spans="1:18" x14ac:dyDescent="0.25">
      <c r="A87" t="s">
        <v>2061</v>
      </c>
      <c r="B87" t="s">
        <v>566</v>
      </c>
      <c r="C87" s="1">
        <v>45176</v>
      </c>
      <c r="D87" s="1" t="str">
        <f>TEXT(Delivery_data[[#This Row],[Order date]], "MMMM")</f>
        <v>September</v>
      </c>
      <c r="E87" s="1" t="str">
        <f>TEXT(Delivery_data[[#This Row],[Order date]], "DDDD")</f>
        <v>Thursday</v>
      </c>
      <c r="F87" s="2">
        <v>0.6381944444444444</v>
      </c>
      <c r="G87" t="s">
        <v>48</v>
      </c>
      <c r="H87" t="str">
        <f>IF(Delivery_data[[#This Row],[Order Status]] = "In Progress", "Backlog", "Complete")</f>
        <v>Backlog</v>
      </c>
      <c r="I87" t="s">
        <v>290</v>
      </c>
      <c r="J87" t="s">
        <v>1633</v>
      </c>
      <c r="K87" t="s">
        <v>61</v>
      </c>
      <c r="L87">
        <v>142</v>
      </c>
      <c r="M87">
        <v>11</v>
      </c>
      <c r="N87" t="s">
        <v>38</v>
      </c>
      <c r="O87" t="s">
        <v>26</v>
      </c>
      <c r="P87" t="s">
        <v>34</v>
      </c>
      <c r="Q87" t="s">
        <v>28</v>
      </c>
      <c r="R87" s="2">
        <v>0.66527777777777775</v>
      </c>
    </row>
    <row r="88" spans="1:18" x14ac:dyDescent="0.25">
      <c r="A88" t="s">
        <v>2287</v>
      </c>
      <c r="B88" t="s">
        <v>786</v>
      </c>
      <c r="C88" s="1">
        <v>45176</v>
      </c>
      <c r="D88" s="1" t="str">
        <f>TEXT(Delivery_data[[#This Row],[Order date]], "MMMM")</f>
        <v>September</v>
      </c>
      <c r="E88" s="1" t="str">
        <f>TEXT(Delivery_data[[#This Row],[Order date]], "DDDD")</f>
        <v>Thursday</v>
      </c>
      <c r="F88" s="2">
        <v>0.39513888888888887</v>
      </c>
      <c r="G88" t="s">
        <v>48</v>
      </c>
      <c r="H88" t="str">
        <f>IF(Delivery_data[[#This Row],[Order Status]] = "In Progress", "Backlog", "Complete")</f>
        <v>Backlog</v>
      </c>
      <c r="I88" t="s">
        <v>290</v>
      </c>
      <c r="J88" t="s">
        <v>1637</v>
      </c>
      <c r="K88" t="s">
        <v>24</v>
      </c>
      <c r="L88">
        <v>196</v>
      </c>
      <c r="M88">
        <v>28</v>
      </c>
      <c r="N88" t="s">
        <v>38</v>
      </c>
      <c r="O88" t="s">
        <v>54</v>
      </c>
      <c r="P88" t="s">
        <v>34</v>
      </c>
      <c r="Q88" t="s">
        <v>46</v>
      </c>
      <c r="R88" s="2">
        <v>0.47569444444444442</v>
      </c>
    </row>
    <row r="89" spans="1:18" x14ac:dyDescent="0.25">
      <c r="A89" t="s">
        <v>2292</v>
      </c>
      <c r="B89" t="s">
        <v>791</v>
      </c>
      <c r="C89" s="1">
        <v>45170</v>
      </c>
      <c r="D89" s="1" t="str">
        <f>TEXT(Delivery_data[[#This Row],[Order date]], "MMMM")</f>
        <v>September</v>
      </c>
      <c r="E89" s="1" t="str">
        <f>TEXT(Delivery_data[[#This Row],[Order date]], "DDDD")</f>
        <v>Friday</v>
      </c>
      <c r="F89" s="2">
        <v>0.44444444444444442</v>
      </c>
      <c r="G89" t="s">
        <v>22</v>
      </c>
      <c r="H89" t="str">
        <f>IF(Delivery_data[[#This Row],[Order Status]] = "In Progress", "Backlog", "Complete")</f>
        <v>Complete</v>
      </c>
      <c r="I89" t="s">
        <v>290</v>
      </c>
      <c r="J89" t="s">
        <v>1631</v>
      </c>
      <c r="K89" t="s">
        <v>37</v>
      </c>
      <c r="L89">
        <v>138</v>
      </c>
      <c r="M89">
        <v>6</v>
      </c>
      <c r="N89" t="s">
        <v>32</v>
      </c>
      <c r="O89" t="s">
        <v>54</v>
      </c>
      <c r="P89" t="s">
        <v>34</v>
      </c>
      <c r="Q89" t="s">
        <v>51</v>
      </c>
      <c r="R89" s="2">
        <v>0.63055555555555554</v>
      </c>
    </row>
    <row r="90" spans="1:18" x14ac:dyDescent="0.25">
      <c r="A90" t="s">
        <v>2344</v>
      </c>
      <c r="B90" t="s">
        <v>842</v>
      </c>
      <c r="C90" s="1">
        <v>45171</v>
      </c>
      <c r="D90" s="1" t="str">
        <f>TEXT(Delivery_data[[#This Row],[Order date]], "MMMM")</f>
        <v>September</v>
      </c>
      <c r="E90" s="1" t="str">
        <f>TEXT(Delivery_data[[#This Row],[Order date]], "DDDD")</f>
        <v>Saturday</v>
      </c>
      <c r="F90" s="2">
        <v>0.42916666666666664</v>
      </c>
      <c r="G90" t="s">
        <v>48</v>
      </c>
      <c r="H90" t="str">
        <f>IF(Delivery_data[[#This Row],[Order Status]] = "In Progress", "Backlog", "Complete")</f>
        <v>Backlog</v>
      </c>
      <c r="I90" t="s">
        <v>290</v>
      </c>
      <c r="J90" t="s">
        <v>1637</v>
      </c>
      <c r="K90" t="s">
        <v>24</v>
      </c>
      <c r="L90">
        <v>195</v>
      </c>
      <c r="M90">
        <v>22</v>
      </c>
      <c r="N90" t="s">
        <v>32</v>
      </c>
      <c r="O90" t="s">
        <v>33</v>
      </c>
      <c r="P90" t="s">
        <v>45</v>
      </c>
      <c r="Q90" t="s">
        <v>51</v>
      </c>
      <c r="R90" s="2">
        <v>0.58958333333333335</v>
      </c>
    </row>
    <row r="91" spans="1:18" x14ac:dyDescent="0.25">
      <c r="A91" t="s">
        <v>2399</v>
      </c>
      <c r="B91" t="s">
        <v>895</v>
      </c>
      <c r="C91" s="1">
        <v>45173</v>
      </c>
      <c r="D91" s="1" t="str">
        <f>TEXT(Delivery_data[[#This Row],[Order date]], "MMMM")</f>
        <v>September</v>
      </c>
      <c r="E91" s="1" t="str">
        <f>TEXT(Delivery_data[[#This Row],[Order date]], "DDDD")</f>
        <v>Monday</v>
      </c>
      <c r="F91" s="2">
        <v>0.52847222222222223</v>
      </c>
      <c r="G91" t="s">
        <v>22</v>
      </c>
      <c r="H91" t="str">
        <f>IF(Delivery_data[[#This Row],[Order Status]] = "In Progress", "Backlog", "Complete")</f>
        <v>Complete</v>
      </c>
      <c r="I91" t="s">
        <v>290</v>
      </c>
      <c r="J91" t="s">
        <v>1633</v>
      </c>
      <c r="K91" t="s">
        <v>24</v>
      </c>
      <c r="L91">
        <v>171</v>
      </c>
      <c r="M91">
        <v>2</v>
      </c>
      <c r="N91" t="s">
        <v>25</v>
      </c>
      <c r="O91" t="s">
        <v>33</v>
      </c>
      <c r="P91" t="s">
        <v>27</v>
      </c>
      <c r="Q91" t="s">
        <v>28</v>
      </c>
      <c r="R91" s="2">
        <v>0.63124999999999998</v>
      </c>
    </row>
    <row r="92" spans="1:18" x14ac:dyDescent="0.25">
      <c r="A92" t="s">
        <v>2520</v>
      </c>
      <c r="B92" t="s">
        <v>1009</v>
      </c>
      <c r="C92" s="1">
        <v>45175</v>
      </c>
      <c r="D92" s="1" t="str">
        <f>TEXT(Delivery_data[[#This Row],[Order date]], "MMMM")</f>
        <v>September</v>
      </c>
      <c r="E92" s="1" t="str">
        <f>TEXT(Delivery_data[[#This Row],[Order date]], "DDDD")</f>
        <v>Wednesday</v>
      </c>
      <c r="F92" s="2">
        <v>0.37430555555555556</v>
      </c>
      <c r="G92" t="s">
        <v>22</v>
      </c>
      <c r="H92" t="str">
        <f>IF(Delivery_data[[#This Row],[Order Status]] = "In Progress", "Backlog", "Complete")</f>
        <v>Complete</v>
      </c>
      <c r="I92" t="s">
        <v>290</v>
      </c>
      <c r="J92" t="s">
        <v>1631</v>
      </c>
      <c r="K92" t="s">
        <v>61</v>
      </c>
      <c r="L92">
        <v>222</v>
      </c>
      <c r="M92">
        <v>27</v>
      </c>
      <c r="N92" t="s">
        <v>25</v>
      </c>
      <c r="O92" t="s">
        <v>54</v>
      </c>
      <c r="P92" t="s">
        <v>34</v>
      </c>
      <c r="Q92" t="s">
        <v>46</v>
      </c>
      <c r="R92" s="2">
        <v>0.39305555555555555</v>
      </c>
    </row>
    <row r="93" spans="1:18" x14ac:dyDescent="0.25">
      <c r="A93" t="s">
        <v>2613</v>
      </c>
      <c r="B93" t="s">
        <v>1097</v>
      </c>
      <c r="C93" s="1">
        <v>45177</v>
      </c>
      <c r="D93" s="1" t="str">
        <f>TEXT(Delivery_data[[#This Row],[Order date]], "MMMM")</f>
        <v>September</v>
      </c>
      <c r="E93" s="1" t="str">
        <f>TEXT(Delivery_data[[#This Row],[Order date]], "DDDD")</f>
        <v>Friday</v>
      </c>
      <c r="F93" s="2">
        <v>0.60486111111111107</v>
      </c>
      <c r="G93" t="s">
        <v>22</v>
      </c>
      <c r="H93" t="str">
        <f>IF(Delivery_data[[#This Row],[Order Status]] = "In Progress", "Backlog", "Complete")</f>
        <v>Complete</v>
      </c>
      <c r="I93" t="s">
        <v>290</v>
      </c>
      <c r="J93" t="s">
        <v>1631</v>
      </c>
      <c r="K93" t="s">
        <v>44</v>
      </c>
      <c r="L93">
        <v>123</v>
      </c>
      <c r="M93">
        <v>11</v>
      </c>
      <c r="N93" t="s">
        <v>32</v>
      </c>
      <c r="O93" t="s">
        <v>54</v>
      </c>
      <c r="P93" t="s">
        <v>34</v>
      </c>
      <c r="Q93" t="s">
        <v>28</v>
      </c>
      <c r="R93" s="2">
        <v>0.41319444444444442</v>
      </c>
    </row>
    <row r="94" spans="1:18" x14ac:dyDescent="0.25">
      <c r="A94" t="s">
        <v>2655</v>
      </c>
      <c r="B94" t="s">
        <v>1138</v>
      </c>
      <c r="C94" s="1">
        <v>45173</v>
      </c>
      <c r="D94" s="1" t="str">
        <f>TEXT(Delivery_data[[#This Row],[Order date]], "MMMM")</f>
        <v>September</v>
      </c>
      <c r="E94" s="1" t="str">
        <f>TEXT(Delivery_data[[#This Row],[Order date]], "DDDD")</f>
        <v>Monday</v>
      </c>
      <c r="F94" s="2">
        <v>0.6430555555555556</v>
      </c>
      <c r="G94" t="s">
        <v>22</v>
      </c>
      <c r="H94" t="str">
        <f>IF(Delivery_data[[#This Row],[Order Status]] = "In Progress", "Backlog", "Complete")</f>
        <v>Complete</v>
      </c>
      <c r="I94" t="s">
        <v>290</v>
      </c>
      <c r="J94" t="s">
        <v>1633</v>
      </c>
      <c r="K94" t="s">
        <v>24</v>
      </c>
      <c r="L94">
        <v>205</v>
      </c>
      <c r="M94">
        <v>10</v>
      </c>
      <c r="N94" t="s">
        <v>38</v>
      </c>
      <c r="O94" t="s">
        <v>33</v>
      </c>
      <c r="P94" t="s">
        <v>45</v>
      </c>
      <c r="Q94" t="s">
        <v>51</v>
      </c>
      <c r="R94" s="2">
        <v>0.41458333333333336</v>
      </c>
    </row>
    <row r="95" spans="1:18" x14ac:dyDescent="0.25">
      <c r="A95" t="s">
        <v>2656</v>
      </c>
      <c r="B95" t="s">
        <v>1139</v>
      </c>
      <c r="C95" s="1">
        <v>45173</v>
      </c>
      <c r="D95" s="1" t="str">
        <f>TEXT(Delivery_data[[#This Row],[Order date]], "MMMM")</f>
        <v>September</v>
      </c>
      <c r="E95" s="1" t="str">
        <f>TEXT(Delivery_data[[#This Row],[Order date]], "DDDD")</f>
        <v>Monday</v>
      </c>
      <c r="F95" s="2">
        <v>0.59652777777777777</v>
      </c>
      <c r="G95" t="s">
        <v>22</v>
      </c>
      <c r="H95" t="str">
        <f>IF(Delivery_data[[#This Row],[Order Status]] = "In Progress", "Backlog", "Complete")</f>
        <v>Complete</v>
      </c>
      <c r="I95" t="s">
        <v>290</v>
      </c>
      <c r="J95" t="s">
        <v>1631</v>
      </c>
      <c r="K95" t="s">
        <v>37</v>
      </c>
      <c r="L95">
        <v>218</v>
      </c>
      <c r="M95">
        <v>24</v>
      </c>
      <c r="N95" t="s">
        <v>32</v>
      </c>
      <c r="O95" t="s">
        <v>26</v>
      </c>
      <c r="P95" t="s">
        <v>27</v>
      </c>
      <c r="Q95" t="s">
        <v>46</v>
      </c>
      <c r="R95" s="2">
        <v>0.57986111111111116</v>
      </c>
    </row>
    <row r="96" spans="1:18" x14ac:dyDescent="0.25">
      <c r="A96" t="s">
        <v>2685</v>
      </c>
      <c r="B96" t="s">
        <v>1167</v>
      </c>
      <c r="C96" s="1">
        <v>45174</v>
      </c>
      <c r="D96" s="1" t="str">
        <f>TEXT(Delivery_data[[#This Row],[Order date]], "MMMM")</f>
        <v>September</v>
      </c>
      <c r="E96" s="1" t="str">
        <f>TEXT(Delivery_data[[#This Row],[Order date]], "DDDD")</f>
        <v>Tuesday</v>
      </c>
      <c r="F96" s="2">
        <v>0.34652777777777777</v>
      </c>
      <c r="G96" t="s">
        <v>22</v>
      </c>
      <c r="H96" t="str">
        <f>IF(Delivery_data[[#This Row],[Order Status]] = "In Progress", "Backlog", "Complete")</f>
        <v>Complete</v>
      </c>
      <c r="I96" t="s">
        <v>290</v>
      </c>
      <c r="J96" t="s">
        <v>1633</v>
      </c>
      <c r="K96" t="s">
        <v>31</v>
      </c>
      <c r="L96">
        <v>238</v>
      </c>
      <c r="M96">
        <v>29</v>
      </c>
      <c r="N96" t="s">
        <v>32</v>
      </c>
      <c r="O96" t="s">
        <v>41</v>
      </c>
      <c r="P96" t="s">
        <v>45</v>
      </c>
      <c r="Q96" t="s">
        <v>46</v>
      </c>
      <c r="R96" s="2">
        <v>0.46041666666666664</v>
      </c>
    </row>
    <row r="97" spans="1:18" x14ac:dyDescent="0.25">
      <c r="A97" t="s">
        <v>2721</v>
      </c>
      <c r="B97" t="s">
        <v>1202</v>
      </c>
      <c r="C97" s="1">
        <v>45174</v>
      </c>
      <c r="D97" s="1" t="str">
        <f>TEXT(Delivery_data[[#This Row],[Order date]], "MMMM")</f>
        <v>September</v>
      </c>
      <c r="E97" s="1" t="str">
        <f>TEXT(Delivery_data[[#This Row],[Order date]], "DDDD")</f>
        <v>Tuesday</v>
      </c>
      <c r="F97" s="2">
        <v>0.39513888888888887</v>
      </c>
      <c r="G97" t="s">
        <v>48</v>
      </c>
      <c r="H97" t="str">
        <f>IF(Delivery_data[[#This Row],[Order Status]] = "In Progress", "Backlog", "Complete")</f>
        <v>Backlog</v>
      </c>
      <c r="I97" t="s">
        <v>290</v>
      </c>
      <c r="J97" t="s">
        <v>1631</v>
      </c>
      <c r="K97" t="s">
        <v>44</v>
      </c>
      <c r="L97">
        <v>127</v>
      </c>
      <c r="M97">
        <v>9</v>
      </c>
      <c r="N97" t="s">
        <v>25</v>
      </c>
      <c r="O97" t="s">
        <v>54</v>
      </c>
      <c r="P97" t="s">
        <v>34</v>
      </c>
      <c r="Q97" t="s">
        <v>28</v>
      </c>
      <c r="R97" s="2">
        <v>0.54722222222222228</v>
      </c>
    </row>
    <row r="98" spans="1:18" x14ac:dyDescent="0.25">
      <c r="A98" t="s">
        <v>2746</v>
      </c>
      <c r="B98" t="s">
        <v>1226</v>
      </c>
      <c r="C98" s="1">
        <v>45171</v>
      </c>
      <c r="D98" s="1" t="str">
        <f>TEXT(Delivery_data[[#This Row],[Order date]], "MMMM")</f>
        <v>September</v>
      </c>
      <c r="E98" s="1" t="str">
        <f>TEXT(Delivery_data[[#This Row],[Order date]], "DDDD")</f>
        <v>Saturday</v>
      </c>
      <c r="F98" s="2">
        <v>0.46041666666666664</v>
      </c>
      <c r="G98" t="s">
        <v>22</v>
      </c>
      <c r="H98" t="str">
        <f>IF(Delivery_data[[#This Row],[Order Status]] = "In Progress", "Backlog", "Complete")</f>
        <v>Complete</v>
      </c>
      <c r="I98" t="s">
        <v>290</v>
      </c>
      <c r="J98" t="s">
        <v>1633</v>
      </c>
      <c r="K98" t="s">
        <v>24</v>
      </c>
      <c r="L98">
        <v>149</v>
      </c>
      <c r="M98">
        <v>6</v>
      </c>
      <c r="N98" t="s">
        <v>32</v>
      </c>
      <c r="O98" t="s">
        <v>26</v>
      </c>
      <c r="P98" t="s">
        <v>27</v>
      </c>
      <c r="Q98" t="s">
        <v>46</v>
      </c>
      <c r="R98" s="2">
        <v>0.4375</v>
      </c>
    </row>
    <row r="99" spans="1:18" x14ac:dyDescent="0.25">
      <c r="A99" t="s">
        <v>2936</v>
      </c>
      <c r="B99" t="s">
        <v>1409</v>
      </c>
      <c r="C99" s="1">
        <v>45174</v>
      </c>
      <c r="D99" s="1" t="str">
        <f>TEXT(Delivery_data[[#This Row],[Order date]], "MMMM")</f>
        <v>September</v>
      </c>
      <c r="E99" s="1" t="str">
        <f>TEXT(Delivery_data[[#This Row],[Order date]], "DDDD")</f>
        <v>Tuesday</v>
      </c>
      <c r="F99" s="2">
        <v>0.70416666666666672</v>
      </c>
      <c r="G99" t="s">
        <v>48</v>
      </c>
      <c r="H99" t="str">
        <f>IF(Delivery_data[[#This Row],[Order Status]] = "In Progress", "Backlog", "Complete")</f>
        <v>Backlog</v>
      </c>
      <c r="I99" t="s">
        <v>290</v>
      </c>
      <c r="J99" t="s">
        <v>1633</v>
      </c>
      <c r="K99" t="s">
        <v>37</v>
      </c>
      <c r="L99">
        <v>149</v>
      </c>
      <c r="M99">
        <v>0</v>
      </c>
      <c r="N99" t="s">
        <v>38</v>
      </c>
      <c r="O99" t="s">
        <v>33</v>
      </c>
      <c r="P99" t="s">
        <v>27</v>
      </c>
      <c r="Q99" t="s">
        <v>51</v>
      </c>
      <c r="R99" s="2">
        <v>0.44097222222222221</v>
      </c>
    </row>
    <row r="100" spans="1:18" x14ac:dyDescent="0.25">
      <c r="A100" t="s">
        <v>2993</v>
      </c>
      <c r="B100" t="s">
        <v>1466</v>
      </c>
      <c r="C100" s="1">
        <v>45173</v>
      </c>
      <c r="D100" s="1" t="str">
        <f>TEXT(Delivery_data[[#This Row],[Order date]], "MMMM")</f>
        <v>September</v>
      </c>
      <c r="E100" s="1" t="str">
        <f>TEXT(Delivery_data[[#This Row],[Order date]], "DDDD")</f>
        <v>Monday</v>
      </c>
      <c r="F100" s="2">
        <v>0.55763888888888891</v>
      </c>
      <c r="G100" t="s">
        <v>22</v>
      </c>
      <c r="H100" t="str">
        <f>IF(Delivery_data[[#This Row],[Order Status]] = "In Progress", "Backlog", "Complete")</f>
        <v>Complete</v>
      </c>
      <c r="I100" t="s">
        <v>290</v>
      </c>
      <c r="J100" t="s">
        <v>1631</v>
      </c>
      <c r="K100" t="s">
        <v>61</v>
      </c>
      <c r="L100">
        <v>168</v>
      </c>
      <c r="M100">
        <v>12</v>
      </c>
      <c r="N100" t="s">
        <v>25</v>
      </c>
      <c r="O100" t="s">
        <v>54</v>
      </c>
      <c r="P100" t="s">
        <v>34</v>
      </c>
      <c r="Q100" t="s">
        <v>51</v>
      </c>
      <c r="R100" s="2">
        <v>0.63472222222222219</v>
      </c>
    </row>
    <row r="101" spans="1:18" x14ac:dyDescent="0.25">
      <c r="A101" t="s">
        <v>3002</v>
      </c>
      <c r="B101" t="s">
        <v>1473</v>
      </c>
      <c r="C101" s="1">
        <v>45172</v>
      </c>
      <c r="D101" s="1" t="str">
        <f>TEXT(Delivery_data[[#This Row],[Order date]], "MMMM")</f>
        <v>September</v>
      </c>
      <c r="E101" s="1" t="str">
        <f>TEXT(Delivery_data[[#This Row],[Order date]], "DDDD")</f>
        <v>Sunday</v>
      </c>
      <c r="F101" s="2">
        <v>0.58888888888888891</v>
      </c>
      <c r="G101" t="s">
        <v>48</v>
      </c>
      <c r="H101" t="str">
        <f>IF(Delivery_data[[#This Row],[Order Status]] = "In Progress", "Backlog", "Complete")</f>
        <v>Backlog</v>
      </c>
      <c r="I101" t="s">
        <v>290</v>
      </c>
      <c r="J101" t="s">
        <v>1637</v>
      </c>
      <c r="K101" t="s">
        <v>24</v>
      </c>
      <c r="L101">
        <v>230</v>
      </c>
      <c r="M101">
        <v>12</v>
      </c>
      <c r="N101" t="s">
        <v>38</v>
      </c>
      <c r="O101" t="s">
        <v>26</v>
      </c>
      <c r="P101" t="s">
        <v>27</v>
      </c>
      <c r="Q101" t="s">
        <v>51</v>
      </c>
      <c r="R101" s="2">
        <v>0.69166666666666665</v>
      </c>
    </row>
    <row r="102" spans="1:18" x14ac:dyDescent="0.25">
      <c r="A102" t="s">
        <v>3060</v>
      </c>
      <c r="B102" t="s">
        <v>1528</v>
      </c>
      <c r="C102" s="1">
        <v>45175</v>
      </c>
      <c r="D102" s="1" t="str">
        <f>TEXT(Delivery_data[[#This Row],[Order date]], "MMMM")</f>
        <v>September</v>
      </c>
      <c r="E102" s="1" t="str">
        <f>TEXT(Delivery_data[[#This Row],[Order date]], "DDDD")</f>
        <v>Wednesday</v>
      </c>
      <c r="F102" s="2">
        <v>0.69305555555555554</v>
      </c>
      <c r="G102" t="s">
        <v>48</v>
      </c>
      <c r="H102" t="str">
        <f>IF(Delivery_data[[#This Row],[Order Status]] = "In Progress", "Backlog", "Complete")</f>
        <v>Backlog</v>
      </c>
      <c r="I102" t="s">
        <v>290</v>
      </c>
      <c r="J102" t="s">
        <v>1637</v>
      </c>
      <c r="K102" t="s">
        <v>44</v>
      </c>
      <c r="L102">
        <v>109</v>
      </c>
      <c r="M102">
        <v>27</v>
      </c>
      <c r="N102" t="s">
        <v>25</v>
      </c>
      <c r="O102" t="s">
        <v>26</v>
      </c>
      <c r="P102" t="s">
        <v>34</v>
      </c>
      <c r="Q102" t="s">
        <v>51</v>
      </c>
      <c r="R102" s="2">
        <v>0.53125</v>
      </c>
    </row>
    <row r="103" spans="1:18" x14ac:dyDescent="0.25">
      <c r="A103" t="s">
        <v>1659</v>
      </c>
      <c r="B103" t="s">
        <v>91</v>
      </c>
      <c r="C103" s="1">
        <v>45175</v>
      </c>
      <c r="D103" s="1" t="str">
        <f>TEXT(Delivery_data[[#This Row],[Order date]], "MMMM")</f>
        <v>September</v>
      </c>
      <c r="E103" s="1" t="str">
        <f>TEXT(Delivery_data[[#This Row],[Order date]], "DDDD")</f>
        <v>Wednesday</v>
      </c>
      <c r="F103" s="2">
        <v>0.47291666666666665</v>
      </c>
      <c r="G103" t="s">
        <v>22</v>
      </c>
      <c r="H103" t="str">
        <f>IF(Delivery_data[[#This Row],[Order Status]] = "In Progress", "Backlog", "Complete")</f>
        <v>Complete</v>
      </c>
      <c r="I103" t="s">
        <v>92</v>
      </c>
      <c r="J103" t="s">
        <v>1631</v>
      </c>
      <c r="K103" t="s">
        <v>31</v>
      </c>
      <c r="L103">
        <v>153</v>
      </c>
      <c r="M103">
        <v>22</v>
      </c>
      <c r="N103" t="s">
        <v>25</v>
      </c>
      <c r="O103" t="s">
        <v>26</v>
      </c>
      <c r="P103" t="s">
        <v>34</v>
      </c>
      <c r="Q103" t="s">
        <v>28</v>
      </c>
      <c r="R103" s="2">
        <v>0.59722222222222221</v>
      </c>
    </row>
    <row r="104" spans="1:18" x14ac:dyDescent="0.25">
      <c r="A104" t="s">
        <v>1693</v>
      </c>
      <c r="B104" t="s">
        <v>149</v>
      </c>
      <c r="C104" s="1">
        <v>45175</v>
      </c>
      <c r="D104" s="1" t="str">
        <f>TEXT(Delivery_data[[#This Row],[Order date]], "MMMM")</f>
        <v>September</v>
      </c>
      <c r="E104" s="1" t="str">
        <f>TEXT(Delivery_data[[#This Row],[Order date]], "DDDD")</f>
        <v>Wednesday</v>
      </c>
      <c r="F104" s="2">
        <v>0.68958333333333333</v>
      </c>
      <c r="G104" t="s">
        <v>22</v>
      </c>
      <c r="H104" t="str">
        <f>IF(Delivery_data[[#This Row],[Order Status]] = "In Progress", "Backlog", "Complete")</f>
        <v>Complete</v>
      </c>
      <c r="I104" t="s">
        <v>92</v>
      </c>
      <c r="J104" t="s">
        <v>1631</v>
      </c>
      <c r="K104" t="s">
        <v>61</v>
      </c>
      <c r="L104">
        <v>163</v>
      </c>
      <c r="M104">
        <v>25</v>
      </c>
      <c r="N104" t="s">
        <v>25</v>
      </c>
      <c r="O104" t="s">
        <v>33</v>
      </c>
      <c r="P104" t="s">
        <v>45</v>
      </c>
      <c r="Q104" t="s">
        <v>28</v>
      </c>
      <c r="R104" s="2">
        <v>0.43125000000000002</v>
      </c>
    </row>
    <row r="105" spans="1:18" x14ac:dyDescent="0.25">
      <c r="A105" t="s">
        <v>1759</v>
      </c>
      <c r="B105" t="s">
        <v>242</v>
      </c>
      <c r="C105" s="1">
        <v>45172</v>
      </c>
      <c r="D105" s="1" t="str">
        <f>TEXT(Delivery_data[[#This Row],[Order date]], "MMMM")</f>
        <v>September</v>
      </c>
      <c r="E105" s="1" t="str">
        <f>TEXT(Delivery_data[[#This Row],[Order date]], "DDDD")</f>
        <v>Sunday</v>
      </c>
      <c r="F105" s="2">
        <v>0.51041666666666663</v>
      </c>
      <c r="G105" t="s">
        <v>22</v>
      </c>
      <c r="H105" t="str">
        <f>IF(Delivery_data[[#This Row],[Order Status]] = "In Progress", "Backlog", "Complete")</f>
        <v>Complete</v>
      </c>
      <c r="I105" t="s">
        <v>92</v>
      </c>
      <c r="J105" t="s">
        <v>1631</v>
      </c>
      <c r="K105" t="s">
        <v>37</v>
      </c>
      <c r="L105">
        <v>175</v>
      </c>
      <c r="M105">
        <v>9</v>
      </c>
      <c r="N105" t="s">
        <v>32</v>
      </c>
      <c r="O105" t="s">
        <v>41</v>
      </c>
      <c r="P105" t="s">
        <v>34</v>
      </c>
      <c r="Q105" t="s">
        <v>51</v>
      </c>
      <c r="R105" s="2">
        <v>0.44097222222222221</v>
      </c>
    </row>
    <row r="106" spans="1:18" x14ac:dyDescent="0.25">
      <c r="A106" t="s">
        <v>1903</v>
      </c>
      <c r="B106" t="s">
        <v>404</v>
      </c>
      <c r="C106" s="1">
        <v>45174</v>
      </c>
      <c r="D106" s="1" t="str">
        <f>TEXT(Delivery_data[[#This Row],[Order date]], "MMMM")</f>
        <v>September</v>
      </c>
      <c r="E106" s="1" t="str">
        <f>TEXT(Delivery_data[[#This Row],[Order date]], "DDDD")</f>
        <v>Tuesday</v>
      </c>
      <c r="F106" s="2">
        <v>0.62986111111111109</v>
      </c>
      <c r="G106" t="s">
        <v>48</v>
      </c>
      <c r="H106" t="str">
        <f>IF(Delivery_data[[#This Row],[Order Status]] = "In Progress", "Backlog", "Complete")</f>
        <v>Backlog</v>
      </c>
      <c r="I106" t="s">
        <v>92</v>
      </c>
      <c r="J106" t="s">
        <v>1631</v>
      </c>
      <c r="K106" t="s">
        <v>31</v>
      </c>
      <c r="L106">
        <v>187</v>
      </c>
      <c r="M106">
        <v>16</v>
      </c>
      <c r="N106" t="s">
        <v>32</v>
      </c>
      <c r="O106" t="s">
        <v>41</v>
      </c>
      <c r="P106" t="s">
        <v>34</v>
      </c>
      <c r="Q106" t="s">
        <v>28</v>
      </c>
      <c r="R106" s="2">
        <v>0.67708333333333337</v>
      </c>
    </row>
    <row r="107" spans="1:18" x14ac:dyDescent="0.25">
      <c r="A107" t="s">
        <v>1978</v>
      </c>
      <c r="B107" t="s">
        <v>483</v>
      </c>
      <c r="C107" s="1">
        <v>45175</v>
      </c>
      <c r="D107" s="1" t="str">
        <f>TEXT(Delivery_data[[#This Row],[Order date]], "MMMM")</f>
        <v>September</v>
      </c>
      <c r="E107" s="1" t="str">
        <f>TEXT(Delivery_data[[#This Row],[Order date]], "DDDD")</f>
        <v>Wednesday</v>
      </c>
      <c r="F107" s="2">
        <v>0.45763888888888887</v>
      </c>
      <c r="G107" t="s">
        <v>22</v>
      </c>
      <c r="H107" t="str">
        <f>IF(Delivery_data[[#This Row],[Order Status]] = "In Progress", "Backlog", "Complete")</f>
        <v>Complete</v>
      </c>
      <c r="I107" t="s">
        <v>92</v>
      </c>
      <c r="J107" t="s">
        <v>1633</v>
      </c>
      <c r="K107" t="s">
        <v>61</v>
      </c>
      <c r="L107">
        <v>110</v>
      </c>
      <c r="M107">
        <v>12</v>
      </c>
      <c r="N107" t="s">
        <v>38</v>
      </c>
      <c r="O107" t="s">
        <v>41</v>
      </c>
      <c r="P107" t="s">
        <v>27</v>
      </c>
      <c r="Q107" t="s">
        <v>28</v>
      </c>
      <c r="R107" s="2">
        <v>0.50763888888888886</v>
      </c>
    </row>
    <row r="108" spans="1:18" x14ac:dyDescent="0.25">
      <c r="A108" t="s">
        <v>2087</v>
      </c>
      <c r="B108" t="s">
        <v>592</v>
      </c>
      <c r="C108" s="1">
        <v>45174</v>
      </c>
      <c r="D108" s="1" t="str">
        <f>TEXT(Delivery_data[[#This Row],[Order date]], "MMMM")</f>
        <v>September</v>
      </c>
      <c r="E108" s="1" t="str">
        <f>TEXT(Delivery_data[[#This Row],[Order date]], "DDDD")</f>
        <v>Tuesday</v>
      </c>
      <c r="F108" s="2">
        <v>0.68055555555555558</v>
      </c>
      <c r="G108" t="s">
        <v>22</v>
      </c>
      <c r="H108" t="str">
        <f>IF(Delivery_data[[#This Row],[Order Status]] = "In Progress", "Backlog", "Complete")</f>
        <v>Complete</v>
      </c>
      <c r="I108" t="s">
        <v>92</v>
      </c>
      <c r="J108" t="s">
        <v>1631</v>
      </c>
      <c r="K108" t="s">
        <v>31</v>
      </c>
      <c r="L108">
        <v>182</v>
      </c>
      <c r="M108">
        <v>15</v>
      </c>
      <c r="N108" t="s">
        <v>38</v>
      </c>
      <c r="O108" t="s">
        <v>50</v>
      </c>
      <c r="P108" t="s">
        <v>27</v>
      </c>
      <c r="Q108" t="s">
        <v>28</v>
      </c>
      <c r="R108" s="2">
        <v>0.49305555555555558</v>
      </c>
    </row>
    <row r="109" spans="1:18" x14ac:dyDescent="0.25">
      <c r="A109" t="s">
        <v>2088</v>
      </c>
      <c r="B109" t="s">
        <v>593</v>
      </c>
      <c r="C109" s="1">
        <v>45174</v>
      </c>
      <c r="D109" s="1" t="str">
        <f>TEXT(Delivery_data[[#This Row],[Order date]], "MMMM")</f>
        <v>September</v>
      </c>
      <c r="E109" s="1" t="str">
        <f>TEXT(Delivery_data[[#This Row],[Order date]], "DDDD")</f>
        <v>Tuesday</v>
      </c>
      <c r="F109" s="2">
        <v>0.57708333333333328</v>
      </c>
      <c r="G109" t="s">
        <v>48</v>
      </c>
      <c r="H109" t="str">
        <f>IF(Delivery_data[[#This Row],[Order Status]] = "In Progress", "Backlog", "Complete")</f>
        <v>Backlog</v>
      </c>
      <c r="I109" t="s">
        <v>92</v>
      </c>
      <c r="J109" t="s">
        <v>1633</v>
      </c>
      <c r="K109" t="s">
        <v>44</v>
      </c>
      <c r="L109">
        <v>212</v>
      </c>
      <c r="M109">
        <v>20</v>
      </c>
      <c r="N109" t="s">
        <v>25</v>
      </c>
      <c r="O109" t="s">
        <v>26</v>
      </c>
      <c r="P109" t="s">
        <v>45</v>
      </c>
      <c r="Q109" t="s">
        <v>46</v>
      </c>
      <c r="R109" s="2">
        <v>0.51249999999999996</v>
      </c>
    </row>
    <row r="110" spans="1:18" x14ac:dyDescent="0.25">
      <c r="A110" t="s">
        <v>2406</v>
      </c>
      <c r="B110" t="s">
        <v>901</v>
      </c>
      <c r="C110" s="1">
        <v>45172</v>
      </c>
      <c r="D110" s="1" t="str">
        <f>TEXT(Delivery_data[[#This Row],[Order date]], "MMMM")</f>
        <v>September</v>
      </c>
      <c r="E110" s="1" t="str">
        <f>TEXT(Delivery_data[[#This Row],[Order date]], "DDDD")</f>
        <v>Sunday</v>
      </c>
      <c r="F110" s="2">
        <v>0.49583333333333335</v>
      </c>
      <c r="G110" t="s">
        <v>22</v>
      </c>
      <c r="H110" t="str">
        <f>IF(Delivery_data[[#This Row],[Order Status]] = "In Progress", "Backlog", "Complete")</f>
        <v>Complete</v>
      </c>
      <c r="I110" t="s">
        <v>92</v>
      </c>
      <c r="J110" t="s">
        <v>1637</v>
      </c>
      <c r="K110" t="s">
        <v>61</v>
      </c>
      <c r="L110">
        <v>161</v>
      </c>
      <c r="M110">
        <v>1</v>
      </c>
      <c r="N110" t="s">
        <v>32</v>
      </c>
      <c r="O110" t="s">
        <v>41</v>
      </c>
      <c r="P110" t="s">
        <v>27</v>
      </c>
      <c r="Q110" t="s">
        <v>28</v>
      </c>
      <c r="R110" s="2">
        <v>0.49652777777777779</v>
      </c>
    </row>
    <row r="111" spans="1:18" x14ac:dyDescent="0.25">
      <c r="A111" t="s">
        <v>2491</v>
      </c>
      <c r="B111" t="s">
        <v>981</v>
      </c>
      <c r="C111" s="1">
        <v>45174</v>
      </c>
      <c r="D111" s="1" t="str">
        <f>TEXT(Delivery_data[[#This Row],[Order date]], "MMMM")</f>
        <v>September</v>
      </c>
      <c r="E111" s="1" t="str">
        <f>TEXT(Delivery_data[[#This Row],[Order date]], "DDDD")</f>
        <v>Tuesday</v>
      </c>
      <c r="F111" s="2">
        <v>0.41597222222222224</v>
      </c>
      <c r="G111" t="s">
        <v>48</v>
      </c>
      <c r="H111" t="str">
        <f>IF(Delivery_data[[#This Row],[Order Status]] = "In Progress", "Backlog", "Complete")</f>
        <v>Backlog</v>
      </c>
      <c r="I111" t="s">
        <v>92</v>
      </c>
      <c r="J111" t="s">
        <v>1637</v>
      </c>
      <c r="K111" t="s">
        <v>61</v>
      </c>
      <c r="L111">
        <v>215</v>
      </c>
      <c r="M111">
        <v>13</v>
      </c>
      <c r="N111" t="s">
        <v>25</v>
      </c>
      <c r="O111" t="s">
        <v>33</v>
      </c>
      <c r="P111" t="s">
        <v>27</v>
      </c>
      <c r="Q111" t="s">
        <v>46</v>
      </c>
      <c r="R111" s="2">
        <v>0.3972222222222222</v>
      </c>
    </row>
    <row r="112" spans="1:18" x14ac:dyDescent="0.25">
      <c r="A112" t="s">
        <v>2564</v>
      </c>
      <c r="B112" t="s">
        <v>1049</v>
      </c>
      <c r="C112" s="1">
        <v>45174</v>
      </c>
      <c r="D112" s="1" t="str">
        <f>TEXT(Delivery_data[[#This Row],[Order date]], "MMMM")</f>
        <v>September</v>
      </c>
      <c r="E112" s="1" t="str">
        <f>TEXT(Delivery_data[[#This Row],[Order date]], "DDDD")</f>
        <v>Tuesday</v>
      </c>
      <c r="F112" s="2">
        <v>0.70486111111111116</v>
      </c>
      <c r="G112" t="s">
        <v>22</v>
      </c>
      <c r="H112" t="str">
        <f>IF(Delivery_data[[#This Row],[Order Status]] = "In Progress", "Backlog", "Complete")</f>
        <v>Complete</v>
      </c>
      <c r="I112" t="s">
        <v>92</v>
      </c>
      <c r="J112" t="s">
        <v>1631</v>
      </c>
      <c r="K112" t="s">
        <v>24</v>
      </c>
      <c r="L112">
        <v>168</v>
      </c>
      <c r="M112">
        <v>12</v>
      </c>
      <c r="N112" t="s">
        <v>38</v>
      </c>
      <c r="O112" t="s">
        <v>33</v>
      </c>
      <c r="P112" t="s">
        <v>34</v>
      </c>
      <c r="Q112" t="s">
        <v>51</v>
      </c>
      <c r="R112" s="2">
        <v>0.51111111111111107</v>
      </c>
    </row>
    <row r="113" spans="1:18" x14ac:dyDescent="0.25">
      <c r="A113" t="s">
        <v>2698</v>
      </c>
      <c r="B113" t="s">
        <v>1179</v>
      </c>
      <c r="C113" s="1">
        <v>45175</v>
      </c>
      <c r="D113" s="1" t="str">
        <f>TEXT(Delivery_data[[#This Row],[Order date]], "MMMM")</f>
        <v>September</v>
      </c>
      <c r="E113" s="1" t="str">
        <f>TEXT(Delivery_data[[#This Row],[Order date]], "DDDD")</f>
        <v>Wednesday</v>
      </c>
      <c r="F113" s="2">
        <v>0.38611111111111113</v>
      </c>
      <c r="G113" t="s">
        <v>48</v>
      </c>
      <c r="H113" t="str">
        <f>IF(Delivery_data[[#This Row],[Order Status]] = "In Progress", "Backlog", "Complete")</f>
        <v>Backlog</v>
      </c>
      <c r="I113" t="s">
        <v>92</v>
      </c>
      <c r="J113" t="s">
        <v>1633</v>
      </c>
      <c r="K113" t="s">
        <v>24</v>
      </c>
      <c r="L113">
        <v>220</v>
      </c>
      <c r="M113">
        <v>19</v>
      </c>
      <c r="N113" t="s">
        <v>25</v>
      </c>
      <c r="O113" t="s">
        <v>26</v>
      </c>
      <c r="P113" t="s">
        <v>27</v>
      </c>
      <c r="Q113" t="s">
        <v>51</v>
      </c>
      <c r="R113" s="2">
        <v>0.7104166666666667</v>
      </c>
    </row>
    <row r="114" spans="1:18" x14ac:dyDescent="0.25">
      <c r="A114" t="s">
        <v>2716</v>
      </c>
      <c r="B114" t="s">
        <v>1197</v>
      </c>
      <c r="C114" s="1">
        <v>45175</v>
      </c>
      <c r="D114" s="1" t="str">
        <f>TEXT(Delivery_data[[#This Row],[Order date]], "MMMM")</f>
        <v>September</v>
      </c>
      <c r="E114" s="1" t="str">
        <f>TEXT(Delivery_data[[#This Row],[Order date]], "DDDD")</f>
        <v>Wednesday</v>
      </c>
      <c r="F114" s="2">
        <v>0.3576388888888889</v>
      </c>
      <c r="G114" t="s">
        <v>22</v>
      </c>
      <c r="H114" t="str">
        <f>IF(Delivery_data[[#This Row],[Order Status]] = "In Progress", "Backlog", "Complete")</f>
        <v>Complete</v>
      </c>
      <c r="I114" t="s">
        <v>92</v>
      </c>
      <c r="J114" t="s">
        <v>1633</v>
      </c>
      <c r="K114" t="s">
        <v>37</v>
      </c>
      <c r="L114">
        <v>84</v>
      </c>
      <c r="M114">
        <v>29</v>
      </c>
      <c r="N114" t="s">
        <v>25</v>
      </c>
      <c r="O114" t="s">
        <v>50</v>
      </c>
      <c r="P114" t="s">
        <v>45</v>
      </c>
      <c r="Q114" t="s">
        <v>28</v>
      </c>
      <c r="R114" s="2">
        <v>0.63124999999999998</v>
      </c>
    </row>
    <row r="115" spans="1:18" x14ac:dyDescent="0.25">
      <c r="A115" t="s">
        <v>2731</v>
      </c>
      <c r="B115" t="s">
        <v>1212</v>
      </c>
      <c r="C115" s="1">
        <v>45172</v>
      </c>
      <c r="D115" s="1" t="str">
        <f>TEXT(Delivery_data[[#This Row],[Order date]], "MMMM")</f>
        <v>September</v>
      </c>
      <c r="E115" s="1" t="str">
        <f>TEXT(Delivery_data[[#This Row],[Order date]], "DDDD")</f>
        <v>Sunday</v>
      </c>
      <c r="F115" s="2">
        <v>0.43958333333333333</v>
      </c>
      <c r="G115" t="s">
        <v>48</v>
      </c>
      <c r="H115" t="str">
        <f>IF(Delivery_data[[#This Row],[Order Status]] = "In Progress", "Backlog", "Complete")</f>
        <v>Backlog</v>
      </c>
      <c r="I115" t="s">
        <v>92</v>
      </c>
      <c r="J115" t="s">
        <v>1631</v>
      </c>
      <c r="K115" t="s">
        <v>31</v>
      </c>
      <c r="L115">
        <v>237</v>
      </c>
      <c r="M115">
        <v>16</v>
      </c>
      <c r="N115" t="s">
        <v>32</v>
      </c>
      <c r="O115" t="s">
        <v>33</v>
      </c>
      <c r="P115" t="s">
        <v>34</v>
      </c>
      <c r="Q115" t="s">
        <v>28</v>
      </c>
      <c r="R115" s="2">
        <v>0.63611111111111107</v>
      </c>
    </row>
    <row r="116" spans="1:18" x14ac:dyDescent="0.25">
      <c r="A116" t="s">
        <v>2790</v>
      </c>
      <c r="B116" t="s">
        <v>1267</v>
      </c>
      <c r="C116" s="1">
        <v>45171</v>
      </c>
      <c r="D116" s="1" t="str">
        <f>TEXT(Delivery_data[[#This Row],[Order date]], "MMMM")</f>
        <v>September</v>
      </c>
      <c r="E116" s="1" t="str">
        <f>TEXT(Delivery_data[[#This Row],[Order date]], "DDDD")</f>
        <v>Saturday</v>
      </c>
      <c r="F116" s="2">
        <v>0.42291666666666666</v>
      </c>
      <c r="G116" t="s">
        <v>48</v>
      </c>
      <c r="H116" t="str">
        <f>IF(Delivery_data[[#This Row],[Order Status]] = "In Progress", "Backlog", "Complete")</f>
        <v>Backlog</v>
      </c>
      <c r="I116" t="s">
        <v>92</v>
      </c>
      <c r="J116" t="s">
        <v>1631</v>
      </c>
      <c r="K116" t="s">
        <v>61</v>
      </c>
      <c r="L116">
        <v>219</v>
      </c>
      <c r="M116">
        <v>10</v>
      </c>
      <c r="N116" t="s">
        <v>25</v>
      </c>
      <c r="O116" t="s">
        <v>33</v>
      </c>
      <c r="P116" t="s">
        <v>34</v>
      </c>
      <c r="Q116" t="s">
        <v>51</v>
      </c>
      <c r="R116" s="2">
        <v>0.41111111111111109</v>
      </c>
    </row>
    <row r="117" spans="1:18" x14ac:dyDescent="0.25">
      <c r="A117" t="s">
        <v>2823</v>
      </c>
      <c r="B117" t="s">
        <v>1299</v>
      </c>
      <c r="C117" s="1">
        <v>45173</v>
      </c>
      <c r="D117" s="1" t="str">
        <f>TEXT(Delivery_data[[#This Row],[Order date]], "MMMM")</f>
        <v>September</v>
      </c>
      <c r="E117" s="1" t="str">
        <f>TEXT(Delivery_data[[#This Row],[Order date]], "DDDD")</f>
        <v>Monday</v>
      </c>
      <c r="F117" s="2">
        <v>0.47708333333333336</v>
      </c>
      <c r="G117" t="s">
        <v>48</v>
      </c>
      <c r="H117" t="str">
        <f>IF(Delivery_data[[#This Row],[Order Status]] = "In Progress", "Backlog", "Complete")</f>
        <v>Backlog</v>
      </c>
      <c r="I117" t="s">
        <v>92</v>
      </c>
      <c r="J117" t="s">
        <v>1633</v>
      </c>
      <c r="K117" t="s">
        <v>31</v>
      </c>
      <c r="L117">
        <v>162</v>
      </c>
      <c r="M117">
        <v>0</v>
      </c>
      <c r="N117" t="s">
        <v>32</v>
      </c>
      <c r="O117" t="s">
        <v>41</v>
      </c>
      <c r="P117" t="s">
        <v>34</v>
      </c>
      <c r="Q117" t="s">
        <v>28</v>
      </c>
      <c r="R117" s="2">
        <v>0.42499999999999999</v>
      </c>
    </row>
    <row r="118" spans="1:18" x14ac:dyDescent="0.25">
      <c r="A118" t="s">
        <v>2926</v>
      </c>
      <c r="B118" t="s">
        <v>1399</v>
      </c>
      <c r="C118" s="1">
        <v>45174</v>
      </c>
      <c r="D118" s="1" t="str">
        <f>TEXT(Delivery_data[[#This Row],[Order date]], "MMMM")</f>
        <v>September</v>
      </c>
      <c r="E118" s="1" t="str">
        <f>TEXT(Delivery_data[[#This Row],[Order date]], "DDDD")</f>
        <v>Tuesday</v>
      </c>
      <c r="F118" s="2">
        <v>0.3527777777777778</v>
      </c>
      <c r="G118" t="s">
        <v>48</v>
      </c>
      <c r="H118" t="str">
        <f>IF(Delivery_data[[#This Row],[Order Status]] = "In Progress", "Backlog", "Complete")</f>
        <v>Backlog</v>
      </c>
      <c r="I118" t="s">
        <v>92</v>
      </c>
      <c r="J118" t="s">
        <v>1637</v>
      </c>
      <c r="K118" t="s">
        <v>61</v>
      </c>
      <c r="L118">
        <v>187</v>
      </c>
      <c r="M118">
        <v>17</v>
      </c>
      <c r="N118" t="s">
        <v>38</v>
      </c>
      <c r="O118" t="s">
        <v>54</v>
      </c>
      <c r="P118" t="s">
        <v>27</v>
      </c>
      <c r="Q118" t="s">
        <v>51</v>
      </c>
      <c r="R118" s="2">
        <v>0.38124999999999998</v>
      </c>
    </row>
    <row r="119" spans="1:18" x14ac:dyDescent="0.25">
      <c r="A119" t="s">
        <v>3037</v>
      </c>
      <c r="B119" t="s">
        <v>1507</v>
      </c>
      <c r="C119" s="1">
        <v>45175</v>
      </c>
      <c r="D119" s="1" t="str">
        <f>TEXT(Delivery_data[[#This Row],[Order date]], "MMMM")</f>
        <v>September</v>
      </c>
      <c r="E119" s="1" t="str">
        <f>TEXT(Delivery_data[[#This Row],[Order date]], "DDDD")</f>
        <v>Wednesday</v>
      </c>
      <c r="F119" s="2">
        <v>0.6694444444444444</v>
      </c>
      <c r="G119" t="s">
        <v>22</v>
      </c>
      <c r="H119" t="str">
        <f>IF(Delivery_data[[#This Row],[Order Status]] = "In Progress", "Backlog", "Complete")</f>
        <v>Complete</v>
      </c>
      <c r="I119" t="s">
        <v>92</v>
      </c>
      <c r="J119" t="s">
        <v>1631</v>
      </c>
      <c r="K119" t="s">
        <v>61</v>
      </c>
      <c r="L119">
        <v>238</v>
      </c>
      <c r="M119">
        <v>16</v>
      </c>
      <c r="N119" t="s">
        <v>38</v>
      </c>
      <c r="O119" t="s">
        <v>54</v>
      </c>
      <c r="P119" t="s">
        <v>34</v>
      </c>
      <c r="Q119" t="s">
        <v>51</v>
      </c>
      <c r="R119" s="2">
        <v>0.65486111111111112</v>
      </c>
    </row>
    <row r="120" spans="1:18" x14ac:dyDescent="0.25">
      <c r="A120" t="s">
        <v>1700</v>
      </c>
      <c r="B120" t="s">
        <v>158</v>
      </c>
      <c r="C120" s="1">
        <v>45175</v>
      </c>
      <c r="D120" s="1" t="str">
        <f>TEXT(Delivery_data[[#This Row],[Order date]], "MMMM")</f>
        <v>September</v>
      </c>
      <c r="E120" s="1" t="str">
        <f>TEXT(Delivery_data[[#This Row],[Order date]], "DDDD")</f>
        <v>Wednesday</v>
      </c>
      <c r="F120" s="2">
        <v>0.43819444444444444</v>
      </c>
      <c r="G120" t="s">
        <v>22</v>
      </c>
      <c r="H120" t="str">
        <f>IF(Delivery_data[[#This Row],[Order Status]] = "In Progress", "Backlog", "Complete")</f>
        <v>Complete</v>
      </c>
      <c r="I120" t="s">
        <v>159</v>
      </c>
      <c r="J120" t="s">
        <v>1631</v>
      </c>
      <c r="K120" t="s">
        <v>61</v>
      </c>
      <c r="L120">
        <v>231</v>
      </c>
      <c r="M120">
        <v>12</v>
      </c>
      <c r="N120" t="s">
        <v>38</v>
      </c>
      <c r="O120" t="s">
        <v>33</v>
      </c>
      <c r="P120" t="s">
        <v>27</v>
      </c>
      <c r="Q120" t="s">
        <v>51</v>
      </c>
      <c r="R120" s="2">
        <v>0.43819444444444444</v>
      </c>
    </row>
    <row r="121" spans="1:18" x14ac:dyDescent="0.25">
      <c r="A121" t="s">
        <v>1739</v>
      </c>
      <c r="B121" t="s">
        <v>217</v>
      </c>
      <c r="C121" s="1">
        <v>45172</v>
      </c>
      <c r="D121" s="1" t="str">
        <f>TEXT(Delivery_data[[#This Row],[Order date]], "MMMM")</f>
        <v>September</v>
      </c>
      <c r="E121" s="1" t="str">
        <f>TEXT(Delivery_data[[#This Row],[Order date]], "DDDD")</f>
        <v>Sunday</v>
      </c>
      <c r="F121" s="2">
        <v>0.63263888888888886</v>
      </c>
      <c r="G121" t="s">
        <v>22</v>
      </c>
      <c r="H121" t="str">
        <f>IF(Delivery_data[[#This Row],[Order Status]] = "In Progress", "Backlog", "Complete")</f>
        <v>Complete</v>
      </c>
      <c r="I121" t="s">
        <v>159</v>
      </c>
      <c r="J121" t="s">
        <v>1631</v>
      </c>
      <c r="K121" t="s">
        <v>61</v>
      </c>
      <c r="L121">
        <v>60</v>
      </c>
      <c r="M121">
        <v>29</v>
      </c>
      <c r="N121" t="s">
        <v>38</v>
      </c>
      <c r="O121" t="s">
        <v>26</v>
      </c>
      <c r="P121" t="s">
        <v>34</v>
      </c>
      <c r="Q121" t="s">
        <v>28</v>
      </c>
      <c r="R121" s="2">
        <v>0.50902777777777775</v>
      </c>
    </row>
    <row r="122" spans="1:18" x14ac:dyDescent="0.25">
      <c r="A122" t="s">
        <v>1803</v>
      </c>
      <c r="B122" t="s">
        <v>298</v>
      </c>
      <c r="C122" s="1">
        <v>45177</v>
      </c>
      <c r="D122" s="1" t="str">
        <f>TEXT(Delivery_data[[#This Row],[Order date]], "MMMM")</f>
        <v>September</v>
      </c>
      <c r="E122" s="1" t="str">
        <f>TEXT(Delivery_data[[#This Row],[Order date]], "DDDD")</f>
        <v>Friday</v>
      </c>
      <c r="F122" s="2">
        <v>0.48819444444444443</v>
      </c>
      <c r="G122" t="s">
        <v>48</v>
      </c>
      <c r="H122" t="str">
        <f>IF(Delivery_data[[#This Row],[Order Status]] = "In Progress", "Backlog", "Complete")</f>
        <v>Backlog</v>
      </c>
      <c r="I122" t="s">
        <v>159</v>
      </c>
      <c r="J122" t="s">
        <v>1633</v>
      </c>
      <c r="K122" t="s">
        <v>24</v>
      </c>
      <c r="L122">
        <v>137</v>
      </c>
      <c r="M122">
        <v>23</v>
      </c>
      <c r="N122" t="s">
        <v>32</v>
      </c>
      <c r="O122" t="s">
        <v>41</v>
      </c>
      <c r="P122" t="s">
        <v>27</v>
      </c>
      <c r="Q122" t="s">
        <v>51</v>
      </c>
      <c r="R122" s="2">
        <v>0.42708333333333331</v>
      </c>
    </row>
    <row r="123" spans="1:18" x14ac:dyDescent="0.25">
      <c r="A123" t="s">
        <v>2002</v>
      </c>
      <c r="B123" t="s">
        <v>507</v>
      </c>
      <c r="C123" s="1">
        <v>45174</v>
      </c>
      <c r="D123" s="1" t="str">
        <f>TEXT(Delivery_data[[#This Row],[Order date]], "MMMM")</f>
        <v>September</v>
      </c>
      <c r="E123" s="1" t="str">
        <f>TEXT(Delivery_data[[#This Row],[Order date]], "DDDD")</f>
        <v>Tuesday</v>
      </c>
      <c r="F123" s="2">
        <v>0.48888888888888887</v>
      </c>
      <c r="G123" t="s">
        <v>22</v>
      </c>
      <c r="H123" t="str">
        <f>IF(Delivery_data[[#This Row],[Order Status]] = "In Progress", "Backlog", "Complete")</f>
        <v>Complete</v>
      </c>
      <c r="I123" t="s">
        <v>159</v>
      </c>
      <c r="J123" t="s">
        <v>1637</v>
      </c>
      <c r="K123" t="s">
        <v>37</v>
      </c>
      <c r="L123">
        <v>69</v>
      </c>
      <c r="M123">
        <v>29</v>
      </c>
      <c r="N123" t="s">
        <v>38</v>
      </c>
      <c r="O123" t="s">
        <v>26</v>
      </c>
      <c r="P123" t="s">
        <v>34</v>
      </c>
      <c r="Q123" t="s">
        <v>51</v>
      </c>
      <c r="R123" s="2">
        <v>0.5</v>
      </c>
    </row>
    <row r="124" spans="1:18" x14ac:dyDescent="0.25">
      <c r="A124" t="s">
        <v>2004</v>
      </c>
      <c r="B124" t="s">
        <v>509</v>
      </c>
      <c r="C124" s="1">
        <v>45171</v>
      </c>
      <c r="D124" s="1" t="str">
        <f>TEXT(Delivery_data[[#This Row],[Order date]], "MMMM")</f>
        <v>September</v>
      </c>
      <c r="E124" s="1" t="str">
        <f>TEXT(Delivery_data[[#This Row],[Order date]], "DDDD")</f>
        <v>Saturday</v>
      </c>
      <c r="F124" s="2">
        <v>0.62083333333333335</v>
      </c>
      <c r="G124" t="s">
        <v>22</v>
      </c>
      <c r="H124" t="str">
        <f>IF(Delivery_data[[#This Row],[Order Status]] = "In Progress", "Backlog", "Complete")</f>
        <v>Complete</v>
      </c>
      <c r="I124" t="s">
        <v>159</v>
      </c>
      <c r="J124" t="s">
        <v>1637</v>
      </c>
      <c r="K124" t="s">
        <v>37</v>
      </c>
      <c r="L124">
        <v>188</v>
      </c>
      <c r="M124">
        <v>15</v>
      </c>
      <c r="N124" t="s">
        <v>32</v>
      </c>
      <c r="O124" t="s">
        <v>33</v>
      </c>
      <c r="P124" t="s">
        <v>27</v>
      </c>
      <c r="Q124" t="s">
        <v>46</v>
      </c>
      <c r="R124" s="2">
        <v>0.36736111111111114</v>
      </c>
    </row>
    <row r="125" spans="1:18" x14ac:dyDescent="0.25">
      <c r="A125" t="s">
        <v>2083</v>
      </c>
      <c r="B125" t="s">
        <v>588</v>
      </c>
      <c r="C125" s="1">
        <v>45172</v>
      </c>
      <c r="D125" s="1" t="str">
        <f>TEXT(Delivery_data[[#This Row],[Order date]], "MMMM")</f>
        <v>September</v>
      </c>
      <c r="E125" s="1" t="str">
        <f>TEXT(Delivery_data[[#This Row],[Order date]], "DDDD")</f>
        <v>Sunday</v>
      </c>
      <c r="F125" s="2">
        <v>0.68194444444444446</v>
      </c>
      <c r="G125" t="s">
        <v>48</v>
      </c>
      <c r="H125" t="str">
        <f>IF(Delivery_data[[#This Row],[Order Status]] = "In Progress", "Backlog", "Complete")</f>
        <v>Backlog</v>
      </c>
      <c r="I125" t="s">
        <v>159</v>
      </c>
      <c r="J125" t="s">
        <v>1631</v>
      </c>
      <c r="K125" t="s">
        <v>24</v>
      </c>
      <c r="L125">
        <v>105</v>
      </c>
      <c r="M125">
        <v>12</v>
      </c>
      <c r="N125" t="s">
        <v>25</v>
      </c>
      <c r="O125" t="s">
        <v>26</v>
      </c>
      <c r="P125" t="s">
        <v>45</v>
      </c>
      <c r="Q125" t="s">
        <v>28</v>
      </c>
      <c r="R125" s="2">
        <v>0.40069444444444446</v>
      </c>
    </row>
    <row r="126" spans="1:18" x14ac:dyDescent="0.25">
      <c r="A126" t="s">
        <v>2091</v>
      </c>
      <c r="B126" t="s">
        <v>596</v>
      </c>
      <c r="C126" s="1">
        <v>45177</v>
      </c>
      <c r="D126" s="1" t="str">
        <f>TEXT(Delivery_data[[#This Row],[Order date]], "MMMM")</f>
        <v>September</v>
      </c>
      <c r="E126" s="1" t="str">
        <f>TEXT(Delivery_data[[#This Row],[Order date]], "DDDD")</f>
        <v>Friday</v>
      </c>
      <c r="F126" s="2">
        <v>0.52847222222222223</v>
      </c>
      <c r="G126" t="s">
        <v>22</v>
      </c>
      <c r="H126" t="str">
        <f>IF(Delivery_data[[#This Row],[Order Status]] = "In Progress", "Backlog", "Complete")</f>
        <v>Complete</v>
      </c>
      <c r="I126" t="s">
        <v>159</v>
      </c>
      <c r="J126" t="s">
        <v>1633</v>
      </c>
      <c r="K126" t="s">
        <v>61</v>
      </c>
      <c r="L126">
        <v>141</v>
      </c>
      <c r="M126">
        <v>9</v>
      </c>
      <c r="N126" t="s">
        <v>32</v>
      </c>
      <c r="O126" t="s">
        <v>33</v>
      </c>
      <c r="P126" t="s">
        <v>34</v>
      </c>
      <c r="Q126" t="s">
        <v>28</v>
      </c>
      <c r="R126" s="2">
        <v>0.39097222222222222</v>
      </c>
    </row>
    <row r="127" spans="1:18" x14ac:dyDescent="0.25">
      <c r="A127" t="s">
        <v>2135</v>
      </c>
      <c r="B127" t="s">
        <v>639</v>
      </c>
      <c r="C127" s="1">
        <v>45174</v>
      </c>
      <c r="D127" s="1" t="str">
        <f>TEXT(Delivery_data[[#This Row],[Order date]], "MMMM")</f>
        <v>September</v>
      </c>
      <c r="E127" s="1" t="str">
        <f>TEXT(Delivery_data[[#This Row],[Order date]], "DDDD")</f>
        <v>Tuesday</v>
      </c>
      <c r="F127" s="2">
        <v>0.50763888888888886</v>
      </c>
      <c r="G127" t="s">
        <v>22</v>
      </c>
      <c r="H127" t="str">
        <f>IF(Delivery_data[[#This Row],[Order Status]] = "In Progress", "Backlog", "Complete")</f>
        <v>Complete</v>
      </c>
      <c r="I127" t="s">
        <v>159</v>
      </c>
      <c r="J127" t="s">
        <v>1631</v>
      </c>
      <c r="K127" t="s">
        <v>44</v>
      </c>
      <c r="L127">
        <v>122</v>
      </c>
      <c r="M127">
        <v>1</v>
      </c>
      <c r="N127" t="s">
        <v>25</v>
      </c>
      <c r="O127" t="s">
        <v>50</v>
      </c>
      <c r="P127" t="s">
        <v>27</v>
      </c>
      <c r="Q127" t="s">
        <v>46</v>
      </c>
      <c r="R127" s="2">
        <v>0.63541666666666663</v>
      </c>
    </row>
    <row r="128" spans="1:18" x14ac:dyDescent="0.25">
      <c r="A128" t="s">
        <v>2218</v>
      </c>
      <c r="B128" t="s">
        <v>719</v>
      </c>
      <c r="C128" s="1">
        <v>45176</v>
      </c>
      <c r="D128" s="1" t="str">
        <f>TEXT(Delivery_data[[#This Row],[Order date]], "MMMM")</f>
        <v>September</v>
      </c>
      <c r="E128" s="1" t="str">
        <f>TEXT(Delivery_data[[#This Row],[Order date]], "DDDD")</f>
        <v>Thursday</v>
      </c>
      <c r="F128" s="2">
        <v>0.40277777777777779</v>
      </c>
      <c r="G128" t="s">
        <v>22</v>
      </c>
      <c r="H128" t="str">
        <f>IF(Delivery_data[[#This Row],[Order Status]] = "In Progress", "Backlog", "Complete")</f>
        <v>Complete</v>
      </c>
      <c r="I128" t="s">
        <v>159</v>
      </c>
      <c r="J128" t="s">
        <v>1631</v>
      </c>
      <c r="K128" t="s">
        <v>37</v>
      </c>
      <c r="L128">
        <v>173</v>
      </c>
      <c r="M128">
        <v>12</v>
      </c>
      <c r="N128" t="s">
        <v>25</v>
      </c>
      <c r="O128" t="s">
        <v>33</v>
      </c>
      <c r="P128" t="s">
        <v>45</v>
      </c>
      <c r="Q128" t="s">
        <v>51</v>
      </c>
      <c r="R128" s="2">
        <v>0.55694444444444446</v>
      </c>
    </row>
    <row r="129" spans="1:18" x14ac:dyDescent="0.25">
      <c r="A129" t="s">
        <v>2408</v>
      </c>
      <c r="B129" t="s">
        <v>902</v>
      </c>
      <c r="C129" s="1">
        <v>45172</v>
      </c>
      <c r="D129" s="1" t="str">
        <f>TEXT(Delivery_data[[#This Row],[Order date]], "MMMM")</f>
        <v>September</v>
      </c>
      <c r="E129" s="1" t="str">
        <f>TEXT(Delivery_data[[#This Row],[Order date]], "DDDD")</f>
        <v>Sunday</v>
      </c>
      <c r="F129" s="2">
        <v>0.64027777777777772</v>
      </c>
      <c r="G129" t="s">
        <v>22</v>
      </c>
      <c r="H129" t="str">
        <f>IF(Delivery_data[[#This Row],[Order Status]] = "In Progress", "Backlog", "Complete")</f>
        <v>Complete</v>
      </c>
      <c r="I129" t="s">
        <v>159</v>
      </c>
      <c r="J129" t="s">
        <v>1631</v>
      </c>
      <c r="K129" t="s">
        <v>61</v>
      </c>
      <c r="L129">
        <v>159</v>
      </c>
      <c r="M129">
        <v>22</v>
      </c>
      <c r="N129" t="s">
        <v>32</v>
      </c>
      <c r="O129" t="s">
        <v>50</v>
      </c>
      <c r="P129" t="s">
        <v>27</v>
      </c>
      <c r="Q129" t="s">
        <v>46</v>
      </c>
      <c r="R129" s="2">
        <v>0.74236111111111114</v>
      </c>
    </row>
    <row r="130" spans="1:18" x14ac:dyDescent="0.25">
      <c r="A130" t="s">
        <v>2422</v>
      </c>
      <c r="B130" t="s">
        <v>915</v>
      </c>
      <c r="C130" s="1">
        <v>45176</v>
      </c>
      <c r="D130" s="1" t="str">
        <f>TEXT(Delivery_data[[#This Row],[Order date]], "MMMM")</f>
        <v>September</v>
      </c>
      <c r="E130" s="1" t="str">
        <f>TEXT(Delivery_data[[#This Row],[Order date]], "DDDD")</f>
        <v>Thursday</v>
      </c>
      <c r="F130" s="2">
        <v>0.6381944444444444</v>
      </c>
      <c r="G130" t="s">
        <v>22</v>
      </c>
      <c r="H130" t="str">
        <f>IF(Delivery_data[[#This Row],[Order Status]] = "In Progress", "Backlog", "Complete")</f>
        <v>Complete</v>
      </c>
      <c r="I130" t="s">
        <v>159</v>
      </c>
      <c r="J130" t="s">
        <v>1631</v>
      </c>
      <c r="K130" t="s">
        <v>61</v>
      </c>
      <c r="L130">
        <v>146</v>
      </c>
      <c r="M130">
        <v>29</v>
      </c>
      <c r="N130" t="s">
        <v>32</v>
      </c>
      <c r="O130" t="s">
        <v>54</v>
      </c>
      <c r="P130" t="s">
        <v>34</v>
      </c>
      <c r="Q130" t="s">
        <v>46</v>
      </c>
      <c r="R130" s="2">
        <v>0.42430555555555555</v>
      </c>
    </row>
    <row r="131" spans="1:18" x14ac:dyDescent="0.25">
      <c r="A131" t="s">
        <v>2587</v>
      </c>
      <c r="B131" t="s">
        <v>1071</v>
      </c>
      <c r="C131" s="1">
        <v>45170</v>
      </c>
      <c r="D131" s="1" t="str">
        <f>TEXT(Delivery_data[[#This Row],[Order date]], "MMMM")</f>
        <v>September</v>
      </c>
      <c r="E131" s="1" t="str">
        <f>TEXT(Delivery_data[[#This Row],[Order date]], "DDDD")</f>
        <v>Friday</v>
      </c>
      <c r="F131" s="2">
        <v>0.43402777777777779</v>
      </c>
      <c r="G131" t="s">
        <v>48</v>
      </c>
      <c r="H131" t="str">
        <f>IF(Delivery_data[[#This Row],[Order Status]] = "In Progress", "Backlog", "Complete")</f>
        <v>Backlog</v>
      </c>
      <c r="I131" t="s">
        <v>159</v>
      </c>
      <c r="J131" t="s">
        <v>1637</v>
      </c>
      <c r="K131" t="s">
        <v>37</v>
      </c>
      <c r="L131">
        <v>92</v>
      </c>
      <c r="M131">
        <v>18</v>
      </c>
      <c r="N131" t="s">
        <v>25</v>
      </c>
      <c r="O131" t="s">
        <v>33</v>
      </c>
      <c r="P131" t="s">
        <v>34</v>
      </c>
      <c r="Q131" t="s">
        <v>51</v>
      </c>
      <c r="R131" s="2">
        <v>0.66180555555555554</v>
      </c>
    </row>
    <row r="132" spans="1:18" x14ac:dyDescent="0.25">
      <c r="A132" t="s">
        <v>2714</v>
      </c>
      <c r="B132" t="s">
        <v>1195</v>
      </c>
      <c r="C132" s="1">
        <v>45176</v>
      </c>
      <c r="D132" s="1" t="str">
        <f>TEXT(Delivery_data[[#This Row],[Order date]], "MMMM")</f>
        <v>September</v>
      </c>
      <c r="E132" s="1" t="str">
        <f>TEXT(Delivery_data[[#This Row],[Order date]], "DDDD")</f>
        <v>Thursday</v>
      </c>
      <c r="F132" s="2">
        <v>0.69930555555555551</v>
      </c>
      <c r="G132" t="s">
        <v>22</v>
      </c>
      <c r="H132" t="str">
        <f>IF(Delivery_data[[#This Row],[Order Status]] = "In Progress", "Backlog", "Complete")</f>
        <v>Complete</v>
      </c>
      <c r="I132" t="s">
        <v>159</v>
      </c>
      <c r="J132" t="s">
        <v>1631</v>
      </c>
      <c r="K132" t="s">
        <v>44</v>
      </c>
      <c r="L132">
        <v>92</v>
      </c>
      <c r="M132">
        <v>16</v>
      </c>
      <c r="N132" t="s">
        <v>38</v>
      </c>
      <c r="O132" t="s">
        <v>50</v>
      </c>
      <c r="P132" t="s">
        <v>27</v>
      </c>
      <c r="Q132" t="s">
        <v>28</v>
      </c>
      <c r="R132" s="2">
        <v>0.58888888888888891</v>
      </c>
    </row>
    <row r="133" spans="1:18" x14ac:dyDescent="0.25">
      <c r="A133" t="s">
        <v>2788</v>
      </c>
      <c r="B133" t="s">
        <v>1265</v>
      </c>
      <c r="C133" s="1">
        <v>45170</v>
      </c>
      <c r="D133" s="1" t="str">
        <f>TEXT(Delivery_data[[#This Row],[Order date]], "MMMM")</f>
        <v>September</v>
      </c>
      <c r="E133" s="1" t="str">
        <f>TEXT(Delivery_data[[#This Row],[Order date]], "DDDD")</f>
        <v>Friday</v>
      </c>
      <c r="F133" s="2">
        <v>0.4236111111111111</v>
      </c>
      <c r="G133" t="s">
        <v>48</v>
      </c>
      <c r="H133" t="str">
        <f>IF(Delivery_data[[#This Row],[Order Status]] = "In Progress", "Backlog", "Complete")</f>
        <v>Backlog</v>
      </c>
      <c r="I133" t="s">
        <v>159</v>
      </c>
      <c r="J133" t="s">
        <v>1637</v>
      </c>
      <c r="K133" t="s">
        <v>61</v>
      </c>
      <c r="L133">
        <v>227</v>
      </c>
      <c r="M133">
        <v>1</v>
      </c>
      <c r="N133" t="s">
        <v>32</v>
      </c>
      <c r="O133" t="s">
        <v>33</v>
      </c>
      <c r="P133" t="s">
        <v>27</v>
      </c>
      <c r="Q133" t="s">
        <v>46</v>
      </c>
      <c r="R133" s="2">
        <v>0.34027777777777779</v>
      </c>
    </row>
    <row r="134" spans="1:18" x14ac:dyDescent="0.25">
      <c r="A134" t="s">
        <v>2796</v>
      </c>
      <c r="B134" t="s">
        <v>1273</v>
      </c>
      <c r="C134" s="1">
        <v>45174</v>
      </c>
      <c r="D134" s="1" t="str">
        <f>TEXT(Delivery_data[[#This Row],[Order date]], "MMMM")</f>
        <v>September</v>
      </c>
      <c r="E134" s="1" t="str">
        <f>TEXT(Delivery_data[[#This Row],[Order date]], "DDDD")</f>
        <v>Tuesday</v>
      </c>
      <c r="F134" s="2">
        <v>0.47083333333333333</v>
      </c>
      <c r="G134" t="s">
        <v>22</v>
      </c>
      <c r="H134" t="str">
        <f>IF(Delivery_data[[#This Row],[Order Status]] = "In Progress", "Backlog", "Complete")</f>
        <v>Complete</v>
      </c>
      <c r="I134" t="s">
        <v>159</v>
      </c>
      <c r="J134" t="s">
        <v>1637</v>
      </c>
      <c r="K134" t="s">
        <v>24</v>
      </c>
      <c r="L134">
        <v>118</v>
      </c>
      <c r="M134">
        <v>0</v>
      </c>
      <c r="N134" t="s">
        <v>38</v>
      </c>
      <c r="O134" t="s">
        <v>54</v>
      </c>
      <c r="P134" t="s">
        <v>34</v>
      </c>
      <c r="Q134" t="s">
        <v>28</v>
      </c>
      <c r="R134" s="2">
        <v>0.38958333333333334</v>
      </c>
    </row>
    <row r="135" spans="1:18" x14ac:dyDescent="0.25">
      <c r="A135" t="s">
        <v>2888</v>
      </c>
      <c r="B135" t="s">
        <v>1361</v>
      </c>
      <c r="C135" s="1">
        <v>45176</v>
      </c>
      <c r="D135" s="1" t="str">
        <f>TEXT(Delivery_data[[#This Row],[Order date]], "MMMM")</f>
        <v>September</v>
      </c>
      <c r="E135" s="1" t="str">
        <f>TEXT(Delivery_data[[#This Row],[Order date]], "DDDD")</f>
        <v>Thursday</v>
      </c>
      <c r="F135" s="2">
        <v>0.69374999999999998</v>
      </c>
      <c r="G135" t="s">
        <v>48</v>
      </c>
      <c r="H135" t="str">
        <f>IF(Delivery_data[[#This Row],[Order Status]] = "In Progress", "Backlog", "Complete")</f>
        <v>Backlog</v>
      </c>
      <c r="I135" t="s">
        <v>159</v>
      </c>
      <c r="J135" t="s">
        <v>1631</v>
      </c>
      <c r="K135" t="s">
        <v>37</v>
      </c>
      <c r="L135">
        <v>96</v>
      </c>
      <c r="M135">
        <v>27</v>
      </c>
      <c r="N135" t="s">
        <v>38</v>
      </c>
      <c r="O135" t="s">
        <v>54</v>
      </c>
      <c r="P135" t="s">
        <v>34</v>
      </c>
      <c r="Q135" t="s">
        <v>51</v>
      </c>
      <c r="R135" s="2">
        <v>0.64375000000000004</v>
      </c>
    </row>
    <row r="136" spans="1:18" x14ac:dyDescent="0.25">
      <c r="A136" t="s">
        <v>2911</v>
      </c>
      <c r="B136" t="s">
        <v>1384</v>
      </c>
      <c r="C136" s="1">
        <v>45176</v>
      </c>
      <c r="D136" s="1" t="str">
        <f>TEXT(Delivery_data[[#This Row],[Order date]], "MMMM")</f>
        <v>September</v>
      </c>
      <c r="E136" s="1" t="str">
        <f>TEXT(Delivery_data[[#This Row],[Order date]], "DDDD")</f>
        <v>Thursday</v>
      </c>
      <c r="F136" s="2">
        <v>0.56736111111111109</v>
      </c>
      <c r="G136" t="s">
        <v>48</v>
      </c>
      <c r="H136" t="str">
        <f>IF(Delivery_data[[#This Row],[Order Status]] = "In Progress", "Backlog", "Complete")</f>
        <v>Backlog</v>
      </c>
      <c r="I136" t="s">
        <v>159</v>
      </c>
      <c r="J136" t="s">
        <v>1631</v>
      </c>
      <c r="K136" t="s">
        <v>61</v>
      </c>
      <c r="L136">
        <v>233</v>
      </c>
      <c r="M136">
        <v>3</v>
      </c>
      <c r="N136" t="s">
        <v>25</v>
      </c>
      <c r="O136" t="s">
        <v>50</v>
      </c>
      <c r="P136" t="s">
        <v>45</v>
      </c>
      <c r="Q136" t="s">
        <v>46</v>
      </c>
      <c r="R136" s="2">
        <v>0.72291666666666665</v>
      </c>
    </row>
    <row r="137" spans="1:18" x14ac:dyDescent="0.25">
      <c r="A137" t="s">
        <v>2985</v>
      </c>
      <c r="B137" t="s">
        <v>1458</v>
      </c>
      <c r="C137" s="1">
        <v>45172</v>
      </c>
      <c r="D137" s="1" t="str">
        <f>TEXT(Delivery_data[[#This Row],[Order date]], "MMMM")</f>
        <v>September</v>
      </c>
      <c r="E137" s="1" t="str">
        <f>TEXT(Delivery_data[[#This Row],[Order date]], "DDDD")</f>
        <v>Sunday</v>
      </c>
      <c r="F137" s="2">
        <v>0.61736111111111114</v>
      </c>
      <c r="G137" t="s">
        <v>48</v>
      </c>
      <c r="H137" t="str">
        <f>IF(Delivery_data[[#This Row],[Order Status]] = "In Progress", "Backlog", "Complete")</f>
        <v>Backlog</v>
      </c>
      <c r="I137" t="s">
        <v>159</v>
      </c>
      <c r="J137" t="s">
        <v>1631</v>
      </c>
      <c r="K137" t="s">
        <v>44</v>
      </c>
      <c r="L137">
        <v>162</v>
      </c>
      <c r="M137">
        <v>2</v>
      </c>
      <c r="N137" t="s">
        <v>38</v>
      </c>
      <c r="O137" t="s">
        <v>26</v>
      </c>
      <c r="P137" t="s">
        <v>45</v>
      </c>
      <c r="Q137" t="s">
        <v>51</v>
      </c>
      <c r="R137" s="2">
        <v>0.49722222222222223</v>
      </c>
    </row>
    <row r="138" spans="1:18" x14ac:dyDescent="0.25">
      <c r="A138" t="s">
        <v>1674</v>
      </c>
      <c r="B138" t="s">
        <v>119</v>
      </c>
      <c r="C138" s="1">
        <v>45175</v>
      </c>
      <c r="D138" s="1" t="str">
        <f>TEXT(Delivery_data[[#This Row],[Order date]], "MMMM")</f>
        <v>September</v>
      </c>
      <c r="E138" s="1" t="str">
        <f>TEXT(Delivery_data[[#This Row],[Order date]], "DDDD")</f>
        <v>Wednesday</v>
      </c>
      <c r="F138" s="2">
        <v>0.41180555555555554</v>
      </c>
      <c r="G138" t="s">
        <v>22</v>
      </c>
      <c r="H138" t="str">
        <f>IF(Delivery_data[[#This Row],[Order Status]] = "In Progress", "Backlog", "Complete")</f>
        <v>Complete</v>
      </c>
      <c r="I138" t="s">
        <v>120</v>
      </c>
      <c r="J138" t="s">
        <v>1631</v>
      </c>
      <c r="K138" t="s">
        <v>24</v>
      </c>
      <c r="L138">
        <v>168</v>
      </c>
      <c r="M138">
        <v>20</v>
      </c>
      <c r="N138" t="s">
        <v>25</v>
      </c>
      <c r="O138" t="s">
        <v>41</v>
      </c>
      <c r="P138" t="s">
        <v>27</v>
      </c>
      <c r="Q138" t="s">
        <v>28</v>
      </c>
      <c r="R138" s="2">
        <v>0.67708333333333337</v>
      </c>
    </row>
    <row r="139" spans="1:18" x14ac:dyDescent="0.25">
      <c r="A139" t="s">
        <v>1749</v>
      </c>
      <c r="B139" t="s">
        <v>229</v>
      </c>
      <c r="C139" s="1">
        <v>45172</v>
      </c>
      <c r="D139" s="1" t="str">
        <f>TEXT(Delivery_data[[#This Row],[Order date]], "MMMM")</f>
        <v>September</v>
      </c>
      <c r="E139" s="1" t="str">
        <f>TEXT(Delivery_data[[#This Row],[Order date]], "DDDD")</f>
        <v>Sunday</v>
      </c>
      <c r="F139" s="2">
        <v>0.70486111111111116</v>
      </c>
      <c r="G139" t="s">
        <v>48</v>
      </c>
      <c r="H139" t="str">
        <f>IF(Delivery_data[[#This Row],[Order Status]] = "In Progress", "Backlog", "Complete")</f>
        <v>Backlog</v>
      </c>
      <c r="I139" t="s">
        <v>120</v>
      </c>
      <c r="J139" t="s">
        <v>1631</v>
      </c>
      <c r="K139" t="s">
        <v>37</v>
      </c>
      <c r="L139">
        <v>191</v>
      </c>
      <c r="M139">
        <v>16</v>
      </c>
      <c r="N139" t="s">
        <v>25</v>
      </c>
      <c r="O139" t="s">
        <v>54</v>
      </c>
      <c r="P139" t="s">
        <v>27</v>
      </c>
      <c r="Q139" t="s">
        <v>51</v>
      </c>
      <c r="R139" s="2">
        <v>0.55486111111111114</v>
      </c>
    </row>
    <row r="140" spans="1:18" x14ac:dyDescent="0.25">
      <c r="A140" t="s">
        <v>1758</v>
      </c>
      <c r="B140" t="s">
        <v>241</v>
      </c>
      <c r="C140" s="1">
        <v>45171</v>
      </c>
      <c r="D140" s="1" t="str">
        <f>TEXT(Delivery_data[[#This Row],[Order date]], "MMMM")</f>
        <v>September</v>
      </c>
      <c r="E140" s="1" t="str">
        <f>TEXT(Delivery_data[[#This Row],[Order date]], "DDDD")</f>
        <v>Saturday</v>
      </c>
      <c r="F140" s="2">
        <v>0.5708333333333333</v>
      </c>
      <c r="G140" t="s">
        <v>48</v>
      </c>
      <c r="H140" t="str">
        <f>IF(Delivery_data[[#This Row],[Order Status]] = "In Progress", "Backlog", "Complete")</f>
        <v>Backlog</v>
      </c>
      <c r="I140" t="s">
        <v>120</v>
      </c>
      <c r="J140" t="s">
        <v>1637</v>
      </c>
      <c r="K140" t="s">
        <v>37</v>
      </c>
      <c r="L140">
        <v>111</v>
      </c>
      <c r="M140">
        <v>27</v>
      </c>
      <c r="N140" t="s">
        <v>38</v>
      </c>
      <c r="O140" t="s">
        <v>33</v>
      </c>
      <c r="P140" t="s">
        <v>27</v>
      </c>
      <c r="Q140" t="s">
        <v>46</v>
      </c>
      <c r="R140" s="2">
        <v>0.59375</v>
      </c>
    </row>
    <row r="141" spans="1:18" x14ac:dyDescent="0.25">
      <c r="A141" t="s">
        <v>1993</v>
      </c>
      <c r="B141" t="s">
        <v>498</v>
      </c>
      <c r="C141" s="1">
        <v>45176</v>
      </c>
      <c r="D141" s="1" t="str">
        <f>TEXT(Delivery_data[[#This Row],[Order date]], "MMMM")</f>
        <v>September</v>
      </c>
      <c r="E141" s="1" t="str">
        <f>TEXT(Delivery_data[[#This Row],[Order date]], "DDDD")</f>
        <v>Thursday</v>
      </c>
      <c r="F141" s="2">
        <v>0.65694444444444444</v>
      </c>
      <c r="G141" t="s">
        <v>22</v>
      </c>
      <c r="H141" t="str">
        <f>IF(Delivery_data[[#This Row],[Order Status]] = "In Progress", "Backlog", "Complete")</f>
        <v>Complete</v>
      </c>
      <c r="I141" t="s">
        <v>120</v>
      </c>
      <c r="J141" t="s">
        <v>1631</v>
      </c>
      <c r="K141" t="s">
        <v>61</v>
      </c>
      <c r="L141">
        <v>189</v>
      </c>
      <c r="M141">
        <v>3</v>
      </c>
      <c r="N141" t="s">
        <v>32</v>
      </c>
      <c r="O141" t="s">
        <v>26</v>
      </c>
      <c r="P141" t="s">
        <v>45</v>
      </c>
      <c r="Q141" t="s">
        <v>28</v>
      </c>
      <c r="R141" s="2">
        <v>0.41805555555555557</v>
      </c>
    </row>
    <row r="142" spans="1:18" x14ac:dyDescent="0.25">
      <c r="A142" t="s">
        <v>2174</v>
      </c>
      <c r="B142" t="s">
        <v>675</v>
      </c>
      <c r="C142" s="1">
        <v>45173</v>
      </c>
      <c r="D142" s="1" t="str">
        <f>TEXT(Delivery_data[[#This Row],[Order date]], "MMMM")</f>
        <v>September</v>
      </c>
      <c r="E142" s="1" t="str">
        <f>TEXT(Delivery_data[[#This Row],[Order date]], "DDDD")</f>
        <v>Monday</v>
      </c>
      <c r="F142" s="2">
        <v>0.40625</v>
      </c>
      <c r="G142" t="s">
        <v>48</v>
      </c>
      <c r="H142" t="str">
        <f>IF(Delivery_data[[#This Row],[Order Status]] = "In Progress", "Backlog", "Complete")</f>
        <v>Backlog</v>
      </c>
      <c r="I142" t="s">
        <v>120</v>
      </c>
      <c r="J142" t="s">
        <v>1633</v>
      </c>
      <c r="K142" t="s">
        <v>37</v>
      </c>
      <c r="L142">
        <v>87</v>
      </c>
      <c r="M142">
        <v>28</v>
      </c>
      <c r="N142" t="s">
        <v>38</v>
      </c>
      <c r="O142" t="s">
        <v>26</v>
      </c>
      <c r="P142" t="s">
        <v>34</v>
      </c>
      <c r="Q142" t="s">
        <v>51</v>
      </c>
      <c r="R142" s="2">
        <v>0.54305555555555551</v>
      </c>
    </row>
    <row r="143" spans="1:18" x14ac:dyDescent="0.25">
      <c r="A143" t="s">
        <v>2229</v>
      </c>
      <c r="B143" t="s">
        <v>541</v>
      </c>
      <c r="C143" s="1">
        <v>45171</v>
      </c>
      <c r="D143" s="1" t="str">
        <f>TEXT(Delivery_data[[#This Row],[Order date]], "MMMM")</f>
        <v>September</v>
      </c>
      <c r="E143" s="1" t="str">
        <f>TEXT(Delivery_data[[#This Row],[Order date]], "DDDD")</f>
        <v>Saturday</v>
      </c>
      <c r="F143" s="2">
        <v>0.43472222222222223</v>
      </c>
      <c r="G143" t="s">
        <v>48</v>
      </c>
      <c r="H143" t="str">
        <f>IF(Delivery_data[[#This Row],[Order Status]] = "In Progress", "Backlog", "Complete")</f>
        <v>Backlog</v>
      </c>
      <c r="I143" t="s">
        <v>120</v>
      </c>
      <c r="J143" t="s">
        <v>1633</v>
      </c>
      <c r="K143" t="s">
        <v>61</v>
      </c>
      <c r="L143">
        <v>186</v>
      </c>
      <c r="M143">
        <v>13</v>
      </c>
      <c r="N143" t="s">
        <v>32</v>
      </c>
      <c r="O143" t="s">
        <v>54</v>
      </c>
      <c r="P143" t="s">
        <v>34</v>
      </c>
      <c r="Q143" t="s">
        <v>28</v>
      </c>
      <c r="R143" s="2">
        <v>0.56458333333333333</v>
      </c>
    </row>
    <row r="144" spans="1:18" x14ac:dyDescent="0.25">
      <c r="A144" t="s">
        <v>2231</v>
      </c>
      <c r="B144" t="s">
        <v>731</v>
      </c>
      <c r="C144" s="1">
        <v>45171</v>
      </c>
      <c r="D144" s="1" t="str">
        <f>TEXT(Delivery_data[[#This Row],[Order date]], "MMMM")</f>
        <v>September</v>
      </c>
      <c r="E144" s="1" t="str">
        <f>TEXT(Delivery_data[[#This Row],[Order date]], "DDDD")</f>
        <v>Saturday</v>
      </c>
      <c r="F144" s="2">
        <v>0.35416666666666669</v>
      </c>
      <c r="G144" t="s">
        <v>48</v>
      </c>
      <c r="H144" t="str">
        <f>IF(Delivery_data[[#This Row],[Order Status]] = "In Progress", "Backlog", "Complete")</f>
        <v>Backlog</v>
      </c>
      <c r="I144" t="s">
        <v>120</v>
      </c>
      <c r="J144" t="s">
        <v>1631</v>
      </c>
      <c r="K144" t="s">
        <v>44</v>
      </c>
      <c r="L144">
        <v>134</v>
      </c>
      <c r="M144">
        <v>11</v>
      </c>
      <c r="N144" t="s">
        <v>32</v>
      </c>
      <c r="O144" t="s">
        <v>54</v>
      </c>
      <c r="P144" t="s">
        <v>34</v>
      </c>
      <c r="Q144" t="s">
        <v>28</v>
      </c>
      <c r="R144" s="2">
        <v>0.60624999999999996</v>
      </c>
    </row>
    <row r="145" spans="1:18" x14ac:dyDescent="0.25">
      <c r="A145" t="s">
        <v>2286</v>
      </c>
      <c r="B145" t="s">
        <v>785</v>
      </c>
      <c r="C145" s="1">
        <v>45171</v>
      </c>
      <c r="D145" s="1" t="str">
        <f>TEXT(Delivery_data[[#This Row],[Order date]], "MMMM")</f>
        <v>September</v>
      </c>
      <c r="E145" s="1" t="str">
        <f>TEXT(Delivery_data[[#This Row],[Order date]], "DDDD")</f>
        <v>Saturday</v>
      </c>
      <c r="F145" s="2">
        <v>0.46250000000000002</v>
      </c>
      <c r="G145" t="s">
        <v>22</v>
      </c>
      <c r="H145" t="str">
        <f>IF(Delivery_data[[#This Row],[Order Status]] = "In Progress", "Backlog", "Complete")</f>
        <v>Complete</v>
      </c>
      <c r="I145" t="s">
        <v>120</v>
      </c>
      <c r="J145" t="s">
        <v>1631</v>
      </c>
      <c r="K145" t="s">
        <v>61</v>
      </c>
      <c r="L145">
        <v>146</v>
      </c>
      <c r="M145">
        <v>27</v>
      </c>
      <c r="N145" t="s">
        <v>25</v>
      </c>
      <c r="O145" t="s">
        <v>26</v>
      </c>
      <c r="P145" t="s">
        <v>45</v>
      </c>
      <c r="Q145" t="s">
        <v>28</v>
      </c>
      <c r="R145" s="2">
        <v>0.68819444444444444</v>
      </c>
    </row>
    <row r="146" spans="1:18" x14ac:dyDescent="0.25">
      <c r="A146" t="s">
        <v>2612</v>
      </c>
      <c r="B146" t="s">
        <v>1096</v>
      </c>
      <c r="C146" s="1">
        <v>45172</v>
      </c>
      <c r="D146" s="1" t="str">
        <f>TEXT(Delivery_data[[#This Row],[Order date]], "MMMM")</f>
        <v>September</v>
      </c>
      <c r="E146" s="1" t="str">
        <f>TEXT(Delivery_data[[#This Row],[Order date]], "DDDD")</f>
        <v>Sunday</v>
      </c>
      <c r="F146" s="2">
        <v>0.46111111111111114</v>
      </c>
      <c r="G146" t="s">
        <v>22</v>
      </c>
      <c r="H146" t="str">
        <f>IF(Delivery_data[[#This Row],[Order Status]] = "In Progress", "Backlog", "Complete")</f>
        <v>Complete</v>
      </c>
      <c r="I146" t="s">
        <v>120</v>
      </c>
      <c r="J146" t="s">
        <v>1633</v>
      </c>
      <c r="K146" t="s">
        <v>37</v>
      </c>
      <c r="L146">
        <v>214</v>
      </c>
      <c r="M146">
        <v>10</v>
      </c>
      <c r="N146" t="s">
        <v>25</v>
      </c>
      <c r="O146" t="s">
        <v>54</v>
      </c>
      <c r="P146" t="s">
        <v>27</v>
      </c>
      <c r="Q146" t="s">
        <v>51</v>
      </c>
      <c r="R146" s="2">
        <v>0.43055555555555558</v>
      </c>
    </row>
    <row r="147" spans="1:18" x14ac:dyDescent="0.25">
      <c r="A147" t="s">
        <v>2672</v>
      </c>
      <c r="B147" t="s">
        <v>1155</v>
      </c>
      <c r="C147" s="1">
        <v>45176</v>
      </c>
      <c r="D147" s="1" t="str">
        <f>TEXT(Delivery_data[[#This Row],[Order date]], "MMMM")</f>
        <v>September</v>
      </c>
      <c r="E147" s="1" t="str">
        <f>TEXT(Delivery_data[[#This Row],[Order date]], "DDDD")</f>
        <v>Thursday</v>
      </c>
      <c r="F147" s="2">
        <v>0.56388888888888888</v>
      </c>
      <c r="G147" t="s">
        <v>22</v>
      </c>
      <c r="H147" t="str">
        <f>IF(Delivery_data[[#This Row],[Order Status]] = "In Progress", "Backlog", "Complete")</f>
        <v>Complete</v>
      </c>
      <c r="I147" t="s">
        <v>120</v>
      </c>
      <c r="J147" t="s">
        <v>1631</v>
      </c>
      <c r="K147" t="s">
        <v>61</v>
      </c>
      <c r="L147">
        <v>237</v>
      </c>
      <c r="M147">
        <v>7</v>
      </c>
      <c r="N147" t="s">
        <v>32</v>
      </c>
      <c r="O147" t="s">
        <v>26</v>
      </c>
      <c r="P147" t="s">
        <v>45</v>
      </c>
      <c r="Q147" t="s">
        <v>28</v>
      </c>
      <c r="R147" s="2">
        <v>0.64236111111111116</v>
      </c>
    </row>
    <row r="148" spans="1:18" x14ac:dyDescent="0.25">
      <c r="A148" t="s">
        <v>2757</v>
      </c>
      <c r="B148" t="s">
        <v>1235</v>
      </c>
      <c r="C148" s="1">
        <v>45176</v>
      </c>
      <c r="D148" s="1" t="str">
        <f>TEXT(Delivery_data[[#This Row],[Order date]], "MMMM")</f>
        <v>September</v>
      </c>
      <c r="E148" s="1" t="str">
        <f>TEXT(Delivery_data[[#This Row],[Order date]], "DDDD")</f>
        <v>Thursday</v>
      </c>
      <c r="F148" s="2">
        <v>0.3527777777777778</v>
      </c>
      <c r="G148" t="s">
        <v>48</v>
      </c>
      <c r="H148" t="str">
        <f>IF(Delivery_data[[#This Row],[Order Status]] = "In Progress", "Backlog", "Complete")</f>
        <v>Backlog</v>
      </c>
      <c r="I148" t="s">
        <v>120</v>
      </c>
      <c r="J148" t="s">
        <v>1631</v>
      </c>
      <c r="K148" t="s">
        <v>31</v>
      </c>
      <c r="L148">
        <v>154</v>
      </c>
      <c r="M148">
        <v>13</v>
      </c>
      <c r="N148" t="s">
        <v>38</v>
      </c>
      <c r="O148" t="s">
        <v>26</v>
      </c>
      <c r="P148" t="s">
        <v>45</v>
      </c>
      <c r="Q148" t="s">
        <v>46</v>
      </c>
      <c r="R148" s="2">
        <v>0.64236111111111116</v>
      </c>
    </row>
    <row r="149" spans="1:18" x14ac:dyDescent="0.25">
      <c r="A149" t="s">
        <v>2767</v>
      </c>
      <c r="B149" t="s">
        <v>1245</v>
      </c>
      <c r="C149" s="1">
        <v>45175</v>
      </c>
      <c r="D149" s="1" t="str">
        <f>TEXT(Delivery_data[[#This Row],[Order date]], "MMMM")</f>
        <v>September</v>
      </c>
      <c r="E149" s="1" t="str">
        <f>TEXT(Delivery_data[[#This Row],[Order date]], "DDDD")</f>
        <v>Wednesday</v>
      </c>
      <c r="F149" s="2">
        <v>0.42291666666666666</v>
      </c>
      <c r="G149" t="s">
        <v>48</v>
      </c>
      <c r="H149" t="str">
        <f>IF(Delivery_data[[#This Row],[Order Status]] = "In Progress", "Backlog", "Complete")</f>
        <v>Backlog</v>
      </c>
      <c r="I149" t="s">
        <v>120</v>
      </c>
      <c r="J149" t="s">
        <v>1631</v>
      </c>
      <c r="K149" t="s">
        <v>44</v>
      </c>
      <c r="L149">
        <v>101</v>
      </c>
      <c r="M149">
        <v>25</v>
      </c>
      <c r="N149" t="s">
        <v>38</v>
      </c>
      <c r="O149" t="s">
        <v>26</v>
      </c>
      <c r="P149" t="s">
        <v>34</v>
      </c>
      <c r="Q149" t="s">
        <v>51</v>
      </c>
      <c r="R149" s="2">
        <v>0.57222222222222219</v>
      </c>
    </row>
    <row r="150" spans="1:18" x14ac:dyDescent="0.25">
      <c r="A150" t="s">
        <v>2813</v>
      </c>
      <c r="B150" t="s">
        <v>1290</v>
      </c>
      <c r="C150" s="1">
        <v>45176</v>
      </c>
      <c r="D150" s="1" t="str">
        <f>TEXT(Delivery_data[[#This Row],[Order date]], "MMMM")</f>
        <v>September</v>
      </c>
      <c r="E150" s="1" t="str">
        <f>TEXT(Delivery_data[[#This Row],[Order date]], "DDDD")</f>
        <v>Thursday</v>
      </c>
      <c r="F150" s="2">
        <v>0.41736111111111113</v>
      </c>
      <c r="G150" t="s">
        <v>22</v>
      </c>
      <c r="H150" t="str">
        <f>IF(Delivery_data[[#This Row],[Order Status]] = "In Progress", "Backlog", "Complete")</f>
        <v>Complete</v>
      </c>
      <c r="I150" t="s">
        <v>120</v>
      </c>
      <c r="J150" t="s">
        <v>1631</v>
      </c>
      <c r="K150" t="s">
        <v>61</v>
      </c>
      <c r="L150">
        <v>89</v>
      </c>
      <c r="M150">
        <v>28</v>
      </c>
      <c r="N150" t="s">
        <v>38</v>
      </c>
      <c r="O150" t="s">
        <v>26</v>
      </c>
      <c r="P150" t="s">
        <v>34</v>
      </c>
      <c r="Q150" t="s">
        <v>46</v>
      </c>
      <c r="R150" s="2">
        <v>0.37777777777777777</v>
      </c>
    </row>
    <row r="151" spans="1:18" x14ac:dyDescent="0.25">
      <c r="A151" t="s">
        <v>2851</v>
      </c>
      <c r="B151" t="s">
        <v>1327</v>
      </c>
      <c r="C151" s="1">
        <v>45176</v>
      </c>
      <c r="D151" s="1" t="str">
        <f>TEXT(Delivery_data[[#This Row],[Order date]], "MMMM")</f>
        <v>September</v>
      </c>
      <c r="E151" s="1" t="str">
        <f>TEXT(Delivery_data[[#This Row],[Order date]], "DDDD")</f>
        <v>Thursday</v>
      </c>
      <c r="F151" s="2">
        <v>0.68055555555555558</v>
      </c>
      <c r="G151" t="s">
        <v>22</v>
      </c>
      <c r="H151" t="str">
        <f>IF(Delivery_data[[#This Row],[Order Status]] = "In Progress", "Backlog", "Complete")</f>
        <v>Complete</v>
      </c>
      <c r="I151" t="s">
        <v>120</v>
      </c>
      <c r="J151" t="s">
        <v>1637</v>
      </c>
      <c r="K151" t="s">
        <v>37</v>
      </c>
      <c r="L151">
        <v>220</v>
      </c>
      <c r="M151">
        <v>22</v>
      </c>
      <c r="N151" t="s">
        <v>25</v>
      </c>
      <c r="O151" t="s">
        <v>41</v>
      </c>
      <c r="P151" t="s">
        <v>27</v>
      </c>
      <c r="Q151" t="s">
        <v>51</v>
      </c>
      <c r="R151" s="2">
        <v>0.62777777777777777</v>
      </c>
    </row>
    <row r="152" spans="1:18" x14ac:dyDescent="0.25">
      <c r="A152" t="s">
        <v>2877</v>
      </c>
      <c r="B152" t="s">
        <v>1351</v>
      </c>
      <c r="C152" s="1">
        <v>45175</v>
      </c>
      <c r="D152" s="1" t="str">
        <f>TEXT(Delivery_data[[#This Row],[Order date]], "MMMM")</f>
        <v>September</v>
      </c>
      <c r="E152" s="1" t="str">
        <f>TEXT(Delivery_data[[#This Row],[Order date]], "DDDD")</f>
        <v>Wednesday</v>
      </c>
      <c r="F152" s="2">
        <v>0.375</v>
      </c>
      <c r="G152" t="s">
        <v>48</v>
      </c>
      <c r="H152" t="str">
        <f>IF(Delivery_data[[#This Row],[Order Status]] = "In Progress", "Backlog", "Complete")</f>
        <v>Backlog</v>
      </c>
      <c r="I152" t="s">
        <v>120</v>
      </c>
      <c r="J152" t="s">
        <v>1637</v>
      </c>
      <c r="K152" t="s">
        <v>31</v>
      </c>
      <c r="L152">
        <v>171</v>
      </c>
      <c r="M152">
        <v>23</v>
      </c>
      <c r="N152" t="s">
        <v>25</v>
      </c>
      <c r="O152" t="s">
        <v>33</v>
      </c>
      <c r="P152" t="s">
        <v>27</v>
      </c>
      <c r="Q152" t="s">
        <v>51</v>
      </c>
      <c r="R152" s="2">
        <v>0.67291666666666672</v>
      </c>
    </row>
    <row r="153" spans="1:18" x14ac:dyDescent="0.25">
      <c r="A153" t="s">
        <v>2964</v>
      </c>
      <c r="B153" t="s">
        <v>1437</v>
      </c>
      <c r="C153" s="1">
        <v>45175</v>
      </c>
      <c r="D153" s="1" t="str">
        <f>TEXT(Delivery_data[[#This Row],[Order date]], "MMMM")</f>
        <v>September</v>
      </c>
      <c r="E153" s="1" t="str">
        <f>TEXT(Delivery_data[[#This Row],[Order date]], "DDDD")</f>
        <v>Wednesday</v>
      </c>
      <c r="F153" s="2">
        <v>0.45902777777777776</v>
      </c>
      <c r="G153" t="s">
        <v>22</v>
      </c>
      <c r="H153" t="str">
        <f>IF(Delivery_data[[#This Row],[Order Status]] = "In Progress", "Backlog", "Complete")</f>
        <v>Complete</v>
      </c>
      <c r="I153" t="s">
        <v>120</v>
      </c>
      <c r="J153" t="s">
        <v>1631</v>
      </c>
      <c r="K153" t="s">
        <v>24</v>
      </c>
      <c r="L153">
        <v>213</v>
      </c>
      <c r="M153">
        <v>18</v>
      </c>
      <c r="N153" t="s">
        <v>25</v>
      </c>
      <c r="O153" t="s">
        <v>41</v>
      </c>
      <c r="P153" t="s">
        <v>27</v>
      </c>
      <c r="Q153" t="s">
        <v>46</v>
      </c>
      <c r="R153" s="2">
        <v>0.66180555555555554</v>
      </c>
    </row>
    <row r="154" spans="1:18" x14ac:dyDescent="0.25">
      <c r="A154" t="s">
        <v>2976</v>
      </c>
      <c r="B154" t="s">
        <v>1449</v>
      </c>
      <c r="C154" s="1">
        <v>45174</v>
      </c>
      <c r="D154" s="1" t="str">
        <f>TEXT(Delivery_data[[#This Row],[Order date]], "MMMM")</f>
        <v>September</v>
      </c>
      <c r="E154" s="1" t="str">
        <f>TEXT(Delivery_data[[#This Row],[Order date]], "DDDD")</f>
        <v>Tuesday</v>
      </c>
      <c r="F154" s="2">
        <v>0.5131944444444444</v>
      </c>
      <c r="G154" t="s">
        <v>22</v>
      </c>
      <c r="H154" t="str">
        <f>IF(Delivery_data[[#This Row],[Order Status]] = "In Progress", "Backlog", "Complete")</f>
        <v>Complete</v>
      </c>
      <c r="I154" t="s">
        <v>120</v>
      </c>
      <c r="J154" t="s">
        <v>1633</v>
      </c>
      <c r="K154" t="s">
        <v>44</v>
      </c>
      <c r="L154">
        <v>144</v>
      </c>
      <c r="M154">
        <v>7</v>
      </c>
      <c r="N154" t="s">
        <v>25</v>
      </c>
      <c r="O154" t="s">
        <v>50</v>
      </c>
      <c r="P154" t="s">
        <v>34</v>
      </c>
      <c r="Q154" t="s">
        <v>51</v>
      </c>
      <c r="R154" s="2">
        <v>0.39166666666666666</v>
      </c>
    </row>
    <row r="155" spans="1:18" x14ac:dyDescent="0.25">
      <c r="A155" t="s">
        <v>3044</v>
      </c>
      <c r="B155" t="s">
        <v>1514</v>
      </c>
      <c r="C155" s="1">
        <v>45173</v>
      </c>
      <c r="D155" s="1" t="str">
        <f>TEXT(Delivery_data[[#This Row],[Order date]], "MMMM")</f>
        <v>September</v>
      </c>
      <c r="E155" s="1" t="str">
        <f>TEXT(Delivery_data[[#This Row],[Order date]], "DDDD")</f>
        <v>Monday</v>
      </c>
      <c r="F155" s="2">
        <v>0.59722222222222221</v>
      </c>
      <c r="G155" t="s">
        <v>48</v>
      </c>
      <c r="H155" t="str">
        <f>IF(Delivery_data[[#This Row],[Order Status]] = "In Progress", "Backlog", "Complete")</f>
        <v>Backlog</v>
      </c>
      <c r="I155" t="s">
        <v>120</v>
      </c>
      <c r="J155" t="s">
        <v>1633</v>
      </c>
      <c r="K155" t="s">
        <v>44</v>
      </c>
      <c r="L155">
        <v>104</v>
      </c>
      <c r="M155">
        <v>20</v>
      </c>
      <c r="N155" t="s">
        <v>32</v>
      </c>
      <c r="O155" t="s">
        <v>41</v>
      </c>
      <c r="P155" t="s">
        <v>45</v>
      </c>
      <c r="Q155" t="s">
        <v>28</v>
      </c>
      <c r="R155" s="2">
        <v>0.36666666666666664</v>
      </c>
    </row>
    <row r="156" spans="1:18" x14ac:dyDescent="0.25">
      <c r="A156" t="s">
        <v>1812</v>
      </c>
      <c r="B156" t="s">
        <v>308</v>
      </c>
      <c r="C156" s="1">
        <v>45172</v>
      </c>
      <c r="D156" s="1" t="str">
        <f>TEXT(Delivery_data[[#This Row],[Order date]], "MMMM")</f>
        <v>September</v>
      </c>
      <c r="E156" s="1" t="str">
        <f>TEXT(Delivery_data[[#This Row],[Order date]], "DDDD")</f>
        <v>Sunday</v>
      </c>
      <c r="F156" s="2">
        <v>0.58750000000000002</v>
      </c>
      <c r="G156" t="s">
        <v>48</v>
      </c>
      <c r="H156" t="str">
        <f>IF(Delivery_data[[#This Row],[Order Status]] = "In Progress", "Backlog", "Complete")</f>
        <v>Backlog</v>
      </c>
      <c r="I156" t="s">
        <v>309</v>
      </c>
      <c r="J156" t="s">
        <v>1631</v>
      </c>
      <c r="K156" t="s">
        <v>61</v>
      </c>
      <c r="L156">
        <v>82</v>
      </c>
      <c r="M156">
        <v>3</v>
      </c>
      <c r="N156" t="s">
        <v>38</v>
      </c>
      <c r="O156" t="s">
        <v>54</v>
      </c>
      <c r="P156" t="s">
        <v>34</v>
      </c>
      <c r="Q156" t="s">
        <v>51</v>
      </c>
      <c r="R156" s="2">
        <v>0.40763888888888888</v>
      </c>
    </row>
    <row r="157" spans="1:18" x14ac:dyDescent="0.25">
      <c r="A157" t="s">
        <v>2022</v>
      </c>
      <c r="B157" t="s">
        <v>527</v>
      </c>
      <c r="C157" s="1">
        <v>45172</v>
      </c>
      <c r="D157" s="1" t="str">
        <f>TEXT(Delivery_data[[#This Row],[Order date]], "MMMM")</f>
        <v>September</v>
      </c>
      <c r="E157" s="1" t="str">
        <f>TEXT(Delivery_data[[#This Row],[Order date]], "DDDD")</f>
        <v>Sunday</v>
      </c>
      <c r="F157" s="2">
        <v>0.37986111111111109</v>
      </c>
      <c r="G157" t="s">
        <v>48</v>
      </c>
      <c r="H157" t="str">
        <f>IF(Delivery_data[[#This Row],[Order Status]] = "In Progress", "Backlog", "Complete")</f>
        <v>Backlog</v>
      </c>
      <c r="I157" t="s">
        <v>309</v>
      </c>
      <c r="J157" t="s">
        <v>1633</v>
      </c>
      <c r="K157" t="s">
        <v>44</v>
      </c>
      <c r="L157">
        <v>112</v>
      </c>
      <c r="M157">
        <v>6</v>
      </c>
      <c r="N157" t="s">
        <v>25</v>
      </c>
      <c r="O157" t="s">
        <v>26</v>
      </c>
      <c r="P157" t="s">
        <v>45</v>
      </c>
      <c r="Q157" t="s">
        <v>28</v>
      </c>
      <c r="R157" s="2">
        <v>0.50902777777777775</v>
      </c>
    </row>
    <row r="158" spans="1:18" x14ac:dyDescent="0.25">
      <c r="A158" t="s">
        <v>2063</v>
      </c>
      <c r="B158" t="s">
        <v>568</v>
      </c>
      <c r="C158" s="1">
        <v>45170</v>
      </c>
      <c r="D158" s="1" t="str">
        <f>TEXT(Delivery_data[[#This Row],[Order date]], "MMMM")</f>
        <v>September</v>
      </c>
      <c r="E158" s="1" t="str">
        <f>TEXT(Delivery_data[[#This Row],[Order date]], "DDDD")</f>
        <v>Friday</v>
      </c>
      <c r="F158" s="2">
        <v>0.39166666666666666</v>
      </c>
      <c r="G158" t="s">
        <v>48</v>
      </c>
      <c r="H158" t="str">
        <f>IF(Delivery_data[[#This Row],[Order Status]] = "In Progress", "Backlog", "Complete")</f>
        <v>Backlog</v>
      </c>
      <c r="I158" t="s">
        <v>309</v>
      </c>
      <c r="J158" t="s">
        <v>1637</v>
      </c>
      <c r="K158" t="s">
        <v>44</v>
      </c>
      <c r="L158">
        <v>140</v>
      </c>
      <c r="M158">
        <v>10</v>
      </c>
      <c r="N158" t="s">
        <v>25</v>
      </c>
      <c r="O158" t="s">
        <v>41</v>
      </c>
      <c r="P158" t="s">
        <v>34</v>
      </c>
      <c r="Q158" t="s">
        <v>28</v>
      </c>
      <c r="R158" s="2">
        <v>0.37638888888888888</v>
      </c>
    </row>
    <row r="159" spans="1:18" x14ac:dyDescent="0.25">
      <c r="A159" t="s">
        <v>2086</v>
      </c>
      <c r="B159" t="s">
        <v>591</v>
      </c>
      <c r="C159" s="1">
        <v>45173</v>
      </c>
      <c r="D159" s="1" t="str">
        <f>TEXT(Delivery_data[[#This Row],[Order date]], "MMMM")</f>
        <v>September</v>
      </c>
      <c r="E159" s="1" t="str">
        <f>TEXT(Delivery_data[[#This Row],[Order date]], "DDDD")</f>
        <v>Monday</v>
      </c>
      <c r="F159" s="2">
        <v>0.69722222222222219</v>
      </c>
      <c r="G159" t="s">
        <v>48</v>
      </c>
      <c r="H159" t="str">
        <f>IF(Delivery_data[[#This Row],[Order Status]] = "In Progress", "Backlog", "Complete")</f>
        <v>Backlog</v>
      </c>
      <c r="I159" t="s">
        <v>309</v>
      </c>
      <c r="J159" t="s">
        <v>1633</v>
      </c>
      <c r="K159" t="s">
        <v>44</v>
      </c>
      <c r="L159">
        <v>79</v>
      </c>
      <c r="M159">
        <v>3</v>
      </c>
      <c r="N159" t="s">
        <v>25</v>
      </c>
      <c r="O159" t="s">
        <v>33</v>
      </c>
      <c r="P159" t="s">
        <v>45</v>
      </c>
      <c r="Q159" t="s">
        <v>46</v>
      </c>
      <c r="R159" s="2">
        <v>0.41875000000000001</v>
      </c>
    </row>
    <row r="160" spans="1:18" x14ac:dyDescent="0.25">
      <c r="A160" t="s">
        <v>2114</v>
      </c>
      <c r="B160" t="s">
        <v>618</v>
      </c>
      <c r="C160" s="1">
        <v>45171</v>
      </c>
      <c r="D160" s="1" t="str">
        <f>TEXT(Delivery_data[[#This Row],[Order date]], "MMMM")</f>
        <v>September</v>
      </c>
      <c r="E160" s="1" t="str">
        <f>TEXT(Delivery_data[[#This Row],[Order date]], "DDDD")</f>
        <v>Saturday</v>
      </c>
      <c r="F160" s="2">
        <v>0.6791666666666667</v>
      </c>
      <c r="G160" t="s">
        <v>48</v>
      </c>
      <c r="H160" t="str">
        <f>IF(Delivery_data[[#This Row],[Order Status]] = "In Progress", "Backlog", "Complete")</f>
        <v>Backlog</v>
      </c>
      <c r="I160" t="s">
        <v>309</v>
      </c>
      <c r="J160" t="s">
        <v>1631</v>
      </c>
      <c r="K160" t="s">
        <v>31</v>
      </c>
      <c r="L160">
        <v>222</v>
      </c>
      <c r="M160">
        <v>10</v>
      </c>
      <c r="N160" t="s">
        <v>25</v>
      </c>
      <c r="O160" t="s">
        <v>50</v>
      </c>
      <c r="P160" t="s">
        <v>45</v>
      </c>
      <c r="Q160" t="s">
        <v>51</v>
      </c>
      <c r="R160" s="2">
        <v>0.35486111111111113</v>
      </c>
    </row>
    <row r="161" spans="1:18" x14ac:dyDescent="0.25">
      <c r="A161" t="s">
        <v>2142</v>
      </c>
      <c r="B161" t="s">
        <v>645</v>
      </c>
      <c r="C161" s="1">
        <v>45170</v>
      </c>
      <c r="D161" s="1" t="str">
        <f>TEXT(Delivery_data[[#This Row],[Order date]], "MMMM")</f>
        <v>September</v>
      </c>
      <c r="E161" s="1" t="str">
        <f>TEXT(Delivery_data[[#This Row],[Order date]], "DDDD")</f>
        <v>Friday</v>
      </c>
      <c r="F161" s="2">
        <v>0.46597222222222223</v>
      </c>
      <c r="G161" t="s">
        <v>48</v>
      </c>
      <c r="H161" t="str">
        <f>IF(Delivery_data[[#This Row],[Order Status]] = "In Progress", "Backlog", "Complete")</f>
        <v>Backlog</v>
      </c>
      <c r="I161" t="s">
        <v>309</v>
      </c>
      <c r="J161" t="s">
        <v>1631</v>
      </c>
      <c r="K161" t="s">
        <v>61</v>
      </c>
      <c r="L161">
        <v>209</v>
      </c>
      <c r="M161">
        <v>9</v>
      </c>
      <c r="N161" t="s">
        <v>38</v>
      </c>
      <c r="O161" t="s">
        <v>50</v>
      </c>
      <c r="P161" t="s">
        <v>45</v>
      </c>
      <c r="Q161" t="s">
        <v>28</v>
      </c>
      <c r="R161" s="2">
        <v>0.44305555555555554</v>
      </c>
    </row>
    <row r="162" spans="1:18" x14ac:dyDescent="0.25">
      <c r="A162" t="s">
        <v>2160</v>
      </c>
      <c r="B162" t="s">
        <v>662</v>
      </c>
      <c r="C162" s="1">
        <v>45172</v>
      </c>
      <c r="D162" s="1" t="str">
        <f>TEXT(Delivery_data[[#This Row],[Order date]], "MMMM")</f>
        <v>September</v>
      </c>
      <c r="E162" s="1" t="str">
        <f>TEXT(Delivery_data[[#This Row],[Order date]], "DDDD")</f>
        <v>Sunday</v>
      </c>
      <c r="F162" s="2">
        <v>0.69513888888888886</v>
      </c>
      <c r="G162" t="s">
        <v>48</v>
      </c>
      <c r="H162" t="str">
        <f>IF(Delivery_data[[#This Row],[Order Status]] = "In Progress", "Backlog", "Complete")</f>
        <v>Backlog</v>
      </c>
      <c r="I162" t="s">
        <v>309</v>
      </c>
      <c r="J162" t="s">
        <v>1631</v>
      </c>
      <c r="K162" t="s">
        <v>24</v>
      </c>
      <c r="L162">
        <v>124</v>
      </c>
      <c r="M162">
        <v>19</v>
      </c>
      <c r="N162" t="s">
        <v>38</v>
      </c>
      <c r="O162" t="s">
        <v>50</v>
      </c>
      <c r="P162" t="s">
        <v>34</v>
      </c>
      <c r="Q162" t="s">
        <v>51</v>
      </c>
      <c r="R162" s="2">
        <v>0.55694444444444446</v>
      </c>
    </row>
    <row r="163" spans="1:18" x14ac:dyDescent="0.25">
      <c r="A163" t="s">
        <v>2436</v>
      </c>
      <c r="B163" t="s">
        <v>929</v>
      </c>
      <c r="C163" s="1">
        <v>45176</v>
      </c>
      <c r="D163" s="1" t="str">
        <f>TEXT(Delivery_data[[#This Row],[Order date]], "MMMM")</f>
        <v>September</v>
      </c>
      <c r="E163" s="1" t="str">
        <f>TEXT(Delivery_data[[#This Row],[Order date]], "DDDD")</f>
        <v>Thursday</v>
      </c>
      <c r="F163" s="2">
        <v>0.4201388888888889</v>
      </c>
      <c r="G163" t="s">
        <v>48</v>
      </c>
      <c r="H163" t="str">
        <f>IF(Delivery_data[[#This Row],[Order Status]] = "In Progress", "Backlog", "Complete")</f>
        <v>Backlog</v>
      </c>
      <c r="I163" t="s">
        <v>309</v>
      </c>
      <c r="J163" t="s">
        <v>1633</v>
      </c>
      <c r="K163" t="s">
        <v>31</v>
      </c>
      <c r="L163">
        <v>168</v>
      </c>
      <c r="M163">
        <v>17</v>
      </c>
      <c r="N163" t="s">
        <v>32</v>
      </c>
      <c r="O163" t="s">
        <v>41</v>
      </c>
      <c r="P163" t="s">
        <v>34</v>
      </c>
      <c r="Q163" t="s">
        <v>46</v>
      </c>
      <c r="R163" s="2">
        <v>0.41736111111111113</v>
      </c>
    </row>
    <row r="164" spans="1:18" x14ac:dyDescent="0.25">
      <c r="A164" t="s">
        <v>2449</v>
      </c>
      <c r="B164" t="s">
        <v>941</v>
      </c>
      <c r="C164" s="1">
        <v>45173</v>
      </c>
      <c r="D164" s="1" t="str">
        <f>TEXT(Delivery_data[[#This Row],[Order date]], "MMMM")</f>
        <v>September</v>
      </c>
      <c r="E164" s="1" t="str">
        <f>TEXT(Delivery_data[[#This Row],[Order date]], "DDDD")</f>
        <v>Monday</v>
      </c>
      <c r="F164" s="2">
        <v>0.42777777777777776</v>
      </c>
      <c r="G164" t="s">
        <v>48</v>
      </c>
      <c r="H164" t="str">
        <f>IF(Delivery_data[[#This Row],[Order Status]] = "In Progress", "Backlog", "Complete")</f>
        <v>Backlog</v>
      </c>
      <c r="I164" t="s">
        <v>309</v>
      </c>
      <c r="J164" t="s">
        <v>1637</v>
      </c>
      <c r="K164" t="s">
        <v>37</v>
      </c>
      <c r="L164">
        <v>159</v>
      </c>
      <c r="M164">
        <v>1</v>
      </c>
      <c r="N164" t="s">
        <v>32</v>
      </c>
      <c r="O164" t="s">
        <v>50</v>
      </c>
      <c r="P164" t="s">
        <v>34</v>
      </c>
      <c r="Q164" t="s">
        <v>51</v>
      </c>
      <c r="R164" s="2">
        <v>0.43472222222222223</v>
      </c>
    </row>
    <row r="165" spans="1:18" x14ac:dyDescent="0.25">
      <c r="A165" t="s">
        <v>2457</v>
      </c>
      <c r="B165" t="s">
        <v>949</v>
      </c>
      <c r="C165" s="1">
        <v>45171</v>
      </c>
      <c r="D165" s="1" t="str">
        <f>TEXT(Delivery_data[[#This Row],[Order date]], "MMMM")</f>
        <v>September</v>
      </c>
      <c r="E165" s="1" t="str">
        <f>TEXT(Delivery_data[[#This Row],[Order date]], "DDDD")</f>
        <v>Saturday</v>
      </c>
      <c r="F165" s="2">
        <v>0.54027777777777775</v>
      </c>
      <c r="G165" t="s">
        <v>48</v>
      </c>
      <c r="H165" t="str">
        <f>IF(Delivery_data[[#This Row],[Order Status]] = "In Progress", "Backlog", "Complete")</f>
        <v>Backlog</v>
      </c>
      <c r="I165" t="s">
        <v>309</v>
      </c>
      <c r="J165" t="s">
        <v>1637</v>
      </c>
      <c r="K165" t="s">
        <v>37</v>
      </c>
      <c r="L165">
        <v>239</v>
      </c>
      <c r="M165">
        <v>24</v>
      </c>
      <c r="N165" t="s">
        <v>25</v>
      </c>
      <c r="O165" t="s">
        <v>33</v>
      </c>
      <c r="P165" t="s">
        <v>27</v>
      </c>
      <c r="Q165" t="s">
        <v>28</v>
      </c>
      <c r="R165" s="2">
        <v>0.62013888888888891</v>
      </c>
    </row>
    <row r="166" spans="1:18" x14ac:dyDescent="0.25">
      <c r="A166" t="s">
        <v>2523</v>
      </c>
      <c r="B166" t="s">
        <v>764</v>
      </c>
      <c r="C166" s="1">
        <v>45170</v>
      </c>
      <c r="D166" s="1" t="str">
        <f>TEXT(Delivery_data[[#This Row],[Order date]], "MMMM")</f>
        <v>September</v>
      </c>
      <c r="E166" s="1" t="str">
        <f>TEXT(Delivery_data[[#This Row],[Order date]], "DDDD")</f>
        <v>Friday</v>
      </c>
      <c r="F166" s="2">
        <v>0.55555555555555558</v>
      </c>
      <c r="G166" t="s">
        <v>22</v>
      </c>
      <c r="H166" t="str">
        <f>IF(Delivery_data[[#This Row],[Order Status]] = "In Progress", "Backlog", "Complete")</f>
        <v>Complete</v>
      </c>
      <c r="I166" t="s">
        <v>309</v>
      </c>
      <c r="J166" t="s">
        <v>1631</v>
      </c>
      <c r="K166" t="s">
        <v>31</v>
      </c>
      <c r="L166">
        <v>232</v>
      </c>
      <c r="M166">
        <v>23</v>
      </c>
      <c r="N166" t="s">
        <v>38</v>
      </c>
      <c r="O166" t="s">
        <v>50</v>
      </c>
      <c r="P166" t="s">
        <v>27</v>
      </c>
      <c r="Q166" t="s">
        <v>46</v>
      </c>
      <c r="R166" s="2">
        <v>0.70486111111111116</v>
      </c>
    </row>
    <row r="167" spans="1:18" x14ac:dyDescent="0.25">
      <c r="A167" t="s">
        <v>2539</v>
      </c>
      <c r="B167" t="s">
        <v>1027</v>
      </c>
      <c r="C167" s="1">
        <v>45177</v>
      </c>
      <c r="D167" s="1" t="str">
        <f>TEXT(Delivery_data[[#This Row],[Order date]], "MMMM")</f>
        <v>September</v>
      </c>
      <c r="E167" s="1" t="str">
        <f>TEXT(Delivery_data[[#This Row],[Order date]], "DDDD")</f>
        <v>Friday</v>
      </c>
      <c r="F167" s="2">
        <v>0.44166666666666665</v>
      </c>
      <c r="G167" t="s">
        <v>22</v>
      </c>
      <c r="H167" t="str">
        <f>IF(Delivery_data[[#This Row],[Order Status]] = "In Progress", "Backlog", "Complete")</f>
        <v>Complete</v>
      </c>
      <c r="I167" t="s">
        <v>309</v>
      </c>
      <c r="J167" t="s">
        <v>1631</v>
      </c>
      <c r="K167" t="s">
        <v>37</v>
      </c>
      <c r="L167">
        <v>125</v>
      </c>
      <c r="M167">
        <v>8</v>
      </c>
      <c r="N167" t="s">
        <v>38</v>
      </c>
      <c r="O167" t="s">
        <v>33</v>
      </c>
      <c r="P167" t="s">
        <v>45</v>
      </c>
      <c r="Q167" t="s">
        <v>46</v>
      </c>
      <c r="R167" s="2">
        <v>0.50694444444444442</v>
      </c>
    </row>
    <row r="168" spans="1:18" x14ac:dyDescent="0.25">
      <c r="A168" t="s">
        <v>2572</v>
      </c>
      <c r="B168" t="s">
        <v>1056</v>
      </c>
      <c r="C168" s="1">
        <v>45172</v>
      </c>
      <c r="D168" s="1" t="str">
        <f>TEXT(Delivery_data[[#This Row],[Order date]], "MMMM")</f>
        <v>September</v>
      </c>
      <c r="E168" s="1" t="str">
        <f>TEXT(Delivery_data[[#This Row],[Order date]], "DDDD")</f>
        <v>Sunday</v>
      </c>
      <c r="F168" s="2">
        <v>0.6958333333333333</v>
      </c>
      <c r="G168" t="s">
        <v>48</v>
      </c>
      <c r="H168" t="str">
        <f>IF(Delivery_data[[#This Row],[Order Status]] = "In Progress", "Backlog", "Complete")</f>
        <v>Backlog</v>
      </c>
      <c r="I168" t="s">
        <v>309</v>
      </c>
      <c r="J168" t="s">
        <v>1631</v>
      </c>
      <c r="K168" t="s">
        <v>31</v>
      </c>
      <c r="L168">
        <v>143</v>
      </c>
      <c r="M168">
        <v>23</v>
      </c>
      <c r="N168" t="s">
        <v>32</v>
      </c>
      <c r="O168" t="s">
        <v>26</v>
      </c>
      <c r="P168" t="s">
        <v>45</v>
      </c>
      <c r="Q168" t="s">
        <v>51</v>
      </c>
      <c r="R168" s="2">
        <v>0.57916666666666672</v>
      </c>
    </row>
    <row r="169" spans="1:18" x14ac:dyDescent="0.25">
      <c r="A169" t="s">
        <v>2801</v>
      </c>
      <c r="B169" t="s">
        <v>1278</v>
      </c>
      <c r="C169" s="1">
        <v>45172</v>
      </c>
      <c r="D169" s="1" t="str">
        <f>TEXT(Delivery_data[[#This Row],[Order date]], "MMMM")</f>
        <v>September</v>
      </c>
      <c r="E169" s="1" t="str">
        <f>TEXT(Delivery_data[[#This Row],[Order date]], "DDDD")</f>
        <v>Sunday</v>
      </c>
      <c r="F169" s="2">
        <v>0.36875000000000002</v>
      </c>
      <c r="G169" t="s">
        <v>22</v>
      </c>
      <c r="H169" t="str">
        <f>IF(Delivery_data[[#This Row],[Order Status]] = "In Progress", "Backlog", "Complete")</f>
        <v>Complete</v>
      </c>
      <c r="I169" t="s">
        <v>309</v>
      </c>
      <c r="J169" t="s">
        <v>1631</v>
      </c>
      <c r="K169" t="s">
        <v>24</v>
      </c>
      <c r="L169">
        <v>99</v>
      </c>
      <c r="M169">
        <v>13</v>
      </c>
      <c r="N169" t="s">
        <v>38</v>
      </c>
      <c r="O169" t="s">
        <v>41</v>
      </c>
      <c r="P169" t="s">
        <v>34</v>
      </c>
      <c r="Q169" t="s">
        <v>51</v>
      </c>
      <c r="R169" s="2">
        <v>0.50972222222222219</v>
      </c>
    </row>
    <row r="170" spans="1:18" x14ac:dyDescent="0.25">
      <c r="A170" t="s">
        <v>3126</v>
      </c>
      <c r="B170" t="s">
        <v>86</v>
      </c>
      <c r="C170" s="1">
        <v>45177</v>
      </c>
      <c r="D170" s="1" t="str">
        <f>TEXT(Delivery_data[[#This Row],[Order date]], "MMMM")</f>
        <v>September</v>
      </c>
      <c r="E170" s="1" t="str">
        <f>TEXT(Delivery_data[[#This Row],[Order date]], "DDDD")</f>
        <v>Friday</v>
      </c>
      <c r="F170" s="2">
        <v>0.48402777777777778</v>
      </c>
      <c r="G170" t="s">
        <v>22</v>
      </c>
      <c r="H170" t="str">
        <f>IF(Delivery_data[[#This Row],[Order Status]] = "In Progress", "Backlog", "Complete")</f>
        <v>Complete</v>
      </c>
      <c r="I170" t="s">
        <v>309</v>
      </c>
      <c r="J170" t="s">
        <v>1633</v>
      </c>
      <c r="K170" t="s">
        <v>31</v>
      </c>
      <c r="L170">
        <v>71</v>
      </c>
      <c r="M170">
        <v>3</v>
      </c>
      <c r="N170" t="s">
        <v>25</v>
      </c>
      <c r="O170" t="s">
        <v>54</v>
      </c>
      <c r="P170" t="s">
        <v>45</v>
      </c>
      <c r="Q170" t="s">
        <v>51</v>
      </c>
      <c r="R170" s="2">
        <v>0.53055555555555556</v>
      </c>
    </row>
    <row r="171" spans="1:18" x14ac:dyDescent="0.25">
      <c r="A171" t="s">
        <v>1681</v>
      </c>
      <c r="B171" t="s">
        <v>130</v>
      </c>
      <c r="C171" s="1">
        <v>45171</v>
      </c>
      <c r="D171" s="1" t="str">
        <f>TEXT(Delivery_data[[#This Row],[Order date]], "MMMM")</f>
        <v>September</v>
      </c>
      <c r="E171" s="1" t="str">
        <f>TEXT(Delivery_data[[#This Row],[Order date]], "DDDD")</f>
        <v>Saturday</v>
      </c>
      <c r="F171" s="2">
        <v>0.60416666666666663</v>
      </c>
      <c r="G171" t="s">
        <v>48</v>
      </c>
      <c r="H171" t="str">
        <f>IF(Delivery_data[[#This Row],[Order Status]] = "In Progress", "Backlog", "Complete")</f>
        <v>Backlog</v>
      </c>
      <c r="I171" t="s">
        <v>131</v>
      </c>
      <c r="J171" t="s">
        <v>1637</v>
      </c>
      <c r="K171" t="s">
        <v>37</v>
      </c>
      <c r="L171">
        <v>67</v>
      </c>
      <c r="M171">
        <v>14</v>
      </c>
      <c r="N171" t="s">
        <v>38</v>
      </c>
      <c r="O171" t="s">
        <v>33</v>
      </c>
      <c r="P171" t="s">
        <v>34</v>
      </c>
      <c r="Q171" t="s">
        <v>51</v>
      </c>
      <c r="R171" s="2">
        <v>0.43125000000000002</v>
      </c>
    </row>
    <row r="172" spans="1:18" x14ac:dyDescent="0.25">
      <c r="A172" t="s">
        <v>1691</v>
      </c>
      <c r="B172" t="s">
        <v>146</v>
      </c>
      <c r="C172" s="1">
        <v>45174</v>
      </c>
      <c r="D172" s="1" t="str">
        <f>TEXT(Delivery_data[[#This Row],[Order date]], "MMMM")</f>
        <v>September</v>
      </c>
      <c r="E172" s="1" t="str">
        <f>TEXT(Delivery_data[[#This Row],[Order date]], "DDDD")</f>
        <v>Tuesday</v>
      </c>
      <c r="F172" s="2">
        <v>0.625</v>
      </c>
      <c r="G172" t="s">
        <v>22</v>
      </c>
      <c r="H172" t="str">
        <f>IF(Delivery_data[[#This Row],[Order Status]] = "In Progress", "Backlog", "Complete")</f>
        <v>Complete</v>
      </c>
      <c r="I172" t="s">
        <v>131</v>
      </c>
      <c r="J172" t="s">
        <v>1637</v>
      </c>
      <c r="K172" t="s">
        <v>61</v>
      </c>
      <c r="L172">
        <v>151</v>
      </c>
      <c r="M172">
        <v>23</v>
      </c>
      <c r="N172" t="s">
        <v>32</v>
      </c>
      <c r="O172" t="s">
        <v>26</v>
      </c>
      <c r="P172" t="s">
        <v>27</v>
      </c>
      <c r="Q172" t="s">
        <v>51</v>
      </c>
      <c r="R172" s="2">
        <v>0.35069444444444442</v>
      </c>
    </row>
    <row r="173" spans="1:18" x14ac:dyDescent="0.25">
      <c r="A173" t="s">
        <v>1747</v>
      </c>
      <c r="B173" t="s">
        <v>227</v>
      </c>
      <c r="C173" s="1">
        <v>45173</v>
      </c>
      <c r="D173" s="1" t="str">
        <f>TEXT(Delivery_data[[#This Row],[Order date]], "MMMM")</f>
        <v>September</v>
      </c>
      <c r="E173" s="1" t="str">
        <f>TEXT(Delivery_data[[#This Row],[Order date]], "DDDD")</f>
        <v>Monday</v>
      </c>
      <c r="F173" s="2">
        <v>0.62291666666666667</v>
      </c>
      <c r="G173" t="s">
        <v>48</v>
      </c>
      <c r="H173" t="str">
        <f>IF(Delivery_data[[#This Row],[Order Status]] = "In Progress", "Backlog", "Complete")</f>
        <v>Backlog</v>
      </c>
      <c r="I173" t="s">
        <v>131</v>
      </c>
      <c r="J173" t="s">
        <v>1637</v>
      </c>
      <c r="K173" t="s">
        <v>44</v>
      </c>
      <c r="L173">
        <v>155</v>
      </c>
      <c r="M173">
        <v>8</v>
      </c>
      <c r="N173" t="s">
        <v>38</v>
      </c>
      <c r="O173" t="s">
        <v>50</v>
      </c>
      <c r="P173" t="s">
        <v>27</v>
      </c>
      <c r="Q173" t="s">
        <v>51</v>
      </c>
      <c r="R173" s="2">
        <v>0.37152777777777779</v>
      </c>
    </row>
    <row r="174" spans="1:18" x14ac:dyDescent="0.25">
      <c r="A174" t="s">
        <v>1814</v>
      </c>
      <c r="B174" t="s">
        <v>312</v>
      </c>
      <c r="C174" s="1">
        <v>45172</v>
      </c>
      <c r="D174" s="1" t="str">
        <f>TEXT(Delivery_data[[#This Row],[Order date]], "MMMM")</f>
        <v>September</v>
      </c>
      <c r="E174" s="1" t="str">
        <f>TEXT(Delivery_data[[#This Row],[Order date]], "DDDD")</f>
        <v>Sunday</v>
      </c>
      <c r="F174" s="2">
        <v>0.3527777777777778</v>
      </c>
      <c r="G174" t="s">
        <v>48</v>
      </c>
      <c r="H174" t="str">
        <f>IF(Delivery_data[[#This Row],[Order Status]] = "In Progress", "Backlog", "Complete")</f>
        <v>Backlog</v>
      </c>
      <c r="I174" t="s">
        <v>131</v>
      </c>
      <c r="J174" t="s">
        <v>1631</v>
      </c>
      <c r="K174" t="s">
        <v>61</v>
      </c>
      <c r="L174">
        <v>186</v>
      </c>
      <c r="M174">
        <v>28</v>
      </c>
      <c r="N174" t="s">
        <v>38</v>
      </c>
      <c r="O174" t="s">
        <v>41</v>
      </c>
      <c r="P174" t="s">
        <v>45</v>
      </c>
      <c r="Q174" t="s">
        <v>28</v>
      </c>
      <c r="R174" s="2">
        <v>0.40138888888888891</v>
      </c>
    </row>
    <row r="175" spans="1:18" x14ac:dyDescent="0.25">
      <c r="A175" t="s">
        <v>1832</v>
      </c>
      <c r="B175" t="s">
        <v>330</v>
      </c>
      <c r="C175" s="1">
        <v>45175</v>
      </c>
      <c r="D175" s="1" t="str">
        <f>TEXT(Delivery_data[[#This Row],[Order date]], "MMMM")</f>
        <v>September</v>
      </c>
      <c r="E175" s="1" t="str">
        <f>TEXT(Delivery_data[[#This Row],[Order date]], "DDDD")</f>
        <v>Wednesday</v>
      </c>
      <c r="F175" s="2">
        <v>0.48958333333333331</v>
      </c>
      <c r="G175" t="s">
        <v>22</v>
      </c>
      <c r="H175" t="str">
        <f>IF(Delivery_data[[#This Row],[Order Status]] = "In Progress", "Backlog", "Complete")</f>
        <v>Complete</v>
      </c>
      <c r="I175" t="s">
        <v>131</v>
      </c>
      <c r="J175" t="s">
        <v>1631</v>
      </c>
      <c r="K175" t="s">
        <v>37</v>
      </c>
      <c r="L175">
        <v>85</v>
      </c>
      <c r="M175">
        <v>14</v>
      </c>
      <c r="N175" t="s">
        <v>32</v>
      </c>
      <c r="O175" t="s">
        <v>41</v>
      </c>
      <c r="P175" t="s">
        <v>27</v>
      </c>
      <c r="Q175" t="s">
        <v>28</v>
      </c>
      <c r="R175" s="2">
        <v>0.71458333333333335</v>
      </c>
    </row>
    <row r="176" spans="1:18" x14ac:dyDescent="0.25">
      <c r="A176" t="s">
        <v>1939</v>
      </c>
      <c r="B176" t="s">
        <v>442</v>
      </c>
      <c r="C176" s="1">
        <v>45172</v>
      </c>
      <c r="D176" s="1" t="str">
        <f>TEXT(Delivery_data[[#This Row],[Order date]], "MMMM")</f>
        <v>September</v>
      </c>
      <c r="E176" s="1" t="str">
        <f>TEXT(Delivery_data[[#This Row],[Order date]], "DDDD")</f>
        <v>Sunday</v>
      </c>
      <c r="F176" s="2">
        <v>0.5131944444444444</v>
      </c>
      <c r="G176" t="s">
        <v>48</v>
      </c>
      <c r="H176" t="str">
        <f>IF(Delivery_data[[#This Row],[Order Status]] = "In Progress", "Backlog", "Complete")</f>
        <v>Backlog</v>
      </c>
      <c r="I176" t="s">
        <v>131</v>
      </c>
      <c r="J176" t="s">
        <v>1637</v>
      </c>
      <c r="K176" t="s">
        <v>61</v>
      </c>
      <c r="L176">
        <v>164</v>
      </c>
      <c r="M176">
        <v>3</v>
      </c>
      <c r="N176" t="s">
        <v>38</v>
      </c>
      <c r="O176" t="s">
        <v>26</v>
      </c>
      <c r="P176" t="s">
        <v>45</v>
      </c>
      <c r="Q176" t="s">
        <v>46</v>
      </c>
      <c r="R176" s="2">
        <v>0.39513888888888887</v>
      </c>
    </row>
    <row r="177" spans="1:18" x14ac:dyDescent="0.25">
      <c r="A177" t="s">
        <v>1959</v>
      </c>
      <c r="B177" t="s">
        <v>463</v>
      </c>
      <c r="C177" s="1">
        <v>45171</v>
      </c>
      <c r="D177" s="1" t="str">
        <f>TEXT(Delivery_data[[#This Row],[Order date]], "MMMM")</f>
        <v>September</v>
      </c>
      <c r="E177" s="1" t="str">
        <f>TEXT(Delivery_data[[#This Row],[Order date]], "DDDD")</f>
        <v>Saturday</v>
      </c>
      <c r="F177" s="2">
        <v>0.48958333333333331</v>
      </c>
      <c r="G177" t="s">
        <v>48</v>
      </c>
      <c r="H177" t="str">
        <f>IF(Delivery_data[[#This Row],[Order Status]] = "In Progress", "Backlog", "Complete")</f>
        <v>Backlog</v>
      </c>
      <c r="I177" t="s">
        <v>131</v>
      </c>
      <c r="J177" t="s">
        <v>1631</v>
      </c>
      <c r="K177" t="s">
        <v>37</v>
      </c>
      <c r="L177">
        <v>178</v>
      </c>
      <c r="M177">
        <v>24</v>
      </c>
      <c r="N177" t="s">
        <v>38</v>
      </c>
      <c r="O177" t="s">
        <v>33</v>
      </c>
      <c r="P177" t="s">
        <v>34</v>
      </c>
      <c r="Q177" t="s">
        <v>46</v>
      </c>
      <c r="R177" s="2">
        <v>0.5229166666666667</v>
      </c>
    </row>
    <row r="178" spans="1:18" x14ac:dyDescent="0.25">
      <c r="A178" t="s">
        <v>2075</v>
      </c>
      <c r="B178" t="s">
        <v>580</v>
      </c>
      <c r="C178" s="1">
        <v>45174</v>
      </c>
      <c r="D178" s="1" t="str">
        <f>TEXT(Delivery_data[[#This Row],[Order date]], "MMMM")</f>
        <v>September</v>
      </c>
      <c r="E178" s="1" t="str">
        <f>TEXT(Delivery_data[[#This Row],[Order date]], "DDDD")</f>
        <v>Tuesday</v>
      </c>
      <c r="F178" s="2">
        <v>0.61805555555555558</v>
      </c>
      <c r="G178" t="s">
        <v>48</v>
      </c>
      <c r="H178" t="str">
        <f>IF(Delivery_data[[#This Row],[Order Status]] = "In Progress", "Backlog", "Complete")</f>
        <v>Backlog</v>
      </c>
      <c r="I178" t="s">
        <v>131</v>
      </c>
      <c r="J178" t="s">
        <v>1637</v>
      </c>
      <c r="K178" t="s">
        <v>37</v>
      </c>
      <c r="L178">
        <v>87</v>
      </c>
      <c r="M178">
        <v>7</v>
      </c>
      <c r="N178" t="s">
        <v>38</v>
      </c>
      <c r="O178" t="s">
        <v>50</v>
      </c>
      <c r="P178" t="s">
        <v>45</v>
      </c>
      <c r="Q178" t="s">
        <v>28</v>
      </c>
      <c r="R178" s="2">
        <v>0.64444444444444449</v>
      </c>
    </row>
    <row r="179" spans="1:18" x14ac:dyDescent="0.25">
      <c r="A179" t="s">
        <v>2244</v>
      </c>
      <c r="B179" t="s">
        <v>744</v>
      </c>
      <c r="C179" s="1">
        <v>45174</v>
      </c>
      <c r="D179" s="1" t="str">
        <f>TEXT(Delivery_data[[#This Row],[Order date]], "MMMM")</f>
        <v>September</v>
      </c>
      <c r="E179" s="1" t="str">
        <f>TEXT(Delivery_data[[#This Row],[Order date]], "DDDD")</f>
        <v>Tuesday</v>
      </c>
      <c r="F179" s="2">
        <v>0.35416666666666669</v>
      </c>
      <c r="G179" t="s">
        <v>48</v>
      </c>
      <c r="H179" t="str">
        <f>IF(Delivery_data[[#This Row],[Order Status]] = "In Progress", "Backlog", "Complete")</f>
        <v>Backlog</v>
      </c>
      <c r="I179" t="s">
        <v>131</v>
      </c>
      <c r="J179" t="s">
        <v>1633</v>
      </c>
      <c r="K179" t="s">
        <v>37</v>
      </c>
      <c r="L179">
        <v>126</v>
      </c>
      <c r="M179">
        <v>3</v>
      </c>
      <c r="N179" t="s">
        <v>32</v>
      </c>
      <c r="O179" t="s">
        <v>50</v>
      </c>
      <c r="P179" t="s">
        <v>34</v>
      </c>
      <c r="Q179" t="s">
        <v>51</v>
      </c>
      <c r="R179" s="2">
        <v>0.41944444444444445</v>
      </c>
    </row>
    <row r="180" spans="1:18" x14ac:dyDescent="0.25">
      <c r="A180" t="s">
        <v>2347</v>
      </c>
      <c r="B180" t="s">
        <v>845</v>
      </c>
      <c r="C180" s="1">
        <v>45172</v>
      </c>
      <c r="D180" s="1" t="str">
        <f>TEXT(Delivery_data[[#This Row],[Order date]], "MMMM")</f>
        <v>September</v>
      </c>
      <c r="E180" s="1" t="str">
        <f>TEXT(Delivery_data[[#This Row],[Order date]], "DDDD")</f>
        <v>Sunday</v>
      </c>
      <c r="F180" s="2">
        <v>0.44583333333333336</v>
      </c>
      <c r="G180" t="s">
        <v>48</v>
      </c>
      <c r="H180" t="str">
        <f>IF(Delivery_data[[#This Row],[Order Status]] = "In Progress", "Backlog", "Complete")</f>
        <v>Backlog</v>
      </c>
      <c r="I180" t="s">
        <v>131</v>
      </c>
      <c r="J180" t="s">
        <v>1637</v>
      </c>
      <c r="K180" t="s">
        <v>37</v>
      </c>
      <c r="L180">
        <v>192</v>
      </c>
      <c r="M180">
        <v>7</v>
      </c>
      <c r="N180" t="s">
        <v>38</v>
      </c>
      <c r="O180" t="s">
        <v>50</v>
      </c>
      <c r="P180" t="s">
        <v>27</v>
      </c>
      <c r="Q180" t="s">
        <v>51</v>
      </c>
      <c r="R180" s="2">
        <v>0.70347222222222228</v>
      </c>
    </row>
    <row r="181" spans="1:18" x14ac:dyDescent="0.25">
      <c r="A181" t="s">
        <v>2352</v>
      </c>
      <c r="B181" t="s">
        <v>850</v>
      </c>
      <c r="C181" s="1">
        <v>45173</v>
      </c>
      <c r="D181" s="1" t="str">
        <f>TEXT(Delivery_data[[#This Row],[Order date]], "MMMM")</f>
        <v>September</v>
      </c>
      <c r="E181" s="1" t="str">
        <f>TEXT(Delivery_data[[#This Row],[Order date]], "DDDD")</f>
        <v>Monday</v>
      </c>
      <c r="F181" s="2">
        <v>0.34861111111111109</v>
      </c>
      <c r="G181" t="s">
        <v>22</v>
      </c>
      <c r="H181" t="str">
        <f>IF(Delivery_data[[#This Row],[Order Status]] = "In Progress", "Backlog", "Complete")</f>
        <v>Complete</v>
      </c>
      <c r="I181" t="s">
        <v>131</v>
      </c>
      <c r="J181" t="s">
        <v>1631</v>
      </c>
      <c r="K181" t="s">
        <v>44</v>
      </c>
      <c r="L181">
        <v>148</v>
      </c>
      <c r="M181">
        <v>1</v>
      </c>
      <c r="N181" t="s">
        <v>38</v>
      </c>
      <c r="O181" t="s">
        <v>54</v>
      </c>
      <c r="P181" t="s">
        <v>45</v>
      </c>
      <c r="Q181" t="s">
        <v>46</v>
      </c>
      <c r="R181" s="2">
        <v>0.48749999999999999</v>
      </c>
    </row>
    <row r="182" spans="1:18" x14ac:dyDescent="0.25">
      <c r="A182" t="s">
        <v>2360</v>
      </c>
      <c r="B182" t="s">
        <v>857</v>
      </c>
      <c r="C182" s="1">
        <v>45172</v>
      </c>
      <c r="D182" s="1" t="str">
        <f>TEXT(Delivery_data[[#This Row],[Order date]], "MMMM")</f>
        <v>September</v>
      </c>
      <c r="E182" s="1" t="str">
        <f>TEXT(Delivery_data[[#This Row],[Order date]], "DDDD")</f>
        <v>Sunday</v>
      </c>
      <c r="F182" s="2">
        <v>0.57916666666666672</v>
      </c>
      <c r="G182" t="s">
        <v>22</v>
      </c>
      <c r="H182" t="str">
        <f>IF(Delivery_data[[#This Row],[Order Status]] = "In Progress", "Backlog", "Complete")</f>
        <v>Complete</v>
      </c>
      <c r="I182" t="s">
        <v>131</v>
      </c>
      <c r="J182" t="s">
        <v>1633</v>
      </c>
      <c r="K182" t="s">
        <v>44</v>
      </c>
      <c r="L182">
        <v>203</v>
      </c>
      <c r="M182">
        <v>16</v>
      </c>
      <c r="N182" t="s">
        <v>38</v>
      </c>
      <c r="O182" t="s">
        <v>26</v>
      </c>
      <c r="P182" t="s">
        <v>34</v>
      </c>
      <c r="Q182" t="s">
        <v>46</v>
      </c>
      <c r="R182" s="2">
        <v>0.55208333333333337</v>
      </c>
    </row>
    <row r="183" spans="1:18" x14ac:dyDescent="0.25">
      <c r="A183" t="s">
        <v>2381</v>
      </c>
      <c r="B183" t="s">
        <v>877</v>
      </c>
      <c r="C183" s="1">
        <v>45171</v>
      </c>
      <c r="D183" s="1" t="str">
        <f>TEXT(Delivery_data[[#This Row],[Order date]], "MMMM")</f>
        <v>September</v>
      </c>
      <c r="E183" s="1" t="str">
        <f>TEXT(Delivery_data[[#This Row],[Order date]], "DDDD")</f>
        <v>Saturday</v>
      </c>
      <c r="F183" s="2">
        <v>0.56597222222222221</v>
      </c>
      <c r="G183" t="s">
        <v>48</v>
      </c>
      <c r="H183" t="str">
        <f>IF(Delivery_data[[#This Row],[Order Status]] = "In Progress", "Backlog", "Complete")</f>
        <v>Backlog</v>
      </c>
      <c r="I183" t="s">
        <v>131</v>
      </c>
      <c r="J183" t="s">
        <v>1633</v>
      </c>
      <c r="K183" t="s">
        <v>31</v>
      </c>
      <c r="L183">
        <v>110</v>
      </c>
      <c r="M183">
        <v>8</v>
      </c>
      <c r="N183" t="s">
        <v>38</v>
      </c>
      <c r="O183" t="s">
        <v>33</v>
      </c>
      <c r="P183" t="s">
        <v>27</v>
      </c>
      <c r="Q183" t="s">
        <v>51</v>
      </c>
      <c r="R183" s="2">
        <v>0.57777777777777772</v>
      </c>
    </row>
    <row r="184" spans="1:18" x14ac:dyDescent="0.25">
      <c r="A184" t="s">
        <v>2402</v>
      </c>
      <c r="B184" t="s">
        <v>897</v>
      </c>
      <c r="C184" s="1">
        <v>45170</v>
      </c>
      <c r="D184" s="1" t="str">
        <f>TEXT(Delivery_data[[#This Row],[Order date]], "MMMM")</f>
        <v>September</v>
      </c>
      <c r="E184" s="1" t="str">
        <f>TEXT(Delivery_data[[#This Row],[Order date]], "DDDD")</f>
        <v>Friday</v>
      </c>
      <c r="F184" s="2">
        <v>0.48888888888888887</v>
      </c>
      <c r="G184" t="s">
        <v>22</v>
      </c>
      <c r="H184" t="str">
        <f>IF(Delivery_data[[#This Row],[Order Status]] = "In Progress", "Backlog", "Complete")</f>
        <v>Complete</v>
      </c>
      <c r="I184" t="s">
        <v>131</v>
      </c>
      <c r="J184" t="s">
        <v>1637</v>
      </c>
      <c r="K184" t="s">
        <v>37</v>
      </c>
      <c r="L184">
        <v>81</v>
      </c>
      <c r="M184">
        <v>15</v>
      </c>
      <c r="N184" t="s">
        <v>32</v>
      </c>
      <c r="O184" t="s">
        <v>50</v>
      </c>
      <c r="P184" t="s">
        <v>45</v>
      </c>
      <c r="Q184" t="s">
        <v>28</v>
      </c>
      <c r="R184" s="2">
        <v>0.39652777777777776</v>
      </c>
    </row>
    <row r="185" spans="1:18" x14ac:dyDescent="0.25">
      <c r="A185" t="s">
        <v>2779</v>
      </c>
      <c r="B185" t="s">
        <v>771</v>
      </c>
      <c r="C185" s="1">
        <v>45170</v>
      </c>
      <c r="D185" s="1" t="str">
        <f>TEXT(Delivery_data[[#This Row],[Order date]], "MMMM")</f>
        <v>September</v>
      </c>
      <c r="E185" s="1" t="str">
        <f>TEXT(Delivery_data[[#This Row],[Order date]], "DDDD")</f>
        <v>Friday</v>
      </c>
      <c r="F185" s="2">
        <v>0.66249999999999998</v>
      </c>
      <c r="G185" t="s">
        <v>22</v>
      </c>
      <c r="H185" t="str">
        <f>IF(Delivery_data[[#This Row],[Order Status]] = "In Progress", "Backlog", "Complete")</f>
        <v>Complete</v>
      </c>
      <c r="I185" t="s">
        <v>131</v>
      </c>
      <c r="J185" t="s">
        <v>1637</v>
      </c>
      <c r="K185" t="s">
        <v>37</v>
      </c>
      <c r="L185">
        <v>204</v>
      </c>
      <c r="M185">
        <v>29</v>
      </c>
      <c r="N185" t="s">
        <v>32</v>
      </c>
      <c r="O185" t="s">
        <v>26</v>
      </c>
      <c r="P185" t="s">
        <v>27</v>
      </c>
      <c r="Q185" t="s">
        <v>28</v>
      </c>
      <c r="R185" s="2">
        <v>0.55833333333333335</v>
      </c>
    </row>
    <row r="186" spans="1:18" x14ac:dyDescent="0.25">
      <c r="A186" t="s">
        <v>2846</v>
      </c>
      <c r="B186" t="s">
        <v>1322</v>
      </c>
      <c r="C186" s="1">
        <v>45170</v>
      </c>
      <c r="D186" s="1" t="str">
        <f>TEXT(Delivery_data[[#This Row],[Order date]], "MMMM")</f>
        <v>September</v>
      </c>
      <c r="E186" s="1" t="str">
        <f>TEXT(Delivery_data[[#This Row],[Order date]], "DDDD")</f>
        <v>Friday</v>
      </c>
      <c r="F186" s="2">
        <v>0.45347222222222222</v>
      </c>
      <c r="G186" t="s">
        <v>48</v>
      </c>
      <c r="H186" t="str">
        <f>IF(Delivery_data[[#This Row],[Order Status]] = "In Progress", "Backlog", "Complete")</f>
        <v>Backlog</v>
      </c>
      <c r="I186" t="s">
        <v>131</v>
      </c>
      <c r="J186" t="s">
        <v>1633</v>
      </c>
      <c r="K186" t="s">
        <v>24</v>
      </c>
      <c r="L186">
        <v>76</v>
      </c>
      <c r="M186">
        <v>19</v>
      </c>
      <c r="N186" t="s">
        <v>38</v>
      </c>
      <c r="O186" t="s">
        <v>33</v>
      </c>
      <c r="P186" t="s">
        <v>45</v>
      </c>
      <c r="Q186" t="s">
        <v>28</v>
      </c>
      <c r="R186" s="2">
        <v>0.49444444444444446</v>
      </c>
    </row>
    <row r="187" spans="1:18" x14ac:dyDescent="0.25">
      <c r="A187" t="s">
        <v>2916</v>
      </c>
      <c r="B187" t="s">
        <v>1389</v>
      </c>
      <c r="C187" s="1">
        <v>45176</v>
      </c>
      <c r="D187" s="1" t="str">
        <f>TEXT(Delivery_data[[#This Row],[Order date]], "MMMM")</f>
        <v>September</v>
      </c>
      <c r="E187" s="1" t="str">
        <f>TEXT(Delivery_data[[#This Row],[Order date]], "DDDD")</f>
        <v>Thursday</v>
      </c>
      <c r="F187" s="2">
        <v>0.44722222222222224</v>
      </c>
      <c r="G187" t="s">
        <v>22</v>
      </c>
      <c r="H187" t="str">
        <f>IF(Delivery_data[[#This Row],[Order Status]] = "In Progress", "Backlog", "Complete")</f>
        <v>Complete</v>
      </c>
      <c r="I187" t="s">
        <v>131</v>
      </c>
      <c r="J187" t="s">
        <v>1631</v>
      </c>
      <c r="K187" t="s">
        <v>37</v>
      </c>
      <c r="L187">
        <v>94</v>
      </c>
      <c r="M187">
        <v>13</v>
      </c>
      <c r="N187" t="s">
        <v>25</v>
      </c>
      <c r="O187" t="s">
        <v>33</v>
      </c>
      <c r="P187" t="s">
        <v>45</v>
      </c>
      <c r="Q187" t="s">
        <v>46</v>
      </c>
      <c r="R187" s="2">
        <v>0.5444444444444444</v>
      </c>
    </row>
    <row r="188" spans="1:18" x14ac:dyDescent="0.25">
      <c r="A188" t="s">
        <v>2986</v>
      </c>
      <c r="B188" t="s">
        <v>1459</v>
      </c>
      <c r="C188" s="1">
        <v>45172</v>
      </c>
      <c r="D188" s="1" t="str">
        <f>TEXT(Delivery_data[[#This Row],[Order date]], "MMMM")</f>
        <v>September</v>
      </c>
      <c r="E188" s="1" t="str">
        <f>TEXT(Delivery_data[[#This Row],[Order date]], "DDDD")</f>
        <v>Sunday</v>
      </c>
      <c r="F188" s="2">
        <v>0.45416666666666666</v>
      </c>
      <c r="G188" t="s">
        <v>22</v>
      </c>
      <c r="H188" t="str">
        <f>IF(Delivery_data[[#This Row],[Order Status]] = "In Progress", "Backlog", "Complete")</f>
        <v>Complete</v>
      </c>
      <c r="I188" t="s">
        <v>131</v>
      </c>
      <c r="J188" t="s">
        <v>1631</v>
      </c>
      <c r="K188" t="s">
        <v>37</v>
      </c>
      <c r="L188">
        <v>99</v>
      </c>
      <c r="M188">
        <v>7</v>
      </c>
      <c r="N188" t="s">
        <v>38</v>
      </c>
      <c r="O188" t="s">
        <v>26</v>
      </c>
      <c r="P188" t="s">
        <v>27</v>
      </c>
      <c r="Q188" t="s">
        <v>46</v>
      </c>
      <c r="R188" s="2">
        <v>0.5708333333333333</v>
      </c>
    </row>
    <row r="189" spans="1:18" x14ac:dyDescent="0.25">
      <c r="A189" t="s">
        <v>2994</v>
      </c>
      <c r="B189" t="s">
        <v>1431</v>
      </c>
      <c r="C189" s="1">
        <v>45172</v>
      </c>
      <c r="D189" s="1" t="str">
        <f>TEXT(Delivery_data[[#This Row],[Order date]], "MMMM")</f>
        <v>September</v>
      </c>
      <c r="E189" s="1" t="str">
        <f>TEXT(Delivery_data[[#This Row],[Order date]], "DDDD")</f>
        <v>Sunday</v>
      </c>
      <c r="F189" s="2">
        <v>0.59722222222222221</v>
      </c>
      <c r="G189" t="s">
        <v>22</v>
      </c>
      <c r="H189" t="str">
        <f>IF(Delivery_data[[#This Row],[Order Status]] = "In Progress", "Backlog", "Complete")</f>
        <v>Complete</v>
      </c>
      <c r="I189" t="s">
        <v>131</v>
      </c>
      <c r="J189" t="s">
        <v>1633</v>
      </c>
      <c r="K189" t="s">
        <v>61</v>
      </c>
      <c r="L189">
        <v>195</v>
      </c>
      <c r="M189">
        <v>23</v>
      </c>
      <c r="N189" t="s">
        <v>32</v>
      </c>
      <c r="O189" t="s">
        <v>26</v>
      </c>
      <c r="P189" t="s">
        <v>45</v>
      </c>
      <c r="Q189" t="s">
        <v>46</v>
      </c>
      <c r="R189" s="2">
        <v>0.62986111111111109</v>
      </c>
    </row>
    <row r="190" spans="1:18" x14ac:dyDescent="0.25">
      <c r="A190" t="s">
        <v>3103</v>
      </c>
      <c r="B190" t="s">
        <v>1569</v>
      </c>
      <c r="C190" s="1">
        <v>45177</v>
      </c>
      <c r="D190" s="1" t="str">
        <f>TEXT(Delivery_data[[#This Row],[Order date]], "MMMM")</f>
        <v>September</v>
      </c>
      <c r="E190" s="1" t="str">
        <f>TEXT(Delivery_data[[#This Row],[Order date]], "DDDD")</f>
        <v>Friday</v>
      </c>
      <c r="F190" s="2">
        <v>0.67222222222222228</v>
      </c>
      <c r="G190" t="s">
        <v>48</v>
      </c>
      <c r="H190" t="str">
        <f>IF(Delivery_data[[#This Row],[Order Status]] = "In Progress", "Backlog", "Complete")</f>
        <v>Backlog</v>
      </c>
      <c r="I190" t="s">
        <v>131</v>
      </c>
      <c r="J190" t="s">
        <v>1637</v>
      </c>
      <c r="K190" t="s">
        <v>44</v>
      </c>
      <c r="L190">
        <v>75</v>
      </c>
      <c r="M190">
        <v>15</v>
      </c>
      <c r="N190" t="s">
        <v>32</v>
      </c>
      <c r="O190" t="s">
        <v>33</v>
      </c>
      <c r="P190" t="s">
        <v>27</v>
      </c>
      <c r="Q190" t="s">
        <v>28</v>
      </c>
      <c r="R190" s="2">
        <v>0.65416666666666667</v>
      </c>
    </row>
    <row r="191" spans="1:18" x14ac:dyDescent="0.25">
      <c r="A191" t="s">
        <v>3123</v>
      </c>
      <c r="B191" t="s">
        <v>1588</v>
      </c>
      <c r="C191" s="1">
        <v>45173</v>
      </c>
      <c r="D191" s="1" t="str">
        <f>TEXT(Delivery_data[[#This Row],[Order date]], "MMMM")</f>
        <v>September</v>
      </c>
      <c r="E191" s="1" t="str">
        <f>TEXT(Delivery_data[[#This Row],[Order date]], "DDDD")</f>
        <v>Monday</v>
      </c>
      <c r="F191" s="2">
        <v>0.65416666666666667</v>
      </c>
      <c r="G191" t="s">
        <v>22</v>
      </c>
      <c r="H191" t="str">
        <f>IF(Delivery_data[[#This Row],[Order Status]] = "In Progress", "Backlog", "Complete")</f>
        <v>Complete</v>
      </c>
      <c r="I191" t="s">
        <v>131</v>
      </c>
      <c r="J191" t="s">
        <v>1637</v>
      </c>
      <c r="K191" t="s">
        <v>24</v>
      </c>
      <c r="L191">
        <v>119</v>
      </c>
      <c r="M191">
        <v>17</v>
      </c>
      <c r="N191" t="s">
        <v>32</v>
      </c>
      <c r="O191" t="s">
        <v>33</v>
      </c>
      <c r="P191" t="s">
        <v>34</v>
      </c>
      <c r="Q191" t="s">
        <v>28</v>
      </c>
      <c r="R191" s="2">
        <v>0.38333333333333336</v>
      </c>
    </row>
    <row r="192" spans="1:18" x14ac:dyDescent="0.25">
      <c r="A192" t="s">
        <v>1686</v>
      </c>
      <c r="B192" t="s">
        <v>139</v>
      </c>
      <c r="C192" s="1">
        <v>45171</v>
      </c>
      <c r="D192" s="1" t="str">
        <f>TEXT(Delivery_data[[#This Row],[Order date]], "MMMM")</f>
        <v>September</v>
      </c>
      <c r="E192" s="1" t="str">
        <f>TEXT(Delivery_data[[#This Row],[Order date]], "DDDD")</f>
        <v>Saturday</v>
      </c>
      <c r="F192" s="2">
        <v>0.53402777777777777</v>
      </c>
      <c r="G192" t="s">
        <v>48</v>
      </c>
      <c r="H192" t="str">
        <f>IF(Delivery_data[[#This Row],[Order Status]] = "In Progress", "Backlog", "Complete")</f>
        <v>Backlog</v>
      </c>
      <c r="I192" t="s">
        <v>140</v>
      </c>
      <c r="J192" t="s">
        <v>1631</v>
      </c>
      <c r="K192" t="s">
        <v>24</v>
      </c>
      <c r="L192">
        <v>162</v>
      </c>
      <c r="M192">
        <v>12</v>
      </c>
      <c r="N192" t="s">
        <v>32</v>
      </c>
      <c r="O192" t="s">
        <v>50</v>
      </c>
      <c r="P192" t="s">
        <v>27</v>
      </c>
      <c r="Q192" t="s">
        <v>46</v>
      </c>
      <c r="R192" s="2">
        <v>0.62361111111111112</v>
      </c>
    </row>
    <row r="193" spans="1:18" x14ac:dyDescent="0.25">
      <c r="A193" t="s">
        <v>1866</v>
      </c>
      <c r="B193" t="s">
        <v>365</v>
      </c>
      <c r="C193" s="1">
        <v>45171</v>
      </c>
      <c r="D193" s="1" t="str">
        <f>TEXT(Delivery_data[[#This Row],[Order date]], "MMMM")</f>
        <v>September</v>
      </c>
      <c r="E193" s="1" t="str">
        <f>TEXT(Delivery_data[[#This Row],[Order date]], "DDDD")</f>
        <v>Saturday</v>
      </c>
      <c r="F193" s="2">
        <v>0.41041666666666665</v>
      </c>
      <c r="G193" t="s">
        <v>48</v>
      </c>
      <c r="H193" t="str">
        <f>IF(Delivery_data[[#This Row],[Order Status]] = "In Progress", "Backlog", "Complete")</f>
        <v>Backlog</v>
      </c>
      <c r="I193" t="s">
        <v>140</v>
      </c>
      <c r="J193" t="s">
        <v>1633</v>
      </c>
      <c r="K193" t="s">
        <v>31</v>
      </c>
      <c r="L193">
        <v>79</v>
      </c>
      <c r="M193">
        <v>4</v>
      </c>
      <c r="N193" t="s">
        <v>25</v>
      </c>
      <c r="O193" t="s">
        <v>54</v>
      </c>
      <c r="P193" t="s">
        <v>45</v>
      </c>
      <c r="Q193" t="s">
        <v>51</v>
      </c>
      <c r="R193" s="2">
        <v>0.49513888888888891</v>
      </c>
    </row>
    <row r="194" spans="1:18" x14ac:dyDescent="0.25">
      <c r="A194" t="s">
        <v>1867</v>
      </c>
      <c r="B194" t="s">
        <v>366</v>
      </c>
      <c r="C194" s="1">
        <v>45170</v>
      </c>
      <c r="D194" s="1" t="str">
        <f>TEXT(Delivery_data[[#This Row],[Order date]], "MMMM")</f>
        <v>September</v>
      </c>
      <c r="E194" s="1" t="str">
        <f>TEXT(Delivery_data[[#This Row],[Order date]], "DDDD")</f>
        <v>Friday</v>
      </c>
      <c r="F194" s="2">
        <v>0.34236111111111112</v>
      </c>
      <c r="G194" t="s">
        <v>48</v>
      </c>
      <c r="H194" t="str">
        <f>IF(Delivery_data[[#This Row],[Order Status]] = "In Progress", "Backlog", "Complete")</f>
        <v>Backlog</v>
      </c>
      <c r="I194" t="s">
        <v>140</v>
      </c>
      <c r="J194" t="s">
        <v>1633</v>
      </c>
      <c r="K194" t="s">
        <v>24</v>
      </c>
      <c r="L194">
        <v>194</v>
      </c>
      <c r="M194">
        <v>19</v>
      </c>
      <c r="N194" t="s">
        <v>32</v>
      </c>
      <c r="O194" t="s">
        <v>33</v>
      </c>
      <c r="P194" t="s">
        <v>45</v>
      </c>
      <c r="Q194" t="s">
        <v>28</v>
      </c>
      <c r="R194" s="2">
        <v>0.59305555555555556</v>
      </c>
    </row>
    <row r="195" spans="1:18" x14ac:dyDescent="0.25">
      <c r="A195" t="s">
        <v>1891</v>
      </c>
      <c r="B195" t="s">
        <v>392</v>
      </c>
      <c r="C195" s="1">
        <v>45173</v>
      </c>
      <c r="D195" s="1" t="str">
        <f>TEXT(Delivery_data[[#This Row],[Order date]], "MMMM")</f>
        <v>September</v>
      </c>
      <c r="E195" s="1" t="str">
        <f>TEXT(Delivery_data[[#This Row],[Order date]], "DDDD")</f>
        <v>Monday</v>
      </c>
      <c r="F195" s="2">
        <v>0.55000000000000004</v>
      </c>
      <c r="G195" t="s">
        <v>48</v>
      </c>
      <c r="H195" t="str">
        <f>IF(Delivery_data[[#This Row],[Order Status]] = "In Progress", "Backlog", "Complete")</f>
        <v>Backlog</v>
      </c>
      <c r="I195" t="s">
        <v>140</v>
      </c>
      <c r="J195" t="s">
        <v>1631</v>
      </c>
      <c r="K195" t="s">
        <v>61</v>
      </c>
      <c r="L195">
        <v>226</v>
      </c>
      <c r="M195">
        <v>14</v>
      </c>
      <c r="N195" t="s">
        <v>32</v>
      </c>
      <c r="O195" t="s">
        <v>54</v>
      </c>
      <c r="P195" t="s">
        <v>34</v>
      </c>
      <c r="Q195" t="s">
        <v>28</v>
      </c>
      <c r="R195" s="2">
        <v>0.71666666666666667</v>
      </c>
    </row>
    <row r="196" spans="1:18" x14ac:dyDescent="0.25">
      <c r="A196" t="s">
        <v>1991</v>
      </c>
      <c r="B196" t="s">
        <v>496</v>
      </c>
      <c r="C196" s="1">
        <v>45176</v>
      </c>
      <c r="D196" s="1" t="str">
        <f>TEXT(Delivery_data[[#This Row],[Order date]], "MMMM")</f>
        <v>September</v>
      </c>
      <c r="E196" s="1" t="str">
        <f>TEXT(Delivery_data[[#This Row],[Order date]], "DDDD")</f>
        <v>Thursday</v>
      </c>
      <c r="F196" s="2">
        <v>0.48958333333333331</v>
      </c>
      <c r="G196" t="s">
        <v>22</v>
      </c>
      <c r="H196" t="str">
        <f>IF(Delivery_data[[#This Row],[Order Status]] = "In Progress", "Backlog", "Complete")</f>
        <v>Complete</v>
      </c>
      <c r="I196" t="s">
        <v>140</v>
      </c>
      <c r="J196" t="s">
        <v>1637</v>
      </c>
      <c r="K196" t="s">
        <v>37</v>
      </c>
      <c r="L196">
        <v>164</v>
      </c>
      <c r="M196">
        <v>1</v>
      </c>
      <c r="N196" t="s">
        <v>32</v>
      </c>
      <c r="O196" t="s">
        <v>41</v>
      </c>
      <c r="P196" t="s">
        <v>27</v>
      </c>
      <c r="Q196" t="s">
        <v>51</v>
      </c>
      <c r="R196" s="2">
        <v>0.72222222222222221</v>
      </c>
    </row>
    <row r="197" spans="1:18" x14ac:dyDescent="0.25">
      <c r="A197" t="s">
        <v>2017</v>
      </c>
      <c r="B197" t="s">
        <v>522</v>
      </c>
      <c r="C197" s="1">
        <v>45177</v>
      </c>
      <c r="D197" s="1" t="str">
        <f>TEXT(Delivery_data[[#This Row],[Order date]], "MMMM")</f>
        <v>September</v>
      </c>
      <c r="E197" s="1" t="str">
        <f>TEXT(Delivery_data[[#This Row],[Order date]], "DDDD")</f>
        <v>Friday</v>
      </c>
      <c r="F197" s="2">
        <v>0.61388888888888893</v>
      </c>
      <c r="G197" t="s">
        <v>22</v>
      </c>
      <c r="H197" t="str">
        <f>IF(Delivery_data[[#This Row],[Order Status]] = "In Progress", "Backlog", "Complete")</f>
        <v>Complete</v>
      </c>
      <c r="I197" t="s">
        <v>140</v>
      </c>
      <c r="J197" t="s">
        <v>1631</v>
      </c>
      <c r="K197" t="s">
        <v>61</v>
      </c>
      <c r="L197">
        <v>192</v>
      </c>
      <c r="M197">
        <v>14</v>
      </c>
      <c r="N197" t="s">
        <v>38</v>
      </c>
      <c r="O197" t="s">
        <v>26</v>
      </c>
      <c r="P197" t="s">
        <v>34</v>
      </c>
      <c r="Q197" t="s">
        <v>46</v>
      </c>
      <c r="R197" s="2">
        <v>0.66319444444444442</v>
      </c>
    </row>
    <row r="198" spans="1:18" x14ac:dyDescent="0.25">
      <c r="A198" t="s">
        <v>2025</v>
      </c>
      <c r="B198" t="s">
        <v>530</v>
      </c>
      <c r="C198" s="1">
        <v>45171</v>
      </c>
      <c r="D198" s="1" t="str">
        <f>TEXT(Delivery_data[[#This Row],[Order date]], "MMMM")</f>
        <v>September</v>
      </c>
      <c r="E198" s="1" t="str">
        <f>TEXT(Delivery_data[[#This Row],[Order date]], "DDDD")</f>
        <v>Saturday</v>
      </c>
      <c r="F198" s="2">
        <v>0.34861111111111109</v>
      </c>
      <c r="G198" t="s">
        <v>22</v>
      </c>
      <c r="H198" t="str">
        <f>IF(Delivery_data[[#This Row],[Order Status]] = "In Progress", "Backlog", "Complete")</f>
        <v>Complete</v>
      </c>
      <c r="I198" t="s">
        <v>140</v>
      </c>
      <c r="J198" t="s">
        <v>1631</v>
      </c>
      <c r="K198" t="s">
        <v>61</v>
      </c>
      <c r="L198">
        <v>205</v>
      </c>
      <c r="M198">
        <v>15</v>
      </c>
      <c r="N198" t="s">
        <v>32</v>
      </c>
      <c r="O198" t="s">
        <v>33</v>
      </c>
      <c r="P198" t="s">
        <v>34</v>
      </c>
      <c r="Q198" t="s">
        <v>46</v>
      </c>
      <c r="R198" s="2">
        <v>0.57361111111111107</v>
      </c>
    </row>
    <row r="199" spans="1:18" x14ac:dyDescent="0.25">
      <c r="A199" t="s">
        <v>2030</v>
      </c>
      <c r="B199" t="s">
        <v>535</v>
      </c>
      <c r="C199" s="1">
        <v>45172</v>
      </c>
      <c r="D199" s="1" t="str">
        <f>TEXT(Delivery_data[[#This Row],[Order date]], "MMMM")</f>
        <v>September</v>
      </c>
      <c r="E199" s="1" t="str">
        <f>TEXT(Delivery_data[[#This Row],[Order date]], "DDDD")</f>
        <v>Sunday</v>
      </c>
      <c r="F199" s="2">
        <v>0.47638888888888886</v>
      </c>
      <c r="G199" t="s">
        <v>48</v>
      </c>
      <c r="H199" t="str">
        <f>IF(Delivery_data[[#This Row],[Order Status]] = "In Progress", "Backlog", "Complete")</f>
        <v>Backlog</v>
      </c>
      <c r="I199" t="s">
        <v>140</v>
      </c>
      <c r="J199" t="s">
        <v>1633</v>
      </c>
      <c r="K199" t="s">
        <v>44</v>
      </c>
      <c r="L199">
        <v>84</v>
      </c>
      <c r="M199">
        <v>24</v>
      </c>
      <c r="N199" t="s">
        <v>32</v>
      </c>
      <c r="O199" t="s">
        <v>50</v>
      </c>
      <c r="P199" t="s">
        <v>45</v>
      </c>
      <c r="Q199" t="s">
        <v>51</v>
      </c>
      <c r="R199" s="2">
        <v>0.58402777777777781</v>
      </c>
    </row>
    <row r="200" spans="1:18" x14ac:dyDescent="0.25">
      <c r="A200" t="s">
        <v>2038</v>
      </c>
      <c r="B200" t="s">
        <v>543</v>
      </c>
      <c r="C200" s="1">
        <v>45176</v>
      </c>
      <c r="D200" s="1" t="str">
        <f>TEXT(Delivery_data[[#This Row],[Order date]], "MMMM")</f>
        <v>September</v>
      </c>
      <c r="E200" s="1" t="str">
        <f>TEXT(Delivery_data[[#This Row],[Order date]], "DDDD")</f>
        <v>Thursday</v>
      </c>
      <c r="F200" s="2">
        <v>0.69374999999999998</v>
      </c>
      <c r="G200" t="s">
        <v>48</v>
      </c>
      <c r="H200" t="str">
        <f>IF(Delivery_data[[#This Row],[Order Status]] = "In Progress", "Backlog", "Complete")</f>
        <v>Backlog</v>
      </c>
      <c r="I200" t="s">
        <v>140</v>
      </c>
      <c r="J200" t="s">
        <v>1633</v>
      </c>
      <c r="K200" t="s">
        <v>31</v>
      </c>
      <c r="L200">
        <v>220</v>
      </c>
      <c r="M200">
        <v>27</v>
      </c>
      <c r="N200" t="s">
        <v>25</v>
      </c>
      <c r="O200" t="s">
        <v>26</v>
      </c>
      <c r="P200" t="s">
        <v>27</v>
      </c>
      <c r="Q200" t="s">
        <v>46</v>
      </c>
      <c r="R200" s="2">
        <v>0.41597222222222224</v>
      </c>
    </row>
    <row r="201" spans="1:18" x14ac:dyDescent="0.25">
      <c r="A201" t="s">
        <v>2183</v>
      </c>
      <c r="B201" t="s">
        <v>684</v>
      </c>
      <c r="C201" s="1">
        <v>45177</v>
      </c>
      <c r="D201" s="1" t="str">
        <f>TEXT(Delivery_data[[#This Row],[Order date]], "MMMM")</f>
        <v>September</v>
      </c>
      <c r="E201" s="1" t="str">
        <f>TEXT(Delivery_data[[#This Row],[Order date]], "DDDD")</f>
        <v>Friday</v>
      </c>
      <c r="F201" s="2">
        <v>0.43333333333333335</v>
      </c>
      <c r="G201" t="s">
        <v>48</v>
      </c>
      <c r="H201" t="str">
        <f>IF(Delivery_data[[#This Row],[Order Status]] = "In Progress", "Backlog", "Complete")</f>
        <v>Backlog</v>
      </c>
      <c r="I201" t="s">
        <v>140</v>
      </c>
      <c r="J201" t="s">
        <v>1631</v>
      </c>
      <c r="K201" t="s">
        <v>61</v>
      </c>
      <c r="L201">
        <v>173</v>
      </c>
      <c r="M201">
        <v>4</v>
      </c>
      <c r="N201" t="s">
        <v>38</v>
      </c>
      <c r="O201" t="s">
        <v>33</v>
      </c>
      <c r="P201" t="s">
        <v>45</v>
      </c>
      <c r="Q201" t="s">
        <v>28</v>
      </c>
      <c r="R201" s="2">
        <v>0.65486111111111112</v>
      </c>
    </row>
    <row r="202" spans="1:18" x14ac:dyDescent="0.25">
      <c r="A202" t="s">
        <v>2195</v>
      </c>
      <c r="B202" t="s">
        <v>696</v>
      </c>
      <c r="C202" s="1">
        <v>45174</v>
      </c>
      <c r="D202" s="1" t="str">
        <f>TEXT(Delivery_data[[#This Row],[Order date]], "MMMM")</f>
        <v>September</v>
      </c>
      <c r="E202" s="1" t="str">
        <f>TEXT(Delivery_data[[#This Row],[Order date]], "DDDD")</f>
        <v>Tuesday</v>
      </c>
      <c r="F202" s="2">
        <v>0.58333333333333337</v>
      </c>
      <c r="G202" t="s">
        <v>22</v>
      </c>
      <c r="H202" t="str">
        <f>IF(Delivery_data[[#This Row],[Order Status]] = "In Progress", "Backlog", "Complete")</f>
        <v>Complete</v>
      </c>
      <c r="I202" t="s">
        <v>140</v>
      </c>
      <c r="J202" t="s">
        <v>1631</v>
      </c>
      <c r="K202" t="s">
        <v>61</v>
      </c>
      <c r="L202">
        <v>69</v>
      </c>
      <c r="M202">
        <v>14</v>
      </c>
      <c r="N202" t="s">
        <v>38</v>
      </c>
      <c r="O202" t="s">
        <v>26</v>
      </c>
      <c r="P202" t="s">
        <v>27</v>
      </c>
      <c r="Q202" t="s">
        <v>46</v>
      </c>
      <c r="R202" s="2">
        <v>0.5131944444444444</v>
      </c>
    </row>
    <row r="203" spans="1:18" x14ac:dyDescent="0.25">
      <c r="A203" t="s">
        <v>2306</v>
      </c>
      <c r="B203" t="s">
        <v>804</v>
      </c>
      <c r="C203" s="1">
        <v>45177</v>
      </c>
      <c r="D203" s="1" t="str">
        <f>TEXT(Delivery_data[[#This Row],[Order date]], "MMMM")</f>
        <v>September</v>
      </c>
      <c r="E203" s="1" t="str">
        <f>TEXT(Delivery_data[[#This Row],[Order date]], "DDDD")</f>
        <v>Friday</v>
      </c>
      <c r="F203" s="2">
        <v>0.37013888888888891</v>
      </c>
      <c r="G203" t="s">
        <v>22</v>
      </c>
      <c r="H203" t="str">
        <f>IF(Delivery_data[[#This Row],[Order Status]] = "In Progress", "Backlog", "Complete")</f>
        <v>Complete</v>
      </c>
      <c r="I203" t="s">
        <v>140</v>
      </c>
      <c r="J203" t="s">
        <v>1637</v>
      </c>
      <c r="K203" t="s">
        <v>61</v>
      </c>
      <c r="L203">
        <v>214</v>
      </c>
      <c r="M203">
        <v>8</v>
      </c>
      <c r="N203" t="s">
        <v>25</v>
      </c>
      <c r="O203" t="s">
        <v>33</v>
      </c>
      <c r="P203" t="s">
        <v>34</v>
      </c>
      <c r="Q203" t="s">
        <v>28</v>
      </c>
      <c r="R203" s="2">
        <v>0.59583333333333333</v>
      </c>
    </row>
    <row r="204" spans="1:18" x14ac:dyDescent="0.25">
      <c r="A204" t="s">
        <v>2341</v>
      </c>
      <c r="B204" t="s">
        <v>839</v>
      </c>
      <c r="C204" s="1">
        <v>45177</v>
      </c>
      <c r="D204" s="1" t="str">
        <f>TEXT(Delivery_data[[#This Row],[Order date]], "MMMM")</f>
        <v>September</v>
      </c>
      <c r="E204" s="1" t="str">
        <f>TEXT(Delivery_data[[#This Row],[Order date]], "DDDD")</f>
        <v>Friday</v>
      </c>
      <c r="F204" s="2">
        <v>0.33611111111111114</v>
      </c>
      <c r="G204" t="s">
        <v>22</v>
      </c>
      <c r="H204" t="str">
        <f>IF(Delivery_data[[#This Row],[Order Status]] = "In Progress", "Backlog", "Complete")</f>
        <v>Complete</v>
      </c>
      <c r="I204" t="s">
        <v>140</v>
      </c>
      <c r="J204" t="s">
        <v>1637</v>
      </c>
      <c r="K204" t="s">
        <v>61</v>
      </c>
      <c r="L204">
        <v>125</v>
      </c>
      <c r="M204">
        <v>4</v>
      </c>
      <c r="N204" t="s">
        <v>38</v>
      </c>
      <c r="O204" t="s">
        <v>26</v>
      </c>
      <c r="P204" t="s">
        <v>34</v>
      </c>
      <c r="Q204" t="s">
        <v>51</v>
      </c>
      <c r="R204" s="2">
        <v>0.51180555555555551</v>
      </c>
    </row>
    <row r="205" spans="1:18" x14ac:dyDescent="0.25">
      <c r="A205" t="s">
        <v>2371</v>
      </c>
      <c r="B205" t="s">
        <v>868</v>
      </c>
      <c r="C205" s="1">
        <v>45175</v>
      </c>
      <c r="D205" s="1" t="str">
        <f>TEXT(Delivery_data[[#This Row],[Order date]], "MMMM")</f>
        <v>September</v>
      </c>
      <c r="E205" s="1" t="str">
        <f>TEXT(Delivery_data[[#This Row],[Order date]], "DDDD")</f>
        <v>Wednesday</v>
      </c>
      <c r="F205" s="2">
        <v>0.37847222222222221</v>
      </c>
      <c r="G205" t="s">
        <v>22</v>
      </c>
      <c r="H205" t="str">
        <f>IF(Delivery_data[[#This Row],[Order Status]] = "In Progress", "Backlog", "Complete")</f>
        <v>Complete</v>
      </c>
      <c r="I205" t="s">
        <v>140</v>
      </c>
      <c r="J205" t="s">
        <v>1631</v>
      </c>
      <c r="K205" t="s">
        <v>24</v>
      </c>
      <c r="L205">
        <v>197</v>
      </c>
      <c r="M205">
        <v>2</v>
      </c>
      <c r="N205" t="s">
        <v>38</v>
      </c>
      <c r="O205" t="s">
        <v>50</v>
      </c>
      <c r="P205" t="s">
        <v>27</v>
      </c>
      <c r="Q205" t="s">
        <v>46</v>
      </c>
      <c r="R205" s="2">
        <v>0.50902777777777775</v>
      </c>
    </row>
    <row r="206" spans="1:18" x14ac:dyDescent="0.25">
      <c r="A206" t="s">
        <v>2440</v>
      </c>
      <c r="B206" t="s">
        <v>932</v>
      </c>
      <c r="C206" s="1">
        <v>45176</v>
      </c>
      <c r="D206" s="1" t="str">
        <f>TEXT(Delivery_data[[#This Row],[Order date]], "MMMM")</f>
        <v>September</v>
      </c>
      <c r="E206" s="1" t="str">
        <f>TEXT(Delivery_data[[#This Row],[Order date]], "DDDD")</f>
        <v>Thursday</v>
      </c>
      <c r="F206" s="2">
        <v>0.64375000000000004</v>
      </c>
      <c r="G206" t="s">
        <v>22</v>
      </c>
      <c r="H206" t="str">
        <f>IF(Delivery_data[[#This Row],[Order Status]] = "In Progress", "Backlog", "Complete")</f>
        <v>Complete</v>
      </c>
      <c r="I206" t="s">
        <v>140</v>
      </c>
      <c r="J206" t="s">
        <v>1631</v>
      </c>
      <c r="K206" t="s">
        <v>37</v>
      </c>
      <c r="L206">
        <v>150</v>
      </c>
      <c r="M206">
        <v>6</v>
      </c>
      <c r="N206" t="s">
        <v>25</v>
      </c>
      <c r="O206" t="s">
        <v>33</v>
      </c>
      <c r="P206" t="s">
        <v>45</v>
      </c>
      <c r="Q206" t="s">
        <v>28</v>
      </c>
      <c r="R206" s="2">
        <v>0.45</v>
      </c>
    </row>
    <row r="207" spans="1:18" x14ac:dyDescent="0.25">
      <c r="A207" t="s">
        <v>2483</v>
      </c>
      <c r="B207" t="s">
        <v>974</v>
      </c>
      <c r="C207" s="1">
        <v>45176</v>
      </c>
      <c r="D207" s="1" t="str">
        <f>TEXT(Delivery_data[[#This Row],[Order date]], "MMMM")</f>
        <v>September</v>
      </c>
      <c r="E207" s="1" t="str">
        <f>TEXT(Delivery_data[[#This Row],[Order date]], "DDDD")</f>
        <v>Thursday</v>
      </c>
      <c r="F207" s="2">
        <v>0.45</v>
      </c>
      <c r="G207" t="s">
        <v>48</v>
      </c>
      <c r="H207" t="str">
        <f>IF(Delivery_data[[#This Row],[Order Status]] = "In Progress", "Backlog", "Complete")</f>
        <v>Backlog</v>
      </c>
      <c r="I207" t="s">
        <v>140</v>
      </c>
      <c r="J207" t="s">
        <v>1637</v>
      </c>
      <c r="K207" t="s">
        <v>44</v>
      </c>
      <c r="L207">
        <v>129</v>
      </c>
      <c r="M207">
        <v>17</v>
      </c>
      <c r="N207" t="s">
        <v>38</v>
      </c>
      <c r="O207" t="s">
        <v>33</v>
      </c>
      <c r="P207" t="s">
        <v>45</v>
      </c>
      <c r="Q207" t="s">
        <v>28</v>
      </c>
      <c r="R207" s="2">
        <v>0.34930555555555554</v>
      </c>
    </row>
    <row r="208" spans="1:18" x14ac:dyDescent="0.25">
      <c r="A208" t="s">
        <v>2571</v>
      </c>
      <c r="B208" t="s">
        <v>1055</v>
      </c>
      <c r="C208" s="1">
        <v>45175</v>
      </c>
      <c r="D208" s="1" t="str">
        <f>TEXT(Delivery_data[[#This Row],[Order date]], "MMMM")</f>
        <v>September</v>
      </c>
      <c r="E208" s="1" t="str">
        <f>TEXT(Delivery_data[[#This Row],[Order date]], "DDDD")</f>
        <v>Wednesday</v>
      </c>
      <c r="F208" s="2">
        <v>0.50624999999999998</v>
      </c>
      <c r="G208" t="s">
        <v>22</v>
      </c>
      <c r="H208" t="str">
        <f>IF(Delivery_data[[#This Row],[Order Status]] = "In Progress", "Backlog", "Complete")</f>
        <v>Complete</v>
      </c>
      <c r="I208" t="s">
        <v>140</v>
      </c>
      <c r="J208" t="s">
        <v>1633</v>
      </c>
      <c r="K208" t="s">
        <v>31</v>
      </c>
      <c r="L208">
        <v>187</v>
      </c>
      <c r="M208">
        <v>22</v>
      </c>
      <c r="N208" t="s">
        <v>25</v>
      </c>
      <c r="O208" t="s">
        <v>26</v>
      </c>
      <c r="P208" t="s">
        <v>27</v>
      </c>
      <c r="Q208" t="s">
        <v>46</v>
      </c>
      <c r="R208" s="2">
        <v>0.6743055555555556</v>
      </c>
    </row>
    <row r="209" spans="1:18" x14ac:dyDescent="0.25">
      <c r="A209" t="s">
        <v>2624</v>
      </c>
      <c r="B209" t="s">
        <v>1107</v>
      </c>
      <c r="C209" s="1">
        <v>45171</v>
      </c>
      <c r="D209" s="1" t="str">
        <f>TEXT(Delivery_data[[#This Row],[Order date]], "MMMM")</f>
        <v>September</v>
      </c>
      <c r="E209" s="1" t="str">
        <f>TEXT(Delivery_data[[#This Row],[Order date]], "DDDD")</f>
        <v>Saturday</v>
      </c>
      <c r="F209" s="2">
        <v>0.42638888888888887</v>
      </c>
      <c r="G209" t="s">
        <v>22</v>
      </c>
      <c r="H209" t="str">
        <f>IF(Delivery_data[[#This Row],[Order Status]] = "In Progress", "Backlog", "Complete")</f>
        <v>Complete</v>
      </c>
      <c r="I209" t="s">
        <v>140</v>
      </c>
      <c r="J209" t="s">
        <v>1637</v>
      </c>
      <c r="K209" t="s">
        <v>61</v>
      </c>
      <c r="L209">
        <v>151</v>
      </c>
      <c r="M209">
        <v>17</v>
      </c>
      <c r="N209" t="s">
        <v>38</v>
      </c>
      <c r="O209" t="s">
        <v>54</v>
      </c>
      <c r="P209" t="s">
        <v>27</v>
      </c>
      <c r="Q209" t="s">
        <v>46</v>
      </c>
      <c r="R209" s="2">
        <v>0.68125000000000002</v>
      </c>
    </row>
    <row r="210" spans="1:18" x14ac:dyDescent="0.25">
      <c r="A210" t="s">
        <v>2684</v>
      </c>
      <c r="B210" t="s">
        <v>1166</v>
      </c>
      <c r="C210" s="1">
        <v>45170</v>
      </c>
      <c r="D210" s="1" t="str">
        <f>TEXT(Delivery_data[[#This Row],[Order date]], "MMMM")</f>
        <v>September</v>
      </c>
      <c r="E210" s="1" t="str">
        <f>TEXT(Delivery_data[[#This Row],[Order date]], "DDDD")</f>
        <v>Friday</v>
      </c>
      <c r="F210" s="2">
        <v>0.34375</v>
      </c>
      <c r="G210" t="s">
        <v>48</v>
      </c>
      <c r="H210" t="str">
        <f>IF(Delivery_data[[#This Row],[Order Status]] = "In Progress", "Backlog", "Complete")</f>
        <v>Backlog</v>
      </c>
      <c r="I210" t="s">
        <v>140</v>
      </c>
      <c r="J210" t="s">
        <v>1631</v>
      </c>
      <c r="K210" t="s">
        <v>37</v>
      </c>
      <c r="L210">
        <v>172</v>
      </c>
      <c r="M210">
        <v>3</v>
      </c>
      <c r="N210" t="s">
        <v>38</v>
      </c>
      <c r="O210" t="s">
        <v>50</v>
      </c>
      <c r="P210" t="s">
        <v>27</v>
      </c>
      <c r="Q210" t="s">
        <v>51</v>
      </c>
      <c r="R210" s="2">
        <v>0.45624999999999999</v>
      </c>
    </row>
    <row r="211" spans="1:18" x14ac:dyDescent="0.25">
      <c r="A211" t="s">
        <v>2883</v>
      </c>
      <c r="B211" t="s">
        <v>1356</v>
      </c>
      <c r="C211" s="1">
        <v>45177</v>
      </c>
      <c r="D211" s="1" t="str">
        <f>TEXT(Delivery_data[[#This Row],[Order date]], "MMMM")</f>
        <v>September</v>
      </c>
      <c r="E211" s="1" t="str">
        <f>TEXT(Delivery_data[[#This Row],[Order date]], "DDDD")</f>
        <v>Friday</v>
      </c>
      <c r="F211" s="2">
        <v>0.33541666666666664</v>
      </c>
      <c r="G211" t="s">
        <v>48</v>
      </c>
      <c r="H211" t="str">
        <f>IF(Delivery_data[[#This Row],[Order Status]] = "In Progress", "Backlog", "Complete")</f>
        <v>Backlog</v>
      </c>
      <c r="I211" t="s">
        <v>140</v>
      </c>
      <c r="J211" t="s">
        <v>1631</v>
      </c>
      <c r="K211" t="s">
        <v>31</v>
      </c>
      <c r="L211">
        <v>123</v>
      </c>
      <c r="M211">
        <v>4</v>
      </c>
      <c r="N211" t="s">
        <v>32</v>
      </c>
      <c r="O211" t="s">
        <v>33</v>
      </c>
      <c r="P211" t="s">
        <v>34</v>
      </c>
      <c r="Q211" t="s">
        <v>28</v>
      </c>
      <c r="R211" s="2">
        <v>0.6</v>
      </c>
    </row>
    <row r="212" spans="1:18" x14ac:dyDescent="0.25">
      <c r="A212" t="s">
        <v>2891</v>
      </c>
      <c r="B212" t="s">
        <v>1364</v>
      </c>
      <c r="C212" s="1">
        <v>45171</v>
      </c>
      <c r="D212" s="1" t="str">
        <f>TEXT(Delivery_data[[#This Row],[Order date]], "MMMM")</f>
        <v>September</v>
      </c>
      <c r="E212" s="1" t="str">
        <f>TEXT(Delivery_data[[#This Row],[Order date]], "DDDD")</f>
        <v>Saturday</v>
      </c>
      <c r="F212" s="2">
        <v>0.68125000000000002</v>
      </c>
      <c r="G212" t="s">
        <v>22</v>
      </c>
      <c r="H212" t="str">
        <f>IF(Delivery_data[[#This Row],[Order Status]] = "In Progress", "Backlog", "Complete")</f>
        <v>Complete</v>
      </c>
      <c r="I212" t="s">
        <v>140</v>
      </c>
      <c r="J212" t="s">
        <v>1633</v>
      </c>
      <c r="K212" t="s">
        <v>24</v>
      </c>
      <c r="L212">
        <v>98</v>
      </c>
      <c r="M212">
        <v>3</v>
      </c>
      <c r="N212" t="s">
        <v>32</v>
      </c>
      <c r="O212" t="s">
        <v>54</v>
      </c>
      <c r="P212" t="s">
        <v>45</v>
      </c>
      <c r="Q212" t="s">
        <v>46</v>
      </c>
      <c r="R212" s="2">
        <v>0.55486111111111114</v>
      </c>
    </row>
    <row r="213" spans="1:18" x14ac:dyDescent="0.25">
      <c r="A213" t="s">
        <v>2935</v>
      </c>
      <c r="B213" t="s">
        <v>1408</v>
      </c>
      <c r="C213" s="1">
        <v>45173</v>
      </c>
      <c r="D213" s="1" t="str">
        <f>TEXT(Delivery_data[[#This Row],[Order date]], "MMMM")</f>
        <v>September</v>
      </c>
      <c r="E213" s="1" t="str">
        <f>TEXT(Delivery_data[[#This Row],[Order date]], "DDDD")</f>
        <v>Monday</v>
      </c>
      <c r="F213" s="2">
        <v>0.3972222222222222</v>
      </c>
      <c r="G213" t="s">
        <v>48</v>
      </c>
      <c r="H213" t="str">
        <f>IF(Delivery_data[[#This Row],[Order Status]] = "In Progress", "Backlog", "Complete")</f>
        <v>Backlog</v>
      </c>
      <c r="I213" t="s">
        <v>140</v>
      </c>
      <c r="J213" t="s">
        <v>1633</v>
      </c>
      <c r="K213" t="s">
        <v>37</v>
      </c>
      <c r="L213">
        <v>239</v>
      </c>
      <c r="M213">
        <v>18</v>
      </c>
      <c r="N213" t="s">
        <v>32</v>
      </c>
      <c r="O213" t="s">
        <v>54</v>
      </c>
      <c r="P213" t="s">
        <v>45</v>
      </c>
      <c r="Q213" t="s">
        <v>46</v>
      </c>
      <c r="R213" s="2">
        <v>0.37013888888888891</v>
      </c>
    </row>
    <row r="214" spans="1:18" x14ac:dyDescent="0.25">
      <c r="A214" t="s">
        <v>3032</v>
      </c>
      <c r="B214" t="s">
        <v>1502</v>
      </c>
      <c r="C214" s="1">
        <v>45176</v>
      </c>
      <c r="D214" s="1" t="str">
        <f>TEXT(Delivery_data[[#This Row],[Order date]], "MMMM")</f>
        <v>September</v>
      </c>
      <c r="E214" s="1" t="str">
        <f>TEXT(Delivery_data[[#This Row],[Order date]], "DDDD")</f>
        <v>Thursday</v>
      </c>
      <c r="F214" s="2">
        <v>0.67569444444444449</v>
      </c>
      <c r="G214" t="s">
        <v>22</v>
      </c>
      <c r="H214" t="str">
        <f>IF(Delivery_data[[#This Row],[Order Status]] = "In Progress", "Backlog", "Complete")</f>
        <v>Complete</v>
      </c>
      <c r="I214" t="s">
        <v>140</v>
      </c>
      <c r="J214" t="s">
        <v>1637</v>
      </c>
      <c r="K214" t="s">
        <v>37</v>
      </c>
      <c r="L214">
        <v>218</v>
      </c>
      <c r="M214">
        <v>8</v>
      </c>
      <c r="N214" t="s">
        <v>32</v>
      </c>
      <c r="O214" t="s">
        <v>33</v>
      </c>
      <c r="P214" t="s">
        <v>27</v>
      </c>
      <c r="Q214" t="s">
        <v>51</v>
      </c>
      <c r="R214" s="2">
        <v>0.39097222222222222</v>
      </c>
    </row>
    <row r="215" spans="1:18" x14ac:dyDescent="0.25">
      <c r="A215" t="s">
        <v>3092</v>
      </c>
      <c r="B215" t="s">
        <v>1558</v>
      </c>
      <c r="C215" s="1">
        <v>45172</v>
      </c>
      <c r="D215" s="1" t="str">
        <f>TEXT(Delivery_data[[#This Row],[Order date]], "MMMM")</f>
        <v>September</v>
      </c>
      <c r="E215" s="1" t="str">
        <f>TEXT(Delivery_data[[#This Row],[Order date]], "DDDD")</f>
        <v>Sunday</v>
      </c>
      <c r="F215" s="2">
        <v>0.55555555555555558</v>
      </c>
      <c r="G215" t="s">
        <v>48</v>
      </c>
      <c r="H215" t="str">
        <f>IF(Delivery_data[[#This Row],[Order Status]] = "In Progress", "Backlog", "Complete")</f>
        <v>Backlog</v>
      </c>
      <c r="I215" t="s">
        <v>140</v>
      </c>
      <c r="J215" t="s">
        <v>1633</v>
      </c>
      <c r="K215" t="s">
        <v>31</v>
      </c>
      <c r="L215">
        <v>122</v>
      </c>
      <c r="M215">
        <v>13</v>
      </c>
      <c r="N215" t="s">
        <v>32</v>
      </c>
      <c r="O215" t="s">
        <v>54</v>
      </c>
      <c r="P215" t="s">
        <v>34</v>
      </c>
      <c r="Q215" t="s">
        <v>28</v>
      </c>
      <c r="R215" s="2">
        <v>0.64027777777777772</v>
      </c>
    </row>
    <row r="216" spans="1:18" x14ac:dyDescent="0.25">
      <c r="A216" t="s">
        <v>3110</v>
      </c>
      <c r="B216" t="s">
        <v>1576</v>
      </c>
      <c r="C216" s="1">
        <v>45172</v>
      </c>
      <c r="D216" s="1" t="str">
        <f>TEXT(Delivery_data[[#This Row],[Order date]], "MMMM")</f>
        <v>September</v>
      </c>
      <c r="E216" s="1" t="str">
        <f>TEXT(Delivery_data[[#This Row],[Order date]], "DDDD")</f>
        <v>Sunday</v>
      </c>
      <c r="F216" s="2">
        <v>0.37222222222222223</v>
      </c>
      <c r="G216" t="s">
        <v>22</v>
      </c>
      <c r="H216" t="str">
        <f>IF(Delivery_data[[#This Row],[Order Status]] = "In Progress", "Backlog", "Complete")</f>
        <v>Complete</v>
      </c>
      <c r="I216" t="s">
        <v>140</v>
      </c>
      <c r="J216" t="s">
        <v>1637</v>
      </c>
      <c r="K216" t="s">
        <v>31</v>
      </c>
      <c r="L216">
        <v>158</v>
      </c>
      <c r="M216">
        <v>23</v>
      </c>
      <c r="N216" t="s">
        <v>38</v>
      </c>
      <c r="O216" t="s">
        <v>50</v>
      </c>
      <c r="P216" t="s">
        <v>34</v>
      </c>
      <c r="Q216" t="s">
        <v>46</v>
      </c>
      <c r="R216" s="2">
        <v>0.56180555555555556</v>
      </c>
    </row>
    <row r="217" spans="1:18" x14ac:dyDescent="0.25">
      <c r="A217" t="s">
        <v>1684</v>
      </c>
      <c r="B217" t="s">
        <v>136</v>
      </c>
      <c r="C217" s="1">
        <v>45174</v>
      </c>
      <c r="D217" s="1" t="str">
        <f>TEXT(Delivery_data[[#This Row],[Order date]], "MMMM")</f>
        <v>September</v>
      </c>
      <c r="E217" s="1" t="str">
        <f>TEXT(Delivery_data[[#This Row],[Order date]], "DDDD")</f>
        <v>Tuesday</v>
      </c>
      <c r="F217" s="2">
        <v>0.33402777777777776</v>
      </c>
      <c r="G217" t="s">
        <v>48</v>
      </c>
      <c r="H217" t="str">
        <f>IF(Delivery_data[[#This Row],[Order Status]] = "In Progress", "Backlog", "Complete")</f>
        <v>Backlog</v>
      </c>
      <c r="I217" t="s">
        <v>137</v>
      </c>
      <c r="J217" t="s">
        <v>1637</v>
      </c>
      <c r="K217" t="s">
        <v>31</v>
      </c>
      <c r="L217">
        <v>204</v>
      </c>
      <c r="M217">
        <v>14</v>
      </c>
      <c r="N217" t="s">
        <v>32</v>
      </c>
      <c r="O217" t="s">
        <v>50</v>
      </c>
      <c r="P217" t="s">
        <v>34</v>
      </c>
      <c r="Q217" t="s">
        <v>51</v>
      </c>
      <c r="R217" s="2">
        <v>0.72638888888888886</v>
      </c>
    </row>
    <row r="218" spans="1:18" x14ac:dyDescent="0.25">
      <c r="A218" t="s">
        <v>1794</v>
      </c>
      <c r="B218" t="s">
        <v>287</v>
      </c>
      <c r="C218" s="1">
        <v>45172</v>
      </c>
      <c r="D218" s="1" t="str">
        <f>TEXT(Delivery_data[[#This Row],[Order date]], "MMMM")</f>
        <v>September</v>
      </c>
      <c r="E218" s="1" t="str">
        <f>TEXT(Delivery_data[[#This Row],[Order date]], "DDDD")</f>
        <v>Sunday</v>
      </c>
      <c r="F218" s="2">
        <v>0.57847222222222228</v>
      </c>
      <c r="G218" t="s">
        <v>22</v>
      </c>
      <c r="H218" t="str">
        <f>IF(Delivery_data[[#This Row],[Order Status]] = "In Progress", "Backlog", "Complete")</f>
        <v>Complete</v>
      </c>
      <c r="I218" t="s">
        <v>137</v>
      </c>
      <c r="J218" t="s">
        <v>1633</v>
      </c>
      <c r="K218" t="s">
        <v>61</v>
      </c>
      <c r="L218">
        <v>118</v>
      </c>
      <c r="M218">
        <v>19</v>
      </c>
      <c r="N218" t="s">
        <v>32</v>
      </c>
      <c r="O218" t="s">
        <v>26</v>
      </c>
      <c r="P218" t="s">
        <v>34</v>
      </c>
      <c r="Q218" t="s">
        <v>28</v>
      </c>
      <c r="R218" s="2">
        <v>0.4236111111111111</v>
      </c>
    </row>
    <row r="219" spans="1:18" x14ac:dyDescent="0.25">
      <c r="A219" t="s">
        <v>1799</v>
      </c>
      <c r="B219" t="s">
        <v>294</v>
      </c>
      <c r="C219" s="1">
        <v>45174</v>
      </c>
      <c r="D219" s="1" t="str">
        <f>TEXT(Delivery_data[[#This Row],[Order date]], "MMMM")</f>
        <v>September</v>
      </c>
      <c r="E219" s="1" t="str">
        <f>TEXT(Delivery_data[[#This Row],[Order date]], "DDDD")</f>
        <v>Tuesday</v>
      </c>
      <c r="F219" s="2">
        <v>0.47916666666666669</v>
      </c>
      <c r="G219" t="s">
        <v>22</v>
      </c>
      <c r="H219" t="str">
        <f>IF(Delivery_data[[#This Row],[Order Status]] = "In Progress", "Backlog", "Complete")</f>
        <v>Complete</v>
      </c>
      <c r="I219" t="s">
        <v>137</v>
      </c>
      <c r="J219" t="s">
        <v>1637</v>
      </c>
      <c r="K219" t="s">
        <v>44</v>
      </c>
      <c r="L219">
        <v>69</v>
      </c>
      <c r="M219">
        <v>8</v>
      </c>
      <c r="N219" t="s">
        <v>32</v>
      </c>
      <c r="O219" t="s">
        <v>26</v>
      </c>
      <c r="P219" t="s">
        <v>34</v>
      </c>
      <c r="Q219" t="s">
        <v>51</v>
      </c>
      <c r="R219" s="2">
        <v>0.50138888888888888</v>
      </c>
    </row>
    <row r="220" spans="1:18" x14ac:dyDescent="0.25">
      <c r="A220" t="s">
        <v>1801</v>
      </c>
      <c r="B220" t="s">
        <v>296</v>
      </c>
      <c r="C220" s="1">
        <v>45170</v>
      </c>
      <c r="D220" s="1" t="str">
        <f>TEXT(Delivery_data[[#This Row],[Order date]], "MMMM")</f>
        <v>September</v>
      </c>
      <c r="E220" s="1" t="str">
        <f>TEXT(Delivery_data[[#This Row],[Order date]], "DDDD")</f>
        <v>Friday</v>
      </c>
      <c r="F220" s="2">
        <v>0.49861111111111112</v>
      </c>
      <c r="G220" t="s">
        <v>48</v>
      </c>
      <c r="H220" t="str">
        <f>IF(Delivery_data[[#This Row],[Order Status]] = "In Progress", "Backlog", "Complete")</f>
        <v>Backlog</v>
      </c>
      <c r="I220" t="s">
        <v>137</v>
      </c>
      <c r="J220" t="s">
        <v>1631</v>
      </c>
      <c r="K220" t="s">
        <v>61</v>
      </c>
      <c r="L220">
        <v>223</v>
      </c>
      <c r="M220">
        <v>0</v>
      </c>
      <c r="N220" t="s">
        <v>25</v>
      </c>
      <c r="O220" t="s">
        <v>41</v>
      </c>
      <c r="P220" t="s">
        <v>45</v>
      </c>
      <c r="Q220" t="s">
        <v>46</v>
      </c>
      <c r="R220" s="2">
        <v>0.51458333333333328</v>
      </c>
    </row>
    <row r="221" spans="1:18" x14ac:dyDescent="0.25">
      <c r="A221" t="s">
        <v>1894</v>
      </c>
      <c r="B221" t="s">
        <v>395</v>
      </c>
      <c r="C221" s="1">
        <v>45172</v>
      </c>
      <c r="D221" s="1" t="str">
        <f>TEXT(Delivery_data[[#This Row],[Order date]], "MMMM")</f>
        <v>September</v>
      </c>
      <c r="E221" s="1" t="str">
        <f>TEXT(Delivery_data[[#This Row],[Order date]], "DDDD")</f>
        <v>Sunday</v>
      </c>
      <c r="F221" s="2">
        <v>0.6020833333333333</v>
      </c>
      <c r="G221" t="s">
        <v>22</v>
      </c>
      <c r="H221" t="str">
        <f>IF(Delivery_data[[#This Row],[Order Status]] = "In Progress", "Backlog", "Complete")</f>
        <v>Complete</v>
      </c>
      <c r="I221" t="s">
        <v>137</v>
      </c>
      <c r="J221" t="s">
        <v>1633</v>
      </c>
      <c r="K221" t="s">
        <v>61</v>
      </c>
      <c r="L221">
        <v>66</v>
      </c>
      <c r="M221">
        <v>22</v>
      </c>
      <c r="N221" t="s">
        <v>38</v>
      </c>
      <c r="O221" t="s">
        <v>26</v>
      </c>
      <c r="P221" t="s">
        <v>34</v>
      </c>
      <c r="Q221" t="s">
        <v>51</v>
      </c>
      <c r="R221" s="2">
        <v>0.4152777777777778</v>
      </c>
    </row>
    <row r="222" spans="1:18" x14ac:dyDescent="0.25">
      <c r="A222" t="s">
        <v>1919</v>
      </c>
      <c r="B222" t="s">
        <v>422</v>
      </c>
      <c r="C222" s="1">
        <v>45174</v>
      </c>
      <c r="D222" s="1" t="str">
        <f>TEXT(Delivery_data[[#This Row],[Order date]], "MMMM")</f>
        <v>September</v>
      </c>
      <c r="E222" s="1" t="str">
        <f>TEXT(Delivery_data[[#This Row],[Order date]], "DDDD")</f>
        <v>Tuesday</v>
      </c>
      <c r="F222" s="2">
        <v>0.64583333333333337</v>
      </c>
      <c r="G222" t="s">
        <v>48</v>
      </c>
      <c r="H222" t="str">
        <f>IF(Delivery_data[[#This Row],[Order Status]] = "In Progress", "Backlog", "Complete")</f>
        <v>Backlog</v>
      </c>
      <c r="I222" t="s">
        <v>137</v>
      </c>
      <c r="J222" t="s">
        <v>1631</v>
      </c>
      <c r="K222" t="s">
        <v>24</v>
      </c>
      <c r="L222">
        <v>205</v>
      </c>
      <c r="M222">
        <v>18</v>
      </c>
      <c r="N222" t="s">
        <v>32</v>
      </c>
      <c r="O222" t="s">
        <v>54</v>
      </c>
      <c r="P222" t="s">
        <v>45</v>
      </c>
      <c r="Q222" t="s">
        <v>46</v>
      </c>
      <c r="R222" s="2">
        <v>0.5395833333333333</v>
      </c>
    </row>
    <row r="223" spans="1:18" x14ac:dyDescent="0.25">
      <c r="A223" t="s">
        <v>1948</v>
      </c>
      <c r="B223" t="s">
        <v>452</v>
      </c>
      <c r="C223" s="1">
        <v>45171</v>
      </c>
      <c r="D223" s="1" t="str">
        <f>TEXT(Delivery_data[[#This Row],[Order date]], "MMMM")</f>
        <v>September</v>
      </c>
      <c r="E223" s="1" t="str">
        <f>TEXT(Delivery_data[[#This Row],[Order date]], "DDDD")</f>
        <v>Saturday</v>
      </c>
      <c r="F223" s="2">
        <v>0.65416666666666667</v>
      </c>
      <c r="G223" t="s">
        <v>22</v>
      </c>
      <c r="H223" t="str">
        <f>IF(Delivery_data[[#This Row],[Order Status]] = "In Progress", "Backlog", "Complete")</f>
        <v>Complete</v>
      </c>
      <c r="I223" t="s">
        <v>137</v>
      </c>
      <c r="J223" t="s">
        <v>1637</v>
      </c>
      <c r="K223" t="s">
        <v>24</v>
      </c>
      <c r="L223">
        <v>193</v>
      </c>
      <c r="M223">
        <v>3</v>
      </c>
      <c r="N223" t="s">
        <v>25</v>
      </c>
      <c r="O223" t="s">
        <v>50</v>
      </c>
      <c r="P223" t="s">
        <v>27</v>
      </c>
      <c r="Q223" t="s">
        <v>46</v>
      </c>
      <c r="R223" s="2">
        <v>0.72638888888888886</v>
      </c>
    </row>
    <row r="224" spans="1:18" x14ac:dyDescent="0.25">
      <c r="A224" t="s">
        <v>1962</v>
      </c>
      <c r="B224" t="s">
        <v>466</v>
      </c>
      <c r="C224" s="1">
        <v>45177</v>
      </c>
      <c r="D224" s="1" t="str">
        <f>TEXT(Delivery_data[[#This Row],[Order date]], "MMMM")</f>
        <v>September</v>
      </c>
      <c r="E224" s="1" t="str">
        <f>TEXT(Delivery_data[[#This Row],[Order date]], "DDDD")</f>
        <v>Friday</v>
      </c>
      <c r="F224" s="2">
        <v>0.58472222222222225</v>
      </c>
      <c r="G224" t="s">
        <v>48</v>
      </c>
      <c r="H224" t="str">
        <f>IF(Delivery_data[[#This Row],[Order Status]] = "In Progress", "Backlog", "Complete")</f>
        <v>Backlog</v>
      </c>
      <c r="I224" t="s">
        <v>137</v>
      </c>
      <c r="J224" t="s">
        <v>1631</v>
      </c>
      <c r="K224" t="s">
        <v>31</v>
      </c>
      <c r="L224">
        <v>84</v>
      </c>
      <c r="M224">
        <v>15</v>
      </c>
      <c r="N224" t="s">
        <v>32</v>
      </c>
      <c r="O224" t="s">
        <v>54</v>
      </c>
      <c r="P224" t="s">
        <v>27</v>
      </c>
      <c r="Q224" t="s">
        <v>51</v>
      </c>
      <c r="R224" s="2">
        <v>0.60902777777777772</v>
      </c>
    </row>
    <row r="225" spans="1:18" x14ac:dyDescent="0.25">
      <c r="A225" t="s">
        <v>2029</v>
      </c>
      <c r="B225" t="s">
        <v>534</v>
      </c>
      <c r="C225" s="1">
        <v>45175</v>
      </c>
      <c r="D225" s="1" t="str">
        <f>TEXT(Delivery_data[[#This Row],[Order date]], "MMMM")</f>
        <v>September</v>
      </c>
      <c r="E225" s="1" t="str">
        <f>TEXT(Delivery_data[[#This Row],[Order date]], "DDDD")</f>
        <v>Wednesday</v>
      </c>
      <c r="F225" s="2">
        <v>0.47638888888888886</v>
      </c>
      <c r="G225" t="s">
        <v>48</v>
      </c>
      <c r="H225" t="str">
        <f>IF(Delivery_data[[#This Row],[Order Status]] = "In Progress", "Backlog", "Complete")</f>
        <v>Backlog</v>
      </c>
      <c r="I225" t="s">
        <v>137</v>
      </c>
      <c r="J225" t="s">
        <v>1631</v>
      </c>
      <c r="K225" t="s">
        <v>61</v>
      </c>
      <c r="L225">
        <v>64</v>
      </c>
      <c r="M225">
        <v>12</v>
      </c>
      <c r="N225" t="s">
        <v>32</v>
      </c>
      <c r="O225" t="s">
        <v>41</v>
      </c>
      <c r="P225" t="s">
        <v>27</v>
      </c>
      <c r="Q225" t="s">
        <v>28</v>
      </c>
      <c r="R225" s="2">
        <v>0.67013888888888884</v>
      </c>
    </row>
    <row r="226" spans="1:18" x14ac:dyDescent="0.25">
      <c r="A226" t="s">
        <v>2119</v>
      </c>
      <c r="B226" t="s">
        <v>623</v>
      </c>
      <c r="C226" s="1">
        <v>45175</v>
      </c>
      <c r="D226" s="1" t="str">
        <f>TEXT(Delivery_data[[#This Row],[Order date]], "MMMM")</f>
        <v>September</v>
      </c>
      <c r="E226" s="1" t="str">
        <f>TEXT(Delivery_data[[#This Row],[Order date]], "DDDD")</f>
        <v>Wednesday</v>
      </c>
      <c r="F226" s="2">
        <v>0.7055555555555556</v>
      </c>
      <c r="G226" t="s">
        <v>22</v>
      </c>
      <c r="H226" t="str">
        <f>IF(Delivery_data[[#This Row],[Order Status]] = "In Progress", "Backlog", "Complete")</f>
        <v>Complete</v>
      </c>
      <c r="I226" t="s">
        <v>137</v>
      </c>
      <c r="J226" t="s">
        <v>1633</v>
      </c>
      <c r="K226" t="s">
        <v>61</v>
      </c>
      <c r="L226">
        <v>186</v>
      </c>
      <c r="M226">
        <v>4</v>
      </c>
      <c r="N226" t="s">
        <v>32</v>
      </c>
      <c r="O226" t="s">
        <v>41</v>
      </c>
      <c r="P226" t="s">
        <v>34</v>
      </c>
      <c r="Q226" t="s">
        <v>28</v>
      </c>
      <c r="R226" s="2">
        <v>0.58888888888888891</v>
      </c>
    </row>
    <row r="227" spans="1:18" x14ac:dyDescent="0.25">
      <c r="A227" t="s">
        <v>2185</v>
      </c>
      <c r="B227" t="s">
        <v>686</v>
      </c>
      <c r="C227" s="1">
        <v>45171</v>
      </c>
      <c r="D227" s="1" t="str">
        <f>TEXT(Delivery_data[[#This Row],[Order date]], "MMMM")</f>
        <v>September</v>
      </c>
      <c r="E227" s="1" t="str">
        <f>TEXT(Delivery_data[[#This Row],[Order date]], "DDDD")</f>
        <v>Saturday</v>
      </c>
      <c r="F227" s="2">
        <v>0.68541666666666667</v>
      </c>
      <c r="G227" t="s">
        <v>22</v>
      </c>
      <c r="H227" t="str">
        <f>IF(Delivery_data[[#This Row],[Order Status]] = "In Progress", "Backlog", "Complete")</f>
        <v>Complete</v>
      </c>
      <c r="I227" t="s">
        <v>137</v>
      </c>
      <c r="J227" t="s">
        <v>1637</v>
      </c>
      <c r="K227" t="s">
        <v>37</v>
      </c>
      <c r="L227">
        <v>187</v>
      </c>
      <c r="M227">
        <v>2</v>
      </c>
      <c r="N227" t="s">
        <v>38</v>
      </c>
      <c r="O227" t="s">
        <v>50</v>
      </c>
      <c r="P227" t="s">
        <v>27</v>
      </c>
      <c r="Q227" t="s">
        <v>28</v>
      </c>
      <c r="R227" s="2">
        <v>0.54791666666666672</v>
      </c>
    </row>
    <row r="228" spans="1:18" x14ac:dyDescent="0.25">
      <c r="A228" t="s">
        <v>2196</v>
      </c>
      <c r="B228" t="s">
        <v>697</v>
      </c>
      <c r="C228" s="1">
        <v>45170</v>
      </c>
      <c r="D228" s="1" t="str">
        <f>TEXT(Delivery_data[[#This Row],[Order date]], "MMMM")</f>
        <v>September</v>
      </c>
      <c r="E228" s="1" t="str">
        <f>TEXT(Delivery_data[[#This Row],[Order date]], "DDDD")</f>
        <v>Friday</v>
      </c>
      <c r="F228" s="2">
        <v>0.39930555555555558</v>
      </c>
      <c r="G228" t="s">
        <v>48</v>
      </c>
      <c r="H228" t="str">
        <f>IF(Delivery_data[[#This Row],[Order Status]] = "In Progress", "Backlog", "Complete")</f>
        <v>Backlog</v>
      </c>
      <c r="I228" t="s">
        <v>137</v>
      </c>
      <c r="J228" t="s">
        <v>1631</v>
      </c>
      <c r="K228" t="s">
        <v>61</v>
      </c>
      <c r="L228">
        <v>210</v>
      </c>
      <c r="M228">
        <v>1</v>
      </c>
      <c r="N228" t="s">
        <v>25</v>
      </c>
      <c r="O228" t="s">
        <v>26</v>
      </c>
      <c r="P228" t="s">
        <v>27</v>
      </c>
      <c r="Q228" t="s">
        <v>51</v>
      </c>
      <c r="R228" s="2">
        <v>0.44236111111111109</v>
      </c>
    </row>
    <row r="229" spans="1:18" x14ac:dyDescent="0.25">
      <c r="A229" t="s">
        <v>2262</v>
      </c>
      <c r="B229" t="s">
        <v>762</v>
      </c>
      <c r="C229" s="1">
        <v>45173</v>
      </c>
      <c r="D229" s="1" t="str">
        <f>TEXT(Delivery_data[[#This Row],[Order date]], "MMMM")</f>
        <v>September</v>
      </c>
      <c r="E229" s="1" t="str">
        <f>TEXT(Delivery_data[[#This Row],[Order date]], "DDDD")</f>
        <v>Monday</v>
      </c>
      <c r="F229" s="2">
        <v>0.63611111111111107</v>
      </c>
      <c r="G229" t="s">
        <v>48</v>
      </c>
      <c r="H229" t="str">
        <f>IF(Delivery_data[[#This Row],[Order Status]] = "In Progress", "Backlog", "Complete")</f>
        <v>Backlog</v>
      </c>
      <c r="I229" t="s">
        <v>137</v>
      </c>
      <c r="J229" t="s">
        <v>1631</v>
      </c>
      <c r="K229" t="s">
        <v>61</v>
      </c>
      <c r="L229">
        <v>133</v>
      </c>
      <c r="M229">
        <v>16</v>
      </c>
      <c r="N229" t="s">
        <v>25</v>
      </c>
      <c r="O229" t="s">
        <v>41</v>
      </c>
      <c r="P229" t="s">
        <v>45</v>
      </c>
      <c r="Q229" t="s">
        <v>28</v>
      </c>
      <c r="R229" s="2">
        <v>0.37708333333333333</v>
      </c>
    </row>
    <row r="230" spans="1:18" x14ac:dyDescent="0.25">
      <c r="A230" t="s">
        <v>2316</v>
      </c>
      <c r="B230" t="s">
        <v>814</v>
      </c>
      <c r="C230" s="1">
        <v>45175</v>
      </c>
      <c r="D230" s="1" t="str">
        <f>TEXT(Delivery_data[[#This Row],[Order date]], "MMMM")</f>
        <v>September</v>
      </c>
      <c r="E230" s="1" t="str">
        <f>TEXT(Delivery_data[[#This Row],[Order date]], "DDDD")</f>
        <v>Wednesday</v>
      </c>
      <c r="F230" s="2">
        <v>0.34513888888888888</v>
      </c>
      <c r="G230" t="s">
        <v>22</v>
      </c>
      <c r="H230" t="str">
        <f>IF(Delivery_data[[#This Row],[Order Status]] = "In Progress", "Backlog", "Complete")</f>
        <v>Complete</v>
      </c>
      <c r="I230" t="s">
        <v>137</v>
      </c>
      <c r="J230" t="s">
        <v>1631</v>
      </c>
      <c r="K230" t="s">
        <v>44</v>
      </c>
      <c r="L230">
        <v>82</v>
      </c>
      <c r="M230">
        <v>6</v>
      </c>
      <c r="N230" t="s">
        <v>25</v>
      </c>
      <c r="O230" t="s">
        <v>41</v>
      </c>
      <c r="P230" t="s">
        <v>27</v>
      </c>
      <c r="Q230" t="s">
        <v>51</v>
      </c>
      <c r="R230" s="2">
        <v>0.56180555555555556</v>
      </c>
    </row>
    <row r="231" spans="1:18" x14ac:dyDescent="0.25">
      <c r="A231" t="s">
        <v>2394</v>
      </c>
      <c r="B231" t="s">
        <v>890</v>
      </c>
      <c r="C231" s="1">
        <v>45173</v>
      </c>
      <c r="D231" s="1" t="str">
        <f>TEXT(Delivery_data[[#This Row],[Order date]], "MMMM")</f>
        <v>September</v>
      </c>
      <c r="E231" s="1" t="str">
        <f>TEXT(Delivery_data[[#This Row],[Order date]], "DDDD")</f>
        <v>Monday</v>
      </c>
      <c r="F231" s="2">
        <v>0.34097222222222223</v>
      </c>
      <c r="G231" t="s">
        <v>22</v>
      </c>
      <c r="H231" t="str">
        <f>IF(Delivery_data[[#This Row],[Order Status]] = "In Progress", "Backlog", "Complete")</f>
        <v>Complete</v>
      </c>
      <c r="I231" t="s">
        <v>137</v>
      </c>
      <c r="J231" t="s">
        <v>1633</v>
      </c>
      <c r="K231" t="s">
        <v>37</v>
      </c>
      <c r="L231">
        <v>211</v>
      </c>
      <c r="M231">
        <v>26</v>
      </c>
      <c r="N231" t="s">
        <v>38</v>
      </c>
      <c r="O231" t="s">
        <v>50</v>
      </c>
      <c r="P231" t="s">
        <v>45</v>
      </c>
      <c r="Q231" t="s">
        <v>46</v>
      </c>
      <c r="R231" s="2">
        <v>0.7055555555555556</v>
      </c>
    </row>
    <row r="232" spans="1:18" x14ac:dyDescent="0.25">
      <c r="A232" t="s">
        <v>2464</v>
      </c>
      <c r="B232" t="s">
        <v>956</v>
      </c>
      <c r="C232" s="1">
        <v>45174</v>
      </c>
      <c r="D232" s="1" t="str">
        <f>TEXT(Delivery_data[[#This Row],[Order date]], "MMMM")</f>
        <v>September</v>
      </c>
      <c r="E232" s="1" t="str">
        <f>TEXT(Delivery_data[[#This Row],[Order date]], "DDDD")</f>
        <v>Tuesday</v>
      </c>
      <c r="F232" s="2">
        <v>0.46875</v>
      </c>
      <c r="G232" t="s">
        <v>22</v>
      </c>
      <c r="H232" t="str">
        <f>IF(Delivery_data[[#This Row],[Order Status]] = "In Progress", "Backlog", "Complete")</f>
        <v>Complete</v>
      </c>
      <c r="I232" t="s">
        <v>137</v>
      </c>
      <c r="J232" t="s">
        <v>1631</v>
      </c>
      <c r="K232" t="s">
        <v>61</v>
      </c>
      <c r="L232">
        <v>171</v>
      </c>
      <c r="M232">
        <v>28</v>
      </c>
      <c r="N232" t="s">
        <v>32</v>
      </c>
      <c r="O232" t="s">
        <v>33</v>
      </c>
      <c r="P232" t="s">
        <v>45</v>
      </c>
      <c r="Q232" t="s">
        <v>28</v>
      </c>
      <c r="R232" s="2">
        <v>0.5756944444444444</v>
      </c>
    </row>
    <row r="233" spans="1:18" x14ac:dyDescent="0.25">
      <c r="A233" t="s">
        <v>2561</v>
      </c>
      <c r="B233" t="s">
        <v>1046</v>
      </c>
      <c r="C233" s="1">
        <v>45172</v>
      </c>
      <c r="D233" s="1" t="str">
        <f>TEXT(Delivery_data[[#This Row],[Order date]], "MMMM")</f>
        <v>September</v>
      </c>
      <c r="E233" s="1" t="str">
        <f>TEXT(Delivery_data[[#This Row],[Order date]], "DDDD")</f>
        <v>Sunday</v>
      </c>
      <c r="F233" s="2">
        <v>0.69652777777777775</v>
      </c>
      <c r="G233" t="s">
        <v>22</v>
      </c>
      <c r="H233" t="str">
        <f>IF(Delivery_data[[#This Row],[Order Status]] = "In Progress", "Backlog", "Complete")</f>
        <v>Complete</v>
      </c>
      <c r="I233" t="s">
        <v>137</v>
      </c>
      <c r="J233" t="s">
        <v>1637</v>
      </c>
      <c r="K233" t="s">
        <v>31</v>
      </c>
      <c r="L233">
        <v>95</v>
      </c>
      <c r="M233">
        <v>13</v>
      </c>
      <c r="N233" t="s">
        <v>38</v>
      </c>
      <c r="O233" t="s">
        <v>41</v>
      </c>
      <c r="P233" t="s">
        <v>34</v>
      </c>
      <c r="Q233" t="s">
        <v>51</v>
      </c>
      <c r="R233" s="2">
        <v>0.61805555555555558</v>
      </c>
    </row>
    <row r="234" spans="1:18" x14ac:dyDescent="0.25">
      <c r="A234" t="s">
        <v>2710</v>
      </c>
      <c r="B234" t="s">
        <v>1191</v>
      </c>
      <c r="C234" s="1">
        <v>45174</v>
      </c>
      <c r="D234" s="1" t="str">
        <f>TEXT(Delivery_data[[#This Row],[Order date]], "MMMM")</f>
        <v>September</v>
      </c>
      <c r="E234" s="1" t="str">
        <f>TEXT(Delivery_data[[#This Row],[Order date]], "DDDD")</f>
        <v>Tuesday</v>
      </c>
      <c r="F234" s="2">
        <v>0.50763888888888886</v>
      </c>
      <c r="G234" t="s">
        <v>22</v>
      </c>
      <c r="H234" t="str">
        <f>IF(Delivery_data[[#This Row],[Order Status]] = "In Progress", "Backlog", "Complete")</f>
        <v>Complete</v>
      </c>
      <c r="I234" t="s">
        <v>137</v>
      </c>
      <c r="J234" t="s">
        <v>1633</v>
      </c>
      <c r="K234" t="s">
        <v>24</v>
      </c>
      <c r="L234">
        <v>91</v>
      </c>
      <c r="M234">
        <v>4</v>
      </c>
      <c r="N234" t="s">
        <v>32</v>
      </c>
      <c r="O234" t="s">
        <v>50</v>
      </c>
      <c r="P234" t="s">
        <v>27</v>
      </c>
      <c r="Q234" t="s">
        <v>51</v>
      </c>
      <c r="R234" s="2">
        <v>0.44583333333333336</v>
      </c>
    </row>
    <row r="235" spans="1:18" x14ac:dyDescent="0.25">
      <c r="A235" t="s">
        <v>2755</v>
      </c>
      <c r="B235" t="s">
        <v>1234</v>
      </c>
      <c r="C235" s="1">
        <v>45172</v>
      </c>
      <c r="D235" s="1" t="str">
        <f>TEXT(Delivery_data[[#This Row],[Order date]], "MMMM")</f>
        <v>September</v>
      </c>
      <c r="E235" s="1" t="str">
        <f>TEXT(Delivery_data[[#This Row],[Order date]], "DDDD")</f>
        <v>Sunday</v>
      </c>
      <c r="F235" s="2">
        <v>0.44583333333333336</v>
      </c>
      <c r="G235" t="s">
        <v>22</v>
      </c>
      <c r="H235" t="str">
        <f>IF(Delivery_data[[#This Row],[Order Status]] = "In Progress", "Backlog", "Complete")</f>
        <v>Complete</v>
      </c>
      <c r="I235" t="s">
        <v>137</v>
      </c>
      <c r="J235" t="s">
        <v>1631</v>
      </c>
      <c r="K235" t="s">
        <v>61</v>
      </c>
      <c r="L235">
        <v>117</v>
      </c>
      <c r="M235">
        <v>6</v>
      </c>
      <c r="N235" t="s">
        <v>38</v>
      </c>
      <c r="O235" t="s">
        <v>54</v>
      </c>
      <c r="P235" t="s">
        <v>27</v>
      </c>
      <c r="Q235" t="s">
        <v>46</v>
      </c>
      <c r="R235" s="2">
        <v>0.51666666666666672</v>
      </c>
    </row>
    <row r="236" spans="1:18" x14ac:dyDescent="0.25">
      <c r="A236" t="s">
        <v>2828</v>
      </c>
      <c r="B236" t="s">
        <v>1304</v>
      </c>
      <c r="C236" s="1">
        <v>45170</v>
      </c>
      <c r="D236" s="1" t="str">
        <f>TEXT(Delivery_data[[#This Row],[Order date]], "MMMM")</f>
        <v>September</v>
      </c>
      <c r="E236" s="1" t="str">
        <f>TEXT(Delivery_data[[#This Row],[Order date]], "DDDD")</f>
        <v>Friday</v>
      </c>
      <c r="F236" s="2">
        <v>0.52708333333333335</v>
      </c>
      <c r="G236" t="s">
        <v>48</v>
      </c>
      <c r="H236" t="str">
        <f>IF(Delivery_data[[#This Row],[Order Status]] = "In Progress", "Backlog", "Complete")</f>
        <v>Backlog</v>
      </c>
      <c r="I236" t="s">
        <v>137</v>
      </c>
      <c r="J236" t="s">
        <v>1631</v>
      </c>
      <c r="K236" t="s">
        <v>37</v>
      </c>
      <c r="L236">
        <v>183</v>
      </c>
      <c r="M236">
        <v>2</v>
      </c>
      <c r="N236" t="s">
        <v>32</v>
      </c>
      <c r="O236" t="s">
        <v>54</v>
      </c>
      <c r="P236" t="s">
        <v>27</v>
      </c>
      <c r="Q236" t="s">
        <v>51</v>
      </c>
      <c r="R236" s="2">
        <v>0.43402777777777779</v>
      </c>
    </row>
    <row r="237" spans="1:18" x14ac:dyDescent="0.25">
      <c r="A237" t="s">
        <v>2838</v>
      </c>
      <c r="B237" t="s">
        <v>1314</v>
      </c>
      <c r="C237" s="1">
        <v>45172</v>
      </c>
      <c r="D237" s="1" t="str">
        <f>TEXT(Delivery_data[[#This Row],[Order date]], "MMMM")</f>
        <v>September</v>
      </c>
      <c r="E237" s="1" t="str">
        <f>TEXT(Delivery_data[[#This Row],[Order date]], "DDDD")</f>
        <v>Sunday</v>
      </c>
      <c r="F237" s="2">
        <v>0.56527777777777777</v>
      </c>
      <c r="G237" t="s">
        <v>48</v>
      </c>
      <c r="H237" t="str">
        <f>IF(Delivery_data[[#This Row],[Order Status]] = "In Progress", "Backlog", "Complete")</f>
        <v>Backlog</v>
      </c>
      <c r="I237" t="s">
        <v>137</v>
      </c>
      <c r="J237" t="s">
        <v>1631</v>
      </c>
      <c r="K237" t="s">
        <v>24</v>
      </c>
      <c r="L237">
        <v>94</v>
      </c>
      <c r="M237">
        <v>24</v>
      </c>
      <c r="N237" t="s">
        <v>38</v>
      </c>
      <c r="O237" t="s">
        <v>33</v>
      </c>
      <c r="P237" t="s">
        <v>45</v>
      </c>
      <c r="Q237" t="s">
        <v>51</v>
      </c>
      <c r="R237" s="2">
        <v>0.68611111111111112</v>
      </c>
    </row>
    <row r="238" spans="1:18" x14ac:dyDescent="0.25">
      <c r="A238" t="s">
        <v>2896</v>
      </c>
      <c r="B238" t="s">
        <v>1369</v>
      </c>
      <c r="C238" s="1">
        <v>45173</v>
      </c>
      <c r="D238" s="1" t="str">
        <f>TEXT(Delivery_data[[#This Row],[Order date]], "MMMM")</f>
        <v>September</v>
      </c>
      <c r="E238" s="1" t="str">
        <f>TEXT(Delivery_data[[#This Row],[Order date]], "DDDD")</f>
        <v>Monday</v>
      </c>
      <c r="F238" s="2">
        <v>0.33611111111111114</v>
      </c>
      <c r="G238" t="s">
        <v>22</v>
      </c>
      <c r="H238" t="str">
        <f>IF(Delivery_data[[#This Row],[Order Status]] = "In Progress", "Backlog", "Complete")</f>
        <v>Complete</v>
      </c>
      <c r="I238" t="s">
        <v>137</v>
      </c>
      <c r="J238" t="s">
        <v>1633</v>
      </c>
      <c r="K238" t="s">
        <v>44</v>
      </c>
      <c r="L238">
        <v>235</v>
      </c>
      <c r="M238">
        <v>11</v>
      </c>
      <c r="N238" t="s">
        <v>32</v>
      </c>
      <c r="O238" t="s">
        <v>50</v>
      </c>
      <c r="P238" t="s">
        <v>45</v>
      </c>
      <c r="Q238" t="s">
        <v>51</v>
      </c>
      <c r="R238" s="2">
        <v>0.45902777777777776</v>
      </c>
    </row>
    <row r="239" spans="1:18" x14ac:dyDescent="0.25">
      <c r="A239" t="s">
        <v>2924</v>
      </c>
      <c r="B239" t="s">
        <v>1397</v>
      </c>
      <c r="C239" s="1">
        <v>45177</v>
      </c>
      <c r="D239" s="1" t="str">
        <f>TEXT(Delivery_data[[#This Row],[Order date]], "MMMM")</f>
        <v>September</v>
      </c>
      <c r="E239" s="1" t="str">
        <f>TEXT(Delivery_data[[#This Row],[Order date]], "DDDD")</f>
        <v>Friday</v>
      </c>
      <c r="F239" s="2">
        <v>0.36666666666666664</v>
      </c>
      <c r="G239" t="s">
        <v>48</v>
      </c>
      <c r="H239" t="str">
        <f>IF(Delivery_data[[#This Row],[Order Status]] = "In Progress", "Backlog", "Complete")</f>
        <v>Backlog</v>
      </c>
      <c r="I239" t="s">
        <v>137</v>
      </c>
      <c r="J239" t="s">
        <v>1631</v>
      </c>
      <c r="K239" t="s">
        <v>44</v>
      </c>
      <c r="L239">
        <v>191</v>
      </c>
      <c r="M239">
        <v>19</v>
      </c>
      <c r="N239" t="s">
        <v>25</v>
      </c>
      <c r="O239" t="s">
        <v>33</v>
      </c>
      <c r="P239" t="s">
        <v>45</v>
      </c>
      <c r="Q239" t="s">
        <v>46</v>
      </c>
      <c r="R239" s="2">
        <v>0.6333333333333333</v>
      </c>
    </row>
    <row r="240" spans="1:18" x14ac:dyDescent="0.25">
      <c r="A240" t="s">
        <v>2931</v>
      </c>
      <c r="B240" t="s">
        <v>1404</v>
      </c>
      <c r="C240" s="1">
        <v>45177</v>
      </c>
      <c r="D240" s="1" t="str">
        <f>TEXT(Delivery_data[[#This Row],[Order date]], "MMMM")</f>
        <v>September</v>
      </c>
      <c r="E240" s="1" t="str">
        <f>TEXT(Delivery_data[[#This Row],[Order date]], "DDDD")</f>
        <v>Friday</v>
      </c>
      <c r="F240" s="2">
        <v>0.66666666666666663</v>
      </c>
      <c r="G240" t="s">
        <v>48</v>
      </c>
      <c r="H240" t="str">
        <f>IF(Delivery_data[[#This Row],[Order Status]] = "In Progress", "Backlog", "Complete")</f>
        <v>Backlog</v>
      </c>
      <c r="I240" t="s">
        <v>137</v>
      </c>
      <c r="J240" t="s">
        <v>1637</v>
      </c>
      <c r="K240" t="s">
        <v>44</v>
      </c>
      <c r="L240">
        <v>153</v>
      </c>
      <c r="M240">
        <v>6</v>
      </c>
      <c r="N240" t="s">
        <v>25</v>
      </c>
      <c r="O240" t="s">
        <v>41</v>
      </c>
      <c r="P240" t="s">
        <v>34</v>
      </c>
      <c r="Q240" t="s">
        <v>46</v>
      </c>
      <c r="R240" s="2">
        <v>0.44722222222222224</v>
      </c>
    </row>
    <row r="241" spans="1:18" x14ac:dyDescent="0.25">
      <c r="A241" t="s">
        <v>3104</v>
      </c>
      <c r="B241" t="s">
        <v>1570</v>
      </c>
      <c r="C241" s="1">
        <v>45175</v>
      </c>
      <c r="D241" s="1" t="str">
        <f>TEXT(Delivery_data[[#This Row],[Order date]], "MMMM")</f>
        <v>September</v>
      </c>
      <c r="E241" s="1" t="str">
        <f>TEXT(Delivery_data[[#This Row],[Order date]], "DDDD")</f>
        <v>Wednesday</v>
      </c>
      <c r="F241" s="2">
        <v>0.50555555555555554</v>
      </c>
      <c r="G241" t="s">
        <v>22</v>
      </c>
      <c r="H241" t="str">
        <f>IF(Delivery_data[[#This Row],[Order Status]] = "In Progress", "Backlog", "Complete")</f>
        <v>Complete</v>
      </c>
      <c r="I241" t="s">
        <v>137</v>
      </c>
      <c r="J241" t="s">
        <v>1631</v>
      </c>
      <c r="K241" t="s">
        <v>31</v>
      </c>
      <c r="L241">
        <v>169</v>
      </c>
      <c r="M241">
        <v>26</v>
      </c>
      <c r="N241" t="s">
        <v>25</v>
      </c>
      <c r="O241" t="s">
        <v>41</v>
      </c>
      <c r="P241" t="s">
        <v>27</v>
      </c>
      <c r="Q241" t="s">
        <v>46</v>
      </c>
      <c r="R241" s="2">
        <v>0.67152777777777772</v>
      </c>
    </row>
    <row r="242" spans="1:18" x14ac:dyDescent="0.25">
      <c r="A242" t="s">
        <v>1878</v>
      </c>
      <c r="B242" t="s">
        <v>378</v>
      </c>
      <c r="C242" s="1">
        <v>45176</v>
      </c>
      <c r="D242" s="1" t="str">
        <f>TEXT(Delivery_data[[#This Row],[Order date]], "MMMM")</f>
        <v>September</v>
      </c>
      <c r="E242" s="1" t="str">
        <f>TEXT(Delivery_data[[#This Row],[Order date]], "DDDD")</f>
        <v>Thursday</v>
      </c>
      <c r="F242" s="2">
        <v>0.66805555555555551</v>
      </c>
      <c r="G242" t="s">
        <v>22</v>
      </c>
      <c r="H242" t="str">
        <f>IF(Delivery_data[[#This Row],[Order Status]] = "In Progress", "Backlog", "Complete")</f>
        <v>Complete</v>
      </c>
      <c r="I242" t="s">
        <v>379</v>
      </c>
      <c r="J242" t="s">
        <v>1633</v>
      </c>
      <c r="K242" t="s">
        <v>31</v>
      </c>
      <c r="L242">
        <v>66</v>
      </c>
      <c r="M242">
        <v>21</v>
      </c>
      <c r="N242" t="s">
        <v>38</v>
      </c>
      <c r="O242" t="s">
        <v>41</v>
      </c>
      <c r="P242" t="s">
        <v>45</v>
      </c>
      <c r="Q242" t="s">
        <v>46</v>
      </c>
      <c r="R242" s="2">
        <v>0.46250000000000002</v>
      </c>
    </row>
    <row r="243" spans="1:18" x14ac:dyDescent="0.25">
      <c r="A243" t="s">
        <v>1920</v>
      </c>
      <c r="B243" t="s">
        <v>423</v>
      </c>
      <c r="C243" s="1">
        <v>45172</v>
      </c>
      <c r="D243" s="1" t="str">
        <f>TEXT(Delivery_data[[#This Row],[Order date]], "MMMM")</f>
        <v>September</v>
      </c>
      <c r="E243" s="1" t="str">
        <f>TEXT(Delivery_data[[#This Row],[Order date]], "DDDD")</f>
        <v>Sunday</v>
      </c>
      <c r="F243" s="2">
        <v>0.46805555555555556</v>
      </c>
      <c r="G243" t="s">
        <v>48</v>
      </c>
      <c r="H243" t="str">
        <f>IF(Delivery_data[[#This Row],[Order Status]] = "In Progress", "Backlog", "Complete")</f>
        <v>Backlog</v>
      </c>
      <c r="I243" t="s">
        <v>379</v>
      </c>
      <c r="J243" t="s">
        <v>1631</v>
      </c>
      <c r="K243" t="s">
        <v>61</v>
      </c>
      <c r="L243">
        <v>125</v>
      </c>
      <c r="M243">
        <v>24</v>
      </c>
      <c r="N243" t="s">
        <v>38</v>
      </c>
      <c r="O243" t="s">
        <v>26</v>
      </c>
      <c r="P243" t="s">
        <v>34</v>
      </c>
      <c r="Q243" t="s">
        <v>28</v>
      </c>
      <c r="R243" s="2">
        <v>0.5</v>
      </c>
    </row>
    <row r="244" spans="1:18" x14ac:dyDescent="0.25">
      <c r="A244" t="s">
        <v>1928</v>
      </c>
      <c r="B244" t="s">
        <v>431</v>
      </c>
      <c r="C244" s="1">
        <v>45172</v>
      </c>
      <c r="D244" s="1" t="str">
        <f>TEXT(Delivery_data[[#This Row],[Order date]], "MMMM")</f>
        <v>September</v>
      </c>
      <c r="E244" s="1" t="str">
        <f>TEXT(Delivery_data[[#This Row],[Order date]], "DDDD")</f>
        <v>Sunday</v>
      </c>
      <c r="F244" s="2">
        <v>0.70416666666666672</v>
      </c>
      <c r="G244" t="s">
        <v>22</v>
      </c>
      <c r="H244" t="str">
        <f>IF(Delivery_data[[#This Row],[Order Status]] = "In Progress", "Backlog", "Complete")</f>
        <v>Complete</v>
      </c>
      <c r="I244" t="s">
        <v>379</v>
      </c>
      <c r="J244" t="s">
        <v>1633</v>
      </c>
      <c r="K244" t="s">
        <v>24</v>
      </c>
      <c r="L244">
        <v>177</v>
      </c>
      <c r="M244">
        <v>25</v>
      </c>
      <c r="N244" t="s">
        <v>32</v>
      </c>
      <c r="O244" t="s">
        <v>33</v>
      </c>
      <c r="P244" t="s">
        <v>27</v>
      </c>
      <c r="Q244" t="s">
        <v>51</v>
      </c>
      <c r="R244" s="2">
        <v>0.46388888888888891</v>
      </c>
    </row>
    <row r="245" spans="1:18" x14ac:dyDescent="0.25">
      <c r="A245" t="s">
        <v>2242</v>
      </c>
      <c r="B245" t="s">
        <v>742</v>
      </c>
      <c r="C245" s="1">
        <v>45176</v>
      </c>
      <c r="D245" s="1" t="str">
        <f>TEXT(Delivery_data[[#This Row],[Order date]], "MMMM")</f>
        <v>September</v>
      </c>
      <c r="E245" s="1" t="str">
        <f>TEXT(Delivery_data[[#This Row],[Order date]], "DDDD")</f>
        <v>Thursday</v>
      </c>
      <c r="F245" s="2">
        <v>0.62777777777777777</v>
      </c>
      <c r="G245" t="s">
        <v>48</v>
      </c>
      <c r="H245" t="str">
        <f>IF(Delivery_data[[#This Row],[Order Status]] = "In Progress", "Backlog", "Complete")</f>
        <v>Backlog</v>
      </c>
      <c r="I245" t="s">
        <v>379</v>
      </c>
      <c r="J245" t="s">
        <v>1633</v>
      </c>
      <c r="K245" t="s">
        <v>61</v>
      </c>
      <c r="L245">
        <v>163</v>
      </c>
      <c r="M245">
        <v>19</v>
      </c>
      <c r="N245" t="s">
        <v>38</v>
      </c>
      <c r="O245" t="s">
        <v>26</v>
      </c>
      <c r="P245" t="s">
        <v>27</v>
      </c>
      <c r="Q245" t="s">
        <v>51</v>
      </c>
      <c r="R245" s="2">
        <v>0.41041666666666665</v>
      </c>
    </row>
    <row r="246" spans="1:18" x14ac:dyDescent="0.25">
      <c r="A246" t="s">
        <v>2310</v>
      </c>
      <c r="B246" t="s">
        <v>808</v>
      </c>
      <c r="C246" s="1">
        <v>45175</v>
      </c>
      <c r="D246" s="1" t="str">
        <f>TEXT(Delivery_data[[#This Row],[Order date]], "MMMM")</f>
        <v>September</v>
      </c>
      <c r="E246" s="1" t="str">
        <f>TEXT(Delivery_data[[#This Row],[Order date]], "DDDD")</f>
        <v>Wednesday</v>
      </c>
      <c r="F246" s="2">
        <v>0.57291666666666663</v>
      </c>
      <c r="G246" t="s">
        <v>48</v>
      </c>
      <c r="H246" t="str">
        <f>IF(Delivery_data[[#This Row],[Order Status]] = "In Progress", "Backlog", "Complete")</f>
        <v>Backlog</v>
      </c>
      <c r="I246" t="s">
        <v>379</v>
      </c>
      <c r="J246" t="s">
        <v>1637</v>
      </c>
      <c r="K246" t="s">
        <v>61</v>
      </c>
      <c r="L246">
        <v>99</v>
      </c>
      <c r="M246">
        <v>17</v>
      </c>
      <c r="N246" t="s">
        <v>25</v>
      </c>
      <c r="O246" t="s">
        <v>54</v>
      </c>
      <c r="P246" t="s">
        <v>34</v>
      </c>
      <c r="Q246" t="s">
        <v>28</v>
      </c>
      <c r="R246" s="2">
        <v>0.40833333333333333</v>
      </c>
    </row>
    <row r="247" spans="1:18" x14ac:dyDescent="0.25">
      <c r="A247" t="s">
        <v>2359</v>
      </c>
      <c r="B247" t="s">
        <v>856</v>
      </c>
      <c r="C247" s="1">
        <v>45177</v>
      </c>
      <c r="D247" s="1" t="str">
        <f>TEXT(Delivery_data[[#This Row],[Order date]], "MMMM")</f>
        <v>September</v>
      </c>
      <c r="E247" s="1" t="str">
        <f>TEXT(Delivery_data[[#This Row],[Order date]], "DDDD")</f>
        <v>Friday</v>
      </c>
      <c r="F247" s="2">
        <v>0.63958333333333328</v>
      </c>
      <c r="G247" t="s">
        <v>48</v>
      </c>
      <c r="H247" t="str">
        <f>IF(Delivery_data[[#This Row],[Order Status]] = "In Progress", "Backlog", "Complete")</f>
        <v>Backlog</v>
      </c>
      <c r="I247" t="s">
        <v>379</v>
      </c>
      <c r="J247" t="s">
        <v>1631</v>
      </c>
      <c r="K247" t="s">
        <v>24</v>
      </c>
      <c r="L247">
        <v>237</v>
      </c>
      <c r="M247">
        <v>19</v>
      </c>
      <c r="N247" t="s">
        <v>32</v>
      </c>
      <c r="O247" t="s">
        <v>50</v>
      </c>
      <c r="P247" t="s">
        <v>34</v>
      </c>
      <c r="Q247" t="s">
        <v>28</v>
      </c>
      <c r="R247" s="2">
        <v>0.38541666666666669</v>
      </c>
    </row>
    <row r="248" spans="1:18" x14ac:dyDescent="0.25">
      <c r="A248" t="s">
        <v>2369</v>
      </c>
      <c r="B248" t="s">
        <v>866</v>
      </c>
      <c r="C248" s="1">
        <v>45172</v>
      </c>
      <c r="D248" s="1" t="str">
        <f>TEXT(Delivery_data[[#This Row],[Order date]], "MMMM")</f>
        <v>September</v>
      </c>
      <c r="E248" s="1" t="str">
        <f>TEXT(Delivery_data[[#This Row],[Order date]], "DDDD")</f>
        <v>Sunday</v>
      </c>
      <c r="F248" s="2">
        <v>0.36388888888888887</v>
      </c>
      <c r="G248" t="s">
        <v>48</v>
      </c>
      <c r="H248" t="str">
        <f>IF(Delivery_data[[#This Row],[Order Status]] = "In Progress", "Backlog", "Complete")</f>
        <v>Backlog</v>
      </c>
      <c r="I248" t="s">
        <v>379</v>
      </c>
      <c r="J248" t="s">
        <v>1633</v>
      </c>
      <c r="K248" t="s">
        <v>44</v>
      </c>
      <c r="L248">
        <v>232</v>
      </c>
      <c r="M248">
        <v>19</v>
      </c>
      <c r="N248" t="s">
        <v>32</v>
      </c>
      <c r="O248" t="s">
        <v>54</v>
      </c>
      <c r="P248" t="s">
        <v>27</v>
      </c>
      <c r="Q248" t="s">
        <v>46</v>
      </c>
      <c r="R248" s="2">
        <v>0.48888888888888887</v>
      </c>
    </row>
    <row r="249" spans="1:18" x14ac:dyDescent="0.25">
      <c r="A249" t="s">
        <v>2506</v>
      </c>
      <c r="B249" t="s">
        <v>995</v>
      </c>
      <c r="C249" s="1">
        <v>45173</v>
      </c>
      <c r="D249" s="1" t="str">
        <f>TEXT(Delivery_data[[#This Row],[Order date]], "MMMM")</f>
        <v>September</v>
      </c>
      <c r="E249" s="1" t="str">
        <f>TEXT(Delivery_data[[#This Row],[Order date]], "DDDD")</f>
        <v>Monday</v>
      </c>
      <c r="F249" s="2">
        <v>0.54861111111111116</v>
      </c>
      <c r="G249" t="s">
        <v>48</v>
      </c>
      <c r="H249" t="str">
        <f>IF(Delivery_data[[#This Row],[Order Status]] = "In Progress", "Backlog", "Complete")</f>
        <v>Backlog</v>
      </c>
      <c r="I249" t="s">
        <v>379</v>
      </c>
      <c r="J249" t="s">
        <v>1633</v>
      </c>
      <c r="K249" t="s">
        <v>61</v>
      </c>
      <c r="L249">
        <v>227</v>
      </c>
      <c r="M249">
        <v>28</v>
      </c>
      <c r="N249" t="s">
        <v>32</v>
      </c>
      <c r="O249" t="s">
        <v>33</v>
      </c>
      <c r="P249" t="s">
        <v>45</v>
      </c>
      <c r="Q249" t="s">
        <v>28</v>
      </c>
      <c r="R249" s="2">
        <v>0.50138888888888888</v>
      </c>
    </row>
    <row r="250" spans="1:18" x14ac:dyDescent="0.25">
      <c r="A250" t="s">
        <v>2538</v>
      </c>
      <c r="B250" t="s">
        <v>1026</v>
      </c>
      <c r="C250" s="1">
        <v>45170</v>
      </c>
      <c r="D250" s="1" t="str">
        <f>TEXT(Delivery_data[[#This Row],[Order date]], "MMMM")</f>
        <v>September</v>
      </c>
      <c r="E250" s="1" t="str">
        <f>TEXT(Delivery_data[[#This Row],[Order date]], "DDDD")</f>
        <v>Friday</v>
      </c>
      <c r="F250" s="2">
        <v>0.45694444444444443</v>
      </c>
      <c r="G250" t="s">
        <v>48</v>
      </c>
      <c r="H250" t="str">
        <f>IF(Delivery_data[[#This Row],[Order Status]] = "In Progress", "Backlog", "Complete")</f>
        <v>Backlog</v>
      </c>
      <c r="I250" t="s">
        <v>379</v>
      </c>
      <c r="J250" t="s">
        <v>1633</v>
      </c>
      <c r="K250" t="s">
        <v>61</v>
      </c>
      <c r="L250">
        <v>77</v>
      </c>
      <c r="M250">
        <v>3</v>
      </c>
      <c r="N250" t="s">
        <v>38</v>
      </c>
      <c r="O250" t="s">
        <v>54</v>
      </c>
      <c r="P250" t="s">
        <v>34</v>
      </c>
      <c r="Q250" t="s">
        <v>51</v>
      </c>
      <c r="R250" s="2">
        <v>0.47569444444444442</v>
      </c>
    </row>
    <row r="251" spans="1:18" x14ac:dyDescent="0.25">
      <c r="A251" t="s">
        <v>2586</v>
      </c>
      <c r="B251" t="s">
        <v>1070</v>
      </c>
      <c r="C251" s="1">
        <v>45176</v>
      </c>
      <c r="D251" s="1" t="str">
        <f>TEXT(Delivery_data[[#This Row],[Order date]], "MMMM")</f>
        <v>September</v>
      </c>
      <c r="E251" s="1" t="str">
        <f>TEXT(Delivery_data[[#This Row],[Order date]], "DDDD")</f>
        <v>Thursday</v>
      </c>
      <c r="F251" s="2">
        <v>0.49236111111111114</v>
      </c>
      <c r="G251" t="s">
        <v>48</v>
      </c>
      <c r="H251" t="str">
        <f>IF(Delivery_data[[#This Row],[Order Status]] = "In Progress", "Backlog", "Complete")</f>
        <v>Backlog</v>
      </c>
      <c r="I251" t="s">
        <v>379</v>
      </c>
      <c r="J251" t="s">
        <v>1633</v>
      </c>
      <c r="K251" t="s">
        <v>24</v>
      </c>
      <c r="L251">
        <v>185</v>
      </c>
      <c r="M251">
        <v>14</v>
      </c>
      <c r="N251" t="s">
        <v>32</v>
      </c>
      <c r="O251" t="s">
        <v>50</v>
      </c>
      <c r="P251" t="s">
        <v>45</v>
      </c>
      <c r="Q251" t="s">
        <v>46</v>
      </c>
      <c r="R251" s="2">
        <v>0.34861111111111109</v>
      </c>
    </row>
    <row r="252" spans="1:18" x14ac:dyDescent="0.25">
      <c r="A252" t="s">
        <v>2588</v>
      </c>
      <c r="B252" t="s">
        <v>1072</v>
      </c>
      <c r="C252" s="1">
        <v>45174</v>
      </c>
      <c r="D252" s="1" t="str">
        <f>TEXT(Delivery_data[[#This Row],[Order date]], "MMMM")</f>
        <v>September</v>
      </c>
      <c r="E252" s="1" t="str">
        <f>TEXT(Delivery_data[[#This Row],[Order date]], "DDDD")</f>
        <v>Tuesday</v>
      </c>
      <c r="F252" s="2">
        <v>0.70138888888888884</v>
      </c>
      <c r="G252" t="s">
        <v>48</v>
      </c>
      <c r="H252" t="str">
        <f>IF(Delivery_data[[#This Row],[Order Status]] = "In Progress", "Backlog", "Complete")</f>
        <v>Backlog</v>
      </c>
      <c r="I252" t="s">
        <v>379</v>
      </c>
      <c r="J252" t="s">
        <v>1633</v>
      </c>
      <c r="K252" t="s">
        <v>61</v>
      </c>
      <c r="L252">
        <v>101</v>
      </c>
      <c r="M252">
        <v>26</v>
      </c>
      <c r="N252" t="s">
        <v>38</v>
      </c>
      <c r="O252" t="s">
        <v>41</v>
      </c>
      <c r="P252" t="s">
        <v>45</v>
      </c>
      <c r="Q252" t="s">
        <v>28</v>
      </c>
      <c r="R252" s="2">
        <v>0.53680555555555554</v>
      </c>
    </row>
    <row r="253" spans="1:18" x14ac:dyDescent="0.25">
      <c r="A253" t="s">
        <v>2735</v>
      </c>
      <c r="B253" t="s">
        <v>1215</v>
      </c>
      <c r="C253" s="1">
        <v>45170</v>
      </c>
      <c r="D253" s="1" t="str">
        <f>TEXT(Delivery_data[[#This Row],[Order date]], "MMMM")</f>
        <v>September</v>
      </c>
      <c r="E253" s="1" t="str">
        <f>TEXT(Delivery_data[[#This Row],[Order date]], "DDDD")</f>
        <v>Friday</v>
      </c>
      <c r="F253" s="2">
        <v>0.46736111111111112</v>
      </c>
      <c r="G253" t="s">
        <v>48</v>
      </c>
      <c r="H253" t="str">
        <f>IF(Delivery_data[[#This Row],[Order Status]] = "In Progress", "Backlog", "Complete")</f>
        <v>Backlog</v>
      </c>
      <c r="I253" t="s">
        <v>379</v>
      </c>
      <c r="J253" t="s">
        <v>1631</v>
      </c>
      <c r="K253" t="s">
        <v>44</v>
      </c>
      <c r="L253">
        <v>188</v>
      </c>
      <c r="M253">
        <v>1</v>
      </c>
      <c r="N253" t="s">
        <v>32</v>
      </c>
      <c r="O253" t="s">
        <v>41</v>
      </c>
      <c r="P253" t="s">
        <v>45</v>
      </c>
      <c r="Q253" t="s">
        <v>51</v>
      </c>
      <c r="R253" s="2">
        <v>0.49930555555555556</v>
      </c>
    </row>
    <row r="254" spans="1:18" x14ac:dyDescent="0.25">
      <c r="A254" t="s">
        <v>2800</v>
      </c>
      <c r="B254" t="s">
        <v>1277</v>
      </c>
      <c r="C254" s="1">
        <v>45177</v>
      </c>
      <c r="D254" s="1" t="str">
        <f>TEXT(Delivery_data[[#This Row],[Order date]], "MMMM")</f>
        <v>September</v>
      </c>
      <c r="E254" s="1" t="str">
        <f>TEXT(Delivery_data[[#This Row],[Order date]], "DDDD")</f>
        <v>Friday</v>
      </c>
      <c r="F254" s="2">
        <v>0.34513888888888888</v>
      </c>
      <c r="G254" t="s">
        <v>22</v>
      </c>
      <c r="H254" t="str">
        <f>IF(Delivery_data[[#This Row],[Order Status]] = "In Progress", "Backlog", "Complete")</f>
        <v>Complete</v>
      </c>
      <c r="I254" t="s">
        <v>379</v>
      </c>
      <c r="J254" t="s">
        <v>1631</v>
      </c>
      <c r="K254" t="s">
        <v>44</v>
      </c>
      <c r="L254">
        <v>138</v>
      </c>
      <c r="M254">
        <v>19</v>
      </c>
      <c r="N254" t="s">
        <v>25</v>
      </c>
      <c r="O254" t="s">
        <v>33</v>
      </c>
      <c r="P254" t="s">
        <v>34</v>
      </c>
      <c r="Q254" t="s">
        <v>28</v>
      </c>
      <c r="R254" s="2">
        <v>0.57430555555555551</v>
      </c>
    </row>
    <row r="255" spans="1:18" x14ac:dyDescent="0.25">
      <c r="A255" t="s">
        <v>2971</v>
      </c>
      <c r="B255" t="s">
        <v>1444</v>
      </c>
      <c r="C255" s="1">
        <v>45172</v>
      </c>
      <c r="D255" s="1" t="str">
        <f>TEXT(Delivery_data[[#This Row],[Order date]], "MMMM")</f>
        <v>September</v>
      </c>
      <c r="E255" s="1" t="str">
        <f>TEXT(Delivery_data[[#This Row],[Order date]], "DDDD")</f>
        <v>Sunday</v>
      </c>
      <c r="F255" s="2">
        <v>0.6875</v>
      </c>
      <c r="G255" t="s">
        <v>48</v>
      </c>
      <c r="H255" t="str">
        <f>IF(Delivery_data[[#This Row],[Order Status]] = "In Progress", "Backlog", "Complete")</f>
        <v>Backlog</v>
      </c>
      <c r="I255" t="s">
        <v>379</v>
      </c>
      <c r="J255" t="s">
        <v>1631</v>
      </c>
      <c r="K255" t="s">
        <v>31</v>
      </c>
      <c r="L255">
        <v>145</v>
      </c>
      <c r="M255">
        <v>19</v>
      </c>
      <c r="N255" t="s">
        <v>38</v>
      </c>
      <c r="O255" t="s">
        <v>26</v>
      </c>
      <c r="P255" t="s">
        <v>34</v>
      </c>
      <c r="Q255" t="s">
        <v>46</v>
      </c>
      <c r="R255" s="2">
        <v>0.61736111111111114</v>
      </c>
    </row>
    <row r="256" spans="1:18" x14ac:dyDescent="0.25">
      <c r="A256" t="s">
        <v>3006</v>
      </c>
      <c r="B256" t="s">
        <v>1477</v>
      </c>
      <c r="C256" s="1">
        <v>45174</v>
      </c>
      <c r="D256" s="1" t="str">
        <f>TEXT(Delivery_data[[#This Row],[Order date]], "MMMM")</f>
        <v>September</v>
      </c>
      <c r="E256" s="1" t="str">
        <f>TEXT(Delivery_data[[#This Row],[Order date]], "DDDD")</f>
        <v>Tuesday</v>
      </c>
      <c r="F256" s="2">
        <v>0.61736111111111114</v>
      </c>
      <c r="G256" t="s">
        <v>48</v>
      </c>
      <c r="H256" t="str">
        <f>IF(Delivery_data[[#This Row],[Order Status]] = "In Progress", "Backlog", "Complete")</f>
        <v>Backlog</v>
      </c>
      <c r="I256" t="s">
        <v>379</v>
      </c>
      <c r="J256" t="s">
        <v>1631</v>
      </c>
      <c r="K256" t="s">
        <v>44</v>
      </c>
      <c r="L256">
        <v>167</v>
      </c>
      <c r="M256">
        <v>7</v>
      </c>
      <c r="N256" t="s">
        <v>25</v>
      </c>
      <c r="O256" t="s">
        <v>50</v>
      </c>
      <c r="P256" t="s">
        <v>34</v>
      </c>
      <c r="Q256" t="s">
        <v>46</v>
      </c>
      <c r="R256" s="2">
        <v>0.73541666666666672</v>
      </c>
    </row>
    <row r="257" spans="1:18" x14ac:dyDescent="0.25">
      <c r="A257" t="s">
        <v>3019</v>
      </c>
      <c r="B257" t="s">
        <v>1490</v>
      </c>
      <c r="C257" s="1">
        <v>45171</v>
      </c>
      <c r="D257" s="1" t="str">
        <f>TEXT(Delivery_data[[#This Row],[Order date]], "MMMM")</f>
        <v>September</v>
      </c>
      <c r="E257" s="1" t="str">
        <f>TEXT(Delivery_data[[#This Row],[Order date]], "DDDD")</f>
        <v>Saturday</v>
      </c>
      <c r="F257" s="2">
        <v>0.55486111111111114</v>
      </c>
      <c r="G257" t="s">
        <v>48</v>
      </c>
      <c r="H257" t="str">
        <f>IF(Delivery_data[[#This Row],[Order Status]] = "In Progress", "Backlog", "Complete")</f>
        <v>Backlog</v>
      </c>
      <c r="I257" t="s">
        <v>379</v>
      </c>
      <c r="J257" t="s">
        <v>1633</v>
      </c>
      <c r="K257" t="s">
        <v>61</v>
      </c>
      <c r="L257">
        <v>151</v>
      </c>
      <c r="M257">
        <v>8</v>
      </c>
      <c r="N257" t="s">
        <v>25</v>
      </c>
      <c r="O257" t="s">
        <v>33</v>
      </c>
      <c r="P257" t="s">
        <v>27</v>
      </c>
      <c r="Q257" t="s">
        <v>46</v>
      </c>
      <c r="R257" s="2">
        <v>0.4465277777777778</v>
      </c>
    </row>
    <row r="258" spans="1:18" x14ac:dyDescent="0.25">
      <c r="A258" t="s">
        <v>1634</v>
      </c>
      <c r="B258" t="s">
        <v>35</v>
      </c>
      <c r="C258" s="1">
        <v>45170</v>
      </c>
      <c r="D258" s="1" t="str">
        <f>TEXT(Delivery_data[[#This Row],[Order date]], "MMMM")</f>
        <v>September</v>
      </c>
      <c r="E258" s="1" t="str">
        <f>TEXT(Delivery_data[[#This Row],[Order date]], "DDDD")</f>
        <v>Friday</v>
      </c>
      <c r="F258" s="2">
        <v>0.68055555555555558</v>
      </c>
      <c r="G258" t="s">
        <v>22</v>
      </c>
      <c r="H258" t="str">
        <f>IF(Delivery_data[[#This Row],[Order Status]] = "In Progress", "Backlog", "Complete")</f>
        <v>Complete</v>
      </c>
      <c r="I258" t="s">
        <v>36</v>
      </c>
      <c r="J258" t="s">
        <v>1633</v>
      </c>
      <c r="K258" t="s">
        <v>37</v>
      </c>
      <c r="L258">
        <v>192</v>
      </c>
      <c r="M258">
        <v>0</v>
      </c>
      <c r="N258" t="s">
        <v>38</v>
      </c>
      <c r="O258" t="s">
        <v>33</v>
      </c>
      <c r="P258" t="s">
        <v>27</v>
      </c>
      <c r="Q258" t="s">
        <v>28</v>
      </c>
      <c r="R258" s="2">
        <v>0.62638888888888888</v>
      </c>
    </row>
    <row r="259" spans="1:18" x14ac:dyDescent="0.25">
      <c r="A259" t="s">
        <v>1850</v>
      </c>
      <c r="B259" t="s">
        <v>349</v>
      </c>
      <c r="C259" s="1">
        <v>45174</v>
      </c>
      <c r="D259" s="1" t="str">
        <f>TEXT(Delivery_data[[#This Row],[Order date]], "MMMM")</f>
        <v>September</v>
      </c>
      <c r="E259" s="1" t="str">
        <f>TEXT(Delivery_data[[#This Row],[Order date]], "DDDD")</f>
        <v>Tuesday</v>
      </c>
      <c r="F259" s="2">
        <v>0.4548611111111111</v>
      </c>
      <c r="G259" t="s">
        <v>22</v>
      </c>
      <c r="H259" t="str">
        <f>IF(Delivery_data[[#This Row],[Order Status]] = "In Progress", "Backlog", "Complete")</f>
        <v>Complete</v>
      </c>
      <c r="I259" t="s">
        <v>36</v>
      </c>
      <c r="J259" t="s">
        <v>1637</v>
      </c>
      <c r="K259" t="s">
        <v>37</v>
      </c>
      <c r="L259">
        <v>164</v>
      </c>
      <c r="M259">
        <v>6</v>
      </c>
      <c r="N259" t="s">
        <v>38</v>
      </c>
      <c r="O259" t="s">
        <v>50</v>
      </c>
      <c r="P259" t="s">
        <v>34</v>
      </c>
      <c r="Q259" t="s">
        <v>51</v>
      </c>
      <c r="R259" s="2">
        <v>0.55000000000000004</v>
      </c>
    </row>
    <row r="260" spans="1:18" x14ac:dyDescent="0.25">
      <c r="A260" t="s">
        <v>1976</v>
      </c>
      <c r="B260" t="s">
        <v>481</v>
      </c>
      <c r="C260" s="1">
        <v>45175</v>
      </c>
      <c r="D260" s="1" t="str">
        <f>TEXT(Delivery_data[[#This Row],[Order date]], "MMMM")</f>
        <v>September</v>
      </c>
      <c r="E260" s="1" t="str">
        <f>TEXT(Delivery_data[[#This Row],[Order date]], "DDDD")</f>
        <v>Wednesday</v>
      </c>
      <c r="F260" s="2">
        <v>0.44097222222222221</v>
      </c>
      <c r="G260" t="s">
        <v>48</v>
      </c>
      <c r="H260" t="str">
        <f>IF(Delivery_data[[#This Row],[Order Status]] = "In Progress", "Backlog", "Complete")</f>
        <v>Backlog</v>
      </c>
      <c r="I260" t="s">
        <v>36</v>
      </c>
      <c r="J260" t="s">
        <v>1633</v>
      </c>
      <c r="K260" t="s">
        <v>31</v>
      </c>
      <c r="L260">
        <v>156</v>
      </c>
      <c r="M260">
        <v>15</v>
      </c>
      <c r="N260" t="s">
        <v>38</v>
      </c>
      <c r="O260" t="s">
        <v>50</v>
      </c>
      <c r="P260" t="s">
        <v>27</v>
      </c>
      <c r="Q260" t="s">
        <v>51</v>
      </c>
      <c r="R260" s="2">
        <v>0.56388888888888888</v>
      </c>
    </row>
    <row r="261" spans="1:18" x14ac:dyDescent="0.25">
      <c r="A261" t="s">
        <v>2173</v>
      </c>
      <c r="B261" t="s">
        <v>674</v>
      </c>
      <c r="C261" s="1">
        <v>45171</v>
      </c>
      <c r="D261" s="1" t="str">
        <f>TEXT(Delivery_data[[#This Row],[Order date]], "MMMM")</f>
        <v>September</v>
      </c>
      <c r="E261" s="1" t="str">
        <f>TEXT(Delivery_data[[#This Row],[Order date]], "DDDD")</f>
        <v>Saturday</v>
      </c>
      <c r="F261" s="2">
        <v>0.55486111111111114</v>
      </c>
      <c r="G261" t="s">
        <v>48</v>
      </c>
      <c r="H261" t="str">
        <f>IF(Delivery_data[[#This Row],[Order Status]] = "In Progress", "Backlog", "Complete")</f>
        <v>Backlog</v>
      </c>
      <c r="I261" t="s">
        <v>36</v>
      </c>
      <c r="J261" t="s">
        <v>1637</v>
      </c>
      <c r="K261" t="s">
        <v>37</v>
      </c>
      <c r="L261">
        <v>138</v>
      </c>
      <c r="M261">
        <v>3</v>
      </c>
      <c r="N261" t="s">
        <v>25</v>
      </c>
      <c r="O261" t="s">
        <v>50</v>
      </c>
      <c r="P261" t="s">
        <v>27</v>
      </c>
      <c r="Q261" t="s">
        <v>51</v>
      </c>
      <c r="R261" s="2">
        <v>0.63402777777777775</v>
      </c>
    </row>
    <row r="262" spans="1:18" x14ac:dyDescent="0.25">
      <c r="A262" t="s">
        <v>2389</v>
      </c>
      <c r="B262" t="s">
        <v>885</v>
      </c>
      <c r="C262" s="1">
        <v>45174</v>
      </c>
      <c r="D262" s="1" t="str">
        <f>TEXT(Delivery_data[[#This Row],[Order date]], "MMMM")</f>
        <v>September</v>
      </c>
      <c r="E262" s="1" t="str">
        <f>TEXT(Delivery_data[[#This Row],[Order date]], "DDDD")</f>
        <v>Tuesday</v>
      </c>
      <c r="F262" s="2">
        <v>0.45208333333333334</v>
      </c>
      <c r="G262" t="s">
        <v>22</v>
      </c>
      <c r="H262" t="str">
        <f>IF(Delivery_data[[#This Row],[Order Status]] = "In Progress", "Backlog", "Complete")</f>
        <v>Complete</v>
      </c>
      <c r="I262" t="s">
        <v>36</v>
      </c>
      <c r="J262" t="s">
        <v>1633</v>
      </c>
      <c r="K262" t="s">
        <v>24</v>
      </c>
      <c r="L262">
        <v>109</v>
      </c>
      <c r="M262">
        <v>17</v>
      </c>
      <c r="N262" t="s">
        <v>32</v>
      </c>
      <c r="O262" t="s">
        <v>33</v>
      </c>
      <c r="P262" t="s">
        <v>34</v>
      </c>
      <c r="Q262" t="s">
        <v>46</v>
      </c>
      <c r="R262" s="2">
        <v>0.39305555555555555</v>
      </c>
    </row>
    <row r="263" spans="1:18" x14ac:dyDescent="0.25">
      <c r="A263" t="s">
        <v>2397</v>
      </c>
      <c r="B263" t="s">
        <v>893</v>
      </c>
      <c r="C263" s="1">
        <v>45171</v>
      </c>
      <c r="D263" s="1" t="str">
        <f>TEXT(Delivery_data[[#This Row],[Order date]], "MMMM")</f>
        <v>September</v>
      </c>
      <c r="E263" s="1" t="str">
        <f>TEXT(Delivery_data[[#This Row],[Order date]], "DDDD")</f>
        <v>Saturday</v>
      </c>
      <c r="F263" s="2">
        <v>0.34444444444444444</v>
      </c>
      <c r="G263" t="s">
        <v>22</v>
      </c>
      <c r="H263" t="str">
        <f>IF(Delivery_data[[#This Row],[Order Status]] = "In Progress", "Backlog", "Complete")</f>
        <v>Complete</v>
      </c>
      <c r="I263" t="s">
        <v>36</v>
      </c>
      <c r="J263" t="s">
        <v>1633</v>
      </c>
      <c r="K263" t="s">
        <v>37</v>
      </c>
      <c r="L263">
        <v>73</v>
      </c>
      <c r="M263">
        <v>1</v>
      </c>
      <c r="N263" t="s">
        <v>38</v>
      </c>
      <c r="O263" t="s">
        <v>33</v>
      </c>
      <c r="P263" t="s">
        <v>27</v>
      </c>
      <c r="Q263" t="s">
        <v>28</v>
      </c>
      <c r="R263" s="2">
        <v>0.53541666666666665</v>
      </c>
    </row>
    <row r="264" spans="1:18" x14ac:dyDescent="0.25">
      <c r="A264" t="s">
        <v>2517</v>
      </c>
      <c r="B264" t="s">
        <v>1006</v>
      </c>
      <c r="C264" s="1">
        <v>45173</v>
      </c>
      <c r="D264" s="1" t="str">
        <f>TEXT(Delivery_data[[#This Row],[Order date]], "MMMM")</f>
        <v>September</v>
      </c>
      <c r="E264" s="1" t="str">
        <f>TEXT(Delivery_data[[#This Row],[Order date]], "DDDD")</f>
        <v>Monday</v>
      </c>
      <c r="F264" s="2">
        <v>0.59166666666666667</v>
      </c>
      <c r="G264" t="s">
        <v>48</v>
      </c>
      <c r="H264" t="str">
        <f>IF(Delivery_data[[#This Row],[Order Status]] = "In Progress", "Backlog", "Complete")</f>
        <v>Backlog</v>
      </c>
      <c r="I264" t="s">
        <v>36</v>
      </c>
      <c r="J264" t="s">
        <v>1637</v>
      </c>
      <c r="K264" t="s">
        <v>31</v>
      </c>
      <c r="L264">
        <v>232</v>
      </c>
      <c r="M264">
        <v>29</v>
      </c>
      <c r="N264" t="s">
        <v>25</v>
      </c>
      <c r="O264" t="s">
        <v>26</v>
      </c>
      <c r="P264" t="s">
        <v>27</v>
      </c>
      <c r="Q264" t="s">
        <v>28</v>
      </c>
      <c r="R264" s="2">
        <v>0.40902777777777777</v>
      </c>
    </row>
    <row r="265" spans="1:18" x14ac:dyDescent="0.25">
      <c r="A265" t="s">
        <v>2555</v>
      </c>
      <c r="B265" t="s">
        <v>1040</v>
      </c>
      <c r="C265" s="1">
        <v>45171</v>
      </c>
      <c r="D265" s="1" t="str">
        <f>TEXT(Delivery_data[[#This Row],[Order date]], "MMMM")</f>
        <v>September</v>
      </c>
      <c r="E265" s="1" t="str">
        <f>TEXT(Delivery_data[[#This Row],[Order date]], "DDDD")</f>
        <v>Saturday</v>
      </c>
      <c r="F265" s="2">
        <v>0.65972222222222221</v>
      </c>
      <c r="G265" t="s">
        <v>48</v>
      </c>
      <c r="H265" t="str">
        <f>IF(Delivery_data[[#This Row],[Order Status]] = "In Progress", "Backlog", "Complete")</f>
        <v>Backlog</v>
      </c>
      <c r="I265" t="s">
        <v>36</v>
      </c>
      <c r="J265" t="s">
        <v>1631</v>
      </c>
      <c r="K265" t="s">
        <v>44</v>
      </c>
      <c r="L265">
        <v>90</v>
      </c>
      <c r="M265">
        <v>9</v>
      </c>
      <c r="N265" t="s">
        <v>38</v>
      </c>
      <c r="O265" t="s">
        <v>41</v>
      </c>
      <c r="P265" t="s">
        <v>45</v>
      </c>
      <c r="Q265" t="s">
        <v>28</v>
      </c>
      <c r="R265" s="2">
        <v>0.38819444444444445</v>
      </c>
    </row>
    <row r="266" spans="1:18" x14ac:dyDescent="0.25">
      <c r="A266" t="s">
        <v>2598</v>
      </c>
      <c r="B266" t="s">
        <v>1082</v>
      </c>
      <c r="C266" s="1">
        <v>45171</v>
      </c>
      <c r="D266" s="1" t="str">
        <f>TEXT(Delivery_data[[#This Row],[Order date]], "MMMM")</f>
        <v>September</v>
      </c>
      <c r="E266" s="1" t="str">
        <f>TEXT(Delivery_data[[#This Row],[Order date]], "DDDD")</f>
        <v>Saturday</v>
      </c>
      <c r="F266" s="2">
        <v>0.50069444444444444</v>
      </c>
      <c r="G266" t="s">
        <v>48</v>
      </c>
      <c r="H266" t="str">
        <f>IF(Delivery_data[[#This Row],[Order Status]] = "In Progress", "Backlog", "Complete")</f>
        <v>Backlog</v>
      </c>
      <c r="I266" t="s">
        <v>36</v>
      </c>
      <c r="J266" t="s">
        <v>1631</v>
      </c>
      <c r="K266" t="s">
        <v>24</v>
      </c>
      <c r="L266">
        <v>168</v>
      </c>
      <c r="M266">
        <v>28</v>
      </c>
      <c r="N266" t="s">
        <v>25</v>
      </c>
      <c r="O266" t="s">
        <v>41</v>
      </c>
      <c r="P266" t="s">
        <v>34</v>
      </c>
      <c r="Q266" t="s">
        <v>51</v>
      </c>
      <c r="R266" s="2">
        <v>0.49722222222222223</v>
      </c>
    </row>
    <row r="267" spans="1:18" x14ac:dyDescent="0.25">
      <c r="A267" t="s">
        <v>2660</v>
      </c>
      <c r="B267" t="s">
        <v>1143</v>
      </c>
      <c r="C267" s="1">
        <v>45176</v>
      </c>
      <c r="D267" s="1" t="str">
        <f>TEXT(Delivery_data[[#This Row],[Order date]], "MMMM")</f>
        <v>September</v>
      </c>
      <c r="E267" s="1" t="str">
        <f>TEXT(Delivery_data[[#This Row],[Order date]], "DDDD")</f>
        <v>Thursday</v>
      </c>
      <c r="F267" s="2">
        <v>0.61250000000000004</v>
      </c>
      <c r="G267" t="s">
        <v>22</v>
      </c>
      <c r="H267" t="str">
        <f>IF(Delivery_data[[#This Row],[Order Status]] = "In Progress", "Backlog", "Complete")</f>
        <v>Complete</v>
      </c>
      <c r="I267" t="s">
        <v>36</v>
      </c>
      <c r="J267" t="s">
        <v>1631</v>
      </c>
      <c r="K267" t="s">
        <v>44</v>
      </c>
      <c r="L267">
        <v>157</v>
      </c>
      <c r="M267">
        <v>20</v>
      </c>
      <c r="N267" t="s">
        <v>32</v>
      </c>
      <c r="O267" t="s">
        <v>26</v>
      </c>
      <c r="P267" t="s">
        <v>34</v>
      </c>
      <c r="Q267" t="s">
        <v>51</v>
      </c>
      <c r="R267" s="2">
        <v>0.55902777777777779</v>
      </c>
    </row>
    <row r="268" spans="1:18" x14ac:dyDescent="0.25">
      <c r="A268" t="s">
        <v>2694</v>
      </c>
      <c r="B268" t="s">
        <v>1175</v>
      </c>
      <c r="C268" s="1">
        <v>45176</v>
      </c>
      <c r="D268" s="1" t="str">
        <f>TEXT(Delivery_data[[#This Row],[Order date]], "MMMM")</f>
        <v>September</v>
      </c>
      <c r="E268" s="1" t="str">
        <f>TEXT(Delivery_data[[#This Row],[Order date]], "DDDD")</f>
        <v>Thursday</v>
      </c>
      <c r="F268" s="2">
        <v>0.56458333333333333</v>
      </c>
      <c r="G268" t="s">
        <v>48</v>
      </c>
      <c r="H268" t="str">
        <f>IF(Delivery_data[[#This Row],[Order Status]] = "In Progress", "Backlog", "Complete")</f>
        <v>Backlog</v>
      </c>
      <c r="I268" t="s">
        <v>36</v>
      </c>
      <c r="J268" t="s">
        <v>1637</v>
      </c>
      <c r="K268" t="s">
        <v>24</v>
      </c>
      <c r="L268">
        <v>154</v>
      </c>
      <c r="M268">
        <v>4</v>
      </c>
      <c r="N268" t="s">
        <v>25</v>
      </c>
      <c r="O268" t="s">
        <v>33</v>
      </c>
      <c r="P268" t="s">
        <v>27</v>
      </c>
      <c r="Q268" t="s">
        <v>46</v>
      </c>
      <c r="R268" s="2">
        <v>0.61944444444444446</v>
      </c>
    </row>
    <row r="269" spans="1:18" x14ac:dyDescent="0.25">
      <c r="A269" t="s">
        <v>2850</v>
      </c>
      <c r="B269" t="s">
        <v>1326</v>
      </c>
      <c r="C269" s="1">
        <v>45175</v>
      </c>
      <c r="D269" s="1" t="str">
        <f>TEXT(Delivery_data[[#This Row],[Order date]], "MMMM")</f>
        <v>September</v>
      </c>
      <c r="E269" s="1" t="str">
        <f>TEXT(Delivery_data[[#This Row],[Order date]], "DDDD")</f>
        <v>Wednesday</v>
      </c>
      <c r="F269" s="2">
        <v>0.49513888888888891</v>
      </c>
      <c r="G269" t="s">
        <v>22</v>
      </c>
      <c r="H269" t="str">
        <f>IF(Delivery_data[[#This Row],[Order Status]] = "In Progress", "Backlog", "Complete")</f>
        <v>Complete</v>
      </c>
      <c r="I269" t="s">
        <v>36</v>
      </c>
      <c r="J269" t="s">
        <v>1637</v>
      </c>
      <c r="K269" t="s">
        <v>24</v>
      </c>
      <c r="L269">
        <v>145</v>
      </c>
      <c r="M269">
        <v>9</v>
      </c>
      <c r="N269" t="s">
        <v>38</v>
      </c>
      <c r="O269" t="s">
        <v>41</v>
      </c>
      <c r="P269" t="s">
        <v>45</v>
      </c>
      <c r="Q269" t="s">
        <v>46</v>
      </c>
      <c r="R269" s="2">
        <v>0.65347222222222223</v>
      </c>
    </row>
    <row r="270" spans="1:18" x14ac:dyDescent="0.25">
      <c r="A270" t="s">
        <v>2905</v>
      </c>
      <c r="B270" t="s">
        <v>1378</v>
      </c>
      <c r="C270" s="1">
        <v>45175</v>
      </c>
      <c r="D270" s="1" t="str">
        <f>TEXT(Delivery_data[[#This Row],[Order date]], "MMMM")</f>
        <v>September</v>
      </c>
      <c r="E270" s="1" t="str">
        <f>TEXT(Delivery_data[[#This Row],[Order date]], "DDDD")</f>
        <v>Wednesday</v>
      </c>
      <c r="F270" s="2">
        <v>0.35208333333333336</v>
      </c>
      <c r="G270" t="s">
        <v>48</v>
      </c>
      <c r="H270" t="str">
        <f>IF(Delivery_data[[#This Row],[Order Status]] = "In Progress", "Backlog", "Complete")</f>
        <v>Backlog</v>
      </c>
      <c r="I270" t="s">
        <v>36</v>
      </c>
      <c r="J270" t="s">
        <v>1633</v>
      </c>
      <c r="K270" t="s">
        <v>24</v>
      </c>
      <c r="L270">
        <v>166</v>
      </c>
      <c r="M270">
        <v>11</v>
      </c>
      <c r="N270" t="s">
        <v>25</v>
      </c>
      <c r="O270" t="s">
        <v>26</v>
      </c>
      <c r="P270" t="s">
        <v>27</v>
      </c>
      <c r="Q270" t="s">
        <v>28</v>
      </c>
      <c r="R270" s="2">
        <v>0.5756944444444444</v>
      </c>
    </row>
    <row r="271" spans="1:18" x14ac:dyDescent="0.25">
      <c r="A271" t="s">
        <v>3014</v>
      </c>
      <c r="B271" t="s">
        <v>1485</v>
      </c>
      <c r="C271" s="1">
        <v>45177</v>
      </c>
      <c r="D271" s="1" t="str">
        <f>TEXT(Delivery_data[[#This Row],[Order date]], "MMMM")</f>
        <v>September</v>
      </c>
      <c r="E271" s="1" t="str">
        <f>TEXT(Delivery_data[[#This Row],[Order date]], "DDDD")</f>
        <v>Friday</v>
      </c>
      <c r="F271" s="2">
        <v>0.68055555555555558</v>
      </c>
      <c r="G271" t="s">
        <v>48</v>
      </c>
      <c r="H271" t="str">
        <f>IF(Delivery_data[[#This Row],[Order Status]] = "In Progress", "Backlog", "Complete")</f>
        <v>Backlog</v>
      </c>
      <c r="I271" t="s">
        <v>36</v>
      </c>
      <c r="J271" t="s">
        <v>1631</v>
      </c>
      <c r="K271" t="s">
        <v>37</v>
      </c>
      <c r="L271">
        <v>136</v>
      </c>
      <c r="M271">
        <v>12</v>
      </c>
      <c r="N271" t="s">
        <v>38</v>
      </c>
      <c r="O271" t="s">
        <v>33</v>
      </c>
      <c r="P271" t="s">
        <v>27</v>
      </c>
      <c r="Q271" t="s">
        <v>51</v>
      </c>
      <c r="R271" s="2">
        <v>0.65416666666666667</v>
      </c>
    </row>
    <row r="272" spans="1:18" x14ac:dyDescent="0.25">
      <c r="A272" t="s">
        <v>3081</v>
      </c>
      <c r="B272" t="s">
        <v>1547</v>
      </c>
      <c r="C272" s="1">
        <v>45172</v>
      </c>
      <c r="D272" s="1" t="str">
        <f>TEXT(Delivery_data[[#This Row],[Order date]], "MMMM")</f>
        <v>September</v>
      </c>
      <c r="E272" s="1" t="str">
        <f>TEXT(Delivery_data[[#This Row],[Order date]], "DDDD")</f>
        <v>Sunday</v>
      </c>
      <c r="F272" s="2">
        <v>0.60486111111111107</v>
      </c>
      <c r="G272" t="s">
        <v>22</v>
      </c>
      <c r="H272" t="str">
        <f>IF(Delivery_data[[#This Row],[Order Status]] = "In Progress", "Backlog", "Complete")</f>
        <v>Complete</v>
      </c>
      <c r="I272" t="s">
        <v>36</v>
      </c>
      <c r="J272" t="s">
        <v>1637</v>
      </c>
      <c r="K272" t="s">
        <v>24</v>
      </c>
      <c r="L272">
        <v>73</v>
      </c>
      <c r="M272">
        <v>5</v>
      </c>
      <c r="N272" t="s">
        <v>32</v>
      </c>
      <c r="O272" t="s">
        <v>54</v>
      </c>
      <c r="P272" t="s">
        <v>45</v>
      </c>
      <c r="Q272" t="s">
        <v>51</v>
      </c>
      <c r="R272" s="2">
        <v>0.64166666666666672</v>
      </c>
    </row>
    <row r="273" spans="1:18" x14ac:dyDescent="0.25">
      <c r="A273" t="s">
        <v>1817</v>
      </c>
      <c r="B273" t="s">
        <v>315</v>
      </c>
      <c r="C273" s="1">
        <v>45173</v>
      </c>
      <c r="D273" s="1" t="str">
        <f>TEXT(Delivery_data[[#This Row],[Order date]], "MMMM")</f>
        <v>September</v>
      </c>
      <c r="E273" s="1" t="str">
        <f>TEXT(Delivery_data[[#This Row],[Order date]], "DDDD")</f>
        <v>Monday</v>
      </c>
      <c r="F273" s="2">
        <v>0.34583333333333333</v>
      </c>
      <c r="G273" t="s">
        <v>48</v>
      </c>
      <c r="H273" t="str">
        <f>IF(Delivery_data[[#This Row],[Order Status]] = "In Progress", "Backlog", "Complete")</f>
        <v>Backlog</v>
      </c>
      <c r="I273" t="s">
        <v>316</v>
      </c>
      <c r="J273" t="s">
        <v>1633</v>
      </c>
      <c r="K273" t="s">
        <v>24</v>
      </c>
      <c r="L273">
        <v>110</v>
      </c>
      <c r="M273">
        <v>19</v>
      </c>
      <c r="N273" t="s">
        <v>25</v>
      </c>
      <c r="O273" t="s">
        <v>50</v>
      </c>
      <c r="P273" t="s">
        <v>45</v>
      </c>
      <c r="Q273" t="s">
        <v>28</v>
      </c>
      <c r="R273" s="2">
        <v>0.45833333333333331</v>
      </c>
    </row>
    <row r="274" spans="1:18" x14ac:dyDescent="0.25">
      <c r="A274" t="s">
        <v>1822</v>
      </c>
      <c r="B274" t="s">
        <v>321</v>
      </c>
      <c r="C274" s="1">
        <v>45171</v>
      </c>
      <c r="D274" s="1" t="str">
        <f>TEXT(Delivery_data[[#This Row],[Order date]], "MMMM")</f>
        <v>September</v>
      </c>
      <c r="E274" s="1" t="str">
        <f>TEXT(Delivery_data[[#This Row],[Order date]], "DDDD")</f>
        <v>Saturday</v>
      </c>
      <c r="F274" s="2">
        <v>0.50763888888888886</v>
      </c>
      <c r="G274" t="s">
        <v>48</v>
      </c>
      <c r="H274" t="str">
        <f>IF(Delivery_data[[#This Row],[Order Status]] = "In Progress", "Backlog", "Complete")</f>
        <v>Backlog</v>
      </c>
      <c r="I274" t="s">
        <v>316</v>
      </c>
      <c r="J274" t="s">
        <v>1633</v>
      </c>
      <c r="K274" t="s">
        <v>37</v>
      </c>
      <c r="L274">
        <v>95</v>
      </c>
      <c r="M274">
        <v>0</v>
      </c>
      <c r="N274" t="s">
        <v>38</v>
      </c>
      <c r="O274" t="s">
        <v>26</v>
      </c>
      <c r="P274" t="s">
        <v>45</v>
      </c>
      <c r="Q274" t="s">
        <v>28</v>
      </c>
      <c r="R274" s="2">
        <v>0.43194444444444446</v>
      </c>
    </row>
    <row r="275" spans="1:18" x14ac:dyDescent="0.25">
      <c r="A275" t="s">
        <v>1926</v>
      </c>
      <c r="B275" t="s">
        <v>429</v>
      </c>
      <c r="C275" s="1">
        <v>45173</v>
      </c>
      <c r="D275" s="1" t="str">
        <f>TEXT(Delivery_data[[#This Row],[Order date]], "MMMM")</f>
        <v>September</v>
      </c>
      <c r="E275" s="1" t="str">
        <f>TEXT(Delivery_data[[#This Row],[Order date]], "DDDD")</f>
        <v>Monday</v>
      </c>
      <c r="F275" s="2">
        <v>0.41736111111111113</v>
      </c>
      <c r="G275" t="s">
        <v>48</v>
      </c>
      <c r="H275" t="str">
        <f>IF(Delivery_data[[#This Row],[Order Status]] = "In Progress", "Backlog", "Complete")</f>
        <v>Backlog</v>
      </c>
      <c r="I275" t="s">
        <v>316</v>
      </c>
      <c r="J275" t="s">
        <v>1631</v>
      </c>
      <c r="K275" t="s">
        <v>37</v>
      </c>
      <c r="L275">
        <v>77</v>
      </c>
      <c r="M275">
        <v>8</v>
      </c>
      <c r="N275" t="s">
        <v>25</v>
      </c>
      <c r="O275" t="s">
        <v>54</v>
      </c>
      <c r="P275" t="s">
        <v>27</v>
      </c>
      <c r="Q275" t="s">
        <v>28</v>
      </c>
      <c r="R275" s="2">
        <v>0.61527777777777781</v>
      </c>
    </row>
    <row r="276" spans="1:18" x14ac:dyDescent="0.25">
      <c r="A276" t="s">
        <v>1975</v>
      </c>
      <c r="B276" t="s">
        <v>480</v>
      </c>
      <c r="C276" s="1">
        <v>45170</v>
      </c>
      <c r="D276" s="1" t="str">
        <f>TEXT(Delivery_data[[#This Row],[Order date]], "MMMM")</f>
        <v>September</v>
      </c>
      <c r="E276" s="1" t="str">
        <f>TEXT(Delivery_data[[#This Row],[Order date]], "DDDD")</f>
        <v>Friday</v>
      </c>
      <c r="F276" s="2">
        <v>0.39444444444444443</v>
      </c>
      <c r="G276" t="s">
        <v>22</v>
      </c>
      <c r="H276" t="str">
        <f>IF(Delivery_data[[#This Row],[Order Status]] = "In Progress", "Backlog", "Complete")</f>
        <v>Complete</v>
      </c>
      <c r="I276" t="s">
        <v>316</v>
      </c>
      <c r="J276" t="s">
        <v>1631</v>
      </c>
      <c r="K276" t="s">
        <v>44</v>
      </c>
      <c r="L276">
        <v>106</v>
      </c>
      <c r="M276">
        <v>24</v>
      </c>
      <c r="N276" t="s">
        <v>25</v>
      </c>
      <c r="O276" t="s">
        <v>33</v>
      </c>
      <c r="P276" t="s">
        <v>34</v>
      </c>
      <c r="Q276" t="s">
        <v>46</v>
      </c>
      <c r="R276" s="2">
        <v>0.45416666666666666</v>
      </c>
    </row>
    <row r="277" spans="1:18" x14ac:dyDescent="0.25">
      <c r="A277" t="s">
        <v>2006</v>
      </c>
      <c r="B277" t="s">
        <v>511</v>
      </c>
      <c r="C277" s="1">
        <v>45172</v>
      </c>
      <c r="D277" s="1" t="str">
        <f>TEXT(Delivery_data[[#This Row],[Order date]], "MMMM")</f>
        <v>September</v>
      </c>
      <c r="E277" s="1" t="str">
        <f>TEXT(Delivery_data[[#This Row],[Order date]], "DDDD")</f>
        <v>Sunday</v>
      </c>
      <c r="F277" s="2">
        <v>0.40902777777777777</v>
      </c>
      <c r="G277" t="s">
        <v>48</v>
      </c>
      <c r="H277" t="str">
        <f>IF(Delivery_data[[#This Row],[Order Status]] = "In Progress", "Backlog", "Complete")</f>
        <v>Backlog</v>
      </c>
      <c r="I277" t="s">
        <v>316</v>
      </c>
      <c r="J277" t="s">
        <v>1631</v>
      </c>
      <c r="K277" t="s">
        <v>61</v>
      </c>
      <c r="L277">
        <v>108</v>
      </c>
      <c r="M277">
        <v>20</v>
      </c>
      <c r="N277" t="s">
        <v>25</v>
      </c>
      <c r="O277" t="s">
        <v>26</v>
      </c>
      <c r="P277" t="s">
        <v>34</v>
      </c>
      <c r="Q277" t="s">
        <v>28</v>
      </c>
      <c r="R277" s="2">
        <v>0.51597222222222228</v>
      </c>
    </row>
    <row r="278" spans="1:18" x14ac:dyDescent="0.25">
      <c r="A278" t="s">
        <v>2096</v>
      </c>
      <c r="B278" t="s">
        <v>601</v>
      </c>
      <c r="C278" s="1">
        <v>45177</v>
      </c>
      <c r="D278" s="1" t="str">
        <f>TEXT(Delivery_data[[#This Row],[Order date]], "MMMM")</f>
        <v>September</v>
      </c>
      <c r="E278" s="1" t="str">
        <f>TEXT(Delivery_data[[#This Row],[Order date]], "DDDD")</f>
        <v>Friday</v>
      </c>
      <c r="F278" s="2">
        <v>0.53402777777777777</v>
      </c>
      <c r="G278" t="s">
        <v>22</v>
      </c>
      <c r="H278" t="str">
        <f>IF(Delivery_data[[#This Row],[Order Status]] = "In Progress", "Backlog", "Complete")</f>
        <v>Complete</v>
      </c>
      <c r="I278" t="s">
        <v>316</v>
      </c>
      <c r="J278" t="s">
        <v>1631</v>
      </c>
      <c r="K278" t="s">
        <v>37</v>
      </c>
      <c r="L278">
        <v>95</v>
      </c>
      <c r="M278">
        <v>10</v>
      </c>
      <c r="N278" t="s">
        <v>25</v>
      </c>
      <c r="O278" t="s">
        <v>50</v>
      </c>
      <c r="P278" t="s">
        <v>34</v>
      </c>
      <c r="Q278" t="s">
        <v>51</v>
      </c>
      <c r="R278" s="2">
        <v>0.58125000000000004</v>
      </c>
    </row>
    <row r="279" spans="1:18" x14ac:dyDescent="0.25">
      <c r="A279" t="s">
        <v>2186</v>
      </c>
      <c r="B279" t="s">
        <v>687</v>
      </c>
      <c r="C279" s="1">
        <v>45177</v>
      </c>
      <c r="D279" s="1" t="str">
        <f>TEXT(Delivery_data[[#This Row],[Order date]], "MMMM")</f>
        <v>September</v>
      </c>
      <c r="E279" s="1" t="str">
        <f>TEXT(Delivery_data[[#This Row],[Order date]], "DDDD")</f>
        <v>Friday</v>
      </c>
      <c r="F279" s="2">
        <v>0.6479166666666667</v>
      </c>
      <c r="G279" t="s">
        <v>48</v>
      </c>
      <c r="H279" t="str">
        <f>IF(Delivery_data[[#This Row],[Order Status]] = "In Progress", "Backlog", "Complete")</f>
        <v>Backlog</v>
      </c>
      <c r="I279" t="s">
        <v>316</v>
      </c>
      <c r="J279" t="s">
        <v>1637</v>
      </c>
      <c r="K279" t="s">
        <v>44</v>
      </c>
      <c r="L279">
        <v>179</v>
      </c>
      <c r="M279">
        <v>0</v>
      </c>
      <c r="N279" t="s">
        <v>25</v>
      </c>
      <c r="O279" t="s">
        <v>26</v>
      </c>
      <c r="P279" t="s">
        <v>45</v>
      </c>
      <c r="Q279" t="s">
        <v>51</v>
      </c>
      <c r="R279" s="2">
        <v>0.6</v>
      </c>
    </row>
    <row r="280" spans="1:18" x14ac:dyDescent="0.25">
      <c r="A280" t="s">
        <v>2188</v>
      </c>
      <c r="B280" t="s">
        <v>689</v>
      </c>
      <c r="C280" s="1">
        <v>45176</v>
      </c>
      <c r="D280" s="1" t="str">
        <f>TEXT(Delivery_data[[#This Row],[Order date]], "MMMM")</f>
        <v>September</v>
      </c>
      <c r="E280" s="1" t="str">
        <f>TEXT(Delivery_data[[#This Row],[Order date]], "DDDD")</f>
        <v>Thursday</v>
      </c>
      <c r="F280" s="2">
        <v>0.57708333333333328</v>
      </c>
      <c r="G280" t="s">
        <v>22</v>
      </c>
      <c r="H280" t="str">
        <f>IF(Delivery_data[[#This Row],[Order Status]] = "In Progress", "Backlog", "Complete")</f>
        <v>Complete</v>
      </c>
      <c r="I280" t="s">
        <v>316</v>
      </c>
      <c r="J280" t="s">
        <v>1637</v>
      </c>
      <c r="K280" t="s">
        <v>31</v>
      </c>
      <c r="L280">
        <v>106</v>
      </c>
      <c r="M280">
        <v>13</v>
      </c>
      <c r="N280" t="s">
        <v>38</v>
      </c>
      <c r="O280" t="s">
        <v>41</v>
      </c>
      <c r="P280" t="s">
        <v>45</v>
      </c>
      <c r="Q280" t="s">
        <v>46</v>
      </c>
      <c r="R280" s="2">
        <v>0.43611111111111112</v>
      </c>
    </row>
    <row r="281" spans="1:18" x14ac:dyDescent="0.25">
      <c r="A281" t="s">
        <v>2516</v>
      </c>
      <c r="B281" t="s">
        <v>1005</v>
      </c>
      <c r="C281" s="1">
        <v>45175</v>
      </c>
      <c r="D281" s="1" t="str">
        <f>TEXT(Delivery_data[[#This Row],[Order date]], "MMMM")</f>
        <v>September</v>
      </c>
      <c r="E281" s="1" t="str">
        <f>TEXT(Delivery_data[[#This Row],[Order date]], "DDDD")</f>
        <v>Wednesday</v>
      </c>
      <c r="F281" s="2">
        <v>0.60069444444444442</v>
      </c>
      <c r="G281" t="s">
        <v>22</v>
      </c>
      <c r="H281" t="str">
        <f>IF(Delivery_data[[#This Row],[Order Status]] = "In Progress", "Backlog", "Complete")</f>
        <v>Complete</v>
      </c>
      <c r="I281" t="s">
        <v>316</v>
      </c>
      <c r="J281" t="s">
        <v>1631</v>
      </c>
      <c r="K281" t="s">
        <v>37</v>
      </c>
      <c r="L281">
        <v>209</v>
      </c>
      <c r="M281">
        <v>8</v>
      </c>
      <c r="N281" t="s">
        <v>25</v>
      </c>
      <c r="O281" t="s">
        <v>54</v>
      </c>
      <c r="P281" t="s">
        <v>34</v>
      </c>
      <c r="Q281" t="s">
        <v>51</v>
      </c>
      <c r="R281" s="2">
        <v>0.69791666666666663</v>
      </c>
    </row>
    <row r="282" spans="1:18" x14ac:dyDescent="0.25">
      <c r="A282" t="s">
        <v>2765</v>
      </c>
      <c r="B282" t="s">
        <v>1243</v>
      </c>
      <c r="C282" s="1">
        <v>45177</v>
      </c>
      <c r="D282" s="1" t="str">
        <f>TEXT(Delivery_data[[#This Row],[Order date]], "MMMM")</f>
        <v>September</v>
      </c>
      <c r="E282" s="1" t="str">
        <f>TEXT(Delivery_data[[#This Row],[Order date]], "DDDD")</f>
        <v>Friday</v>
      </c>
      <c r="F282" s="2">
        <v>0.4513888888888889</v>
      </c>
      <c r="G282" t="s">
        <v>48</v>
      </c>
      <c r="H282" t="str">
        <f>IF(Delivery_data[[#This Row],[Order Status]] = "In Progress", "Backlog", "Complete")</f>
        <v>Backlog</v>
      </c>
      <c r="I282" t="s">
        <v>316</v>
      </c>
      <c r="J282" t="s">
        <v>1631</v>
      </c>
      <c r="K282" t="s">
        <v>24</v>
      </c>
      <c r="L282">
        <v>198</v>
      </c>
      <c r="M282">
        <v>24</v>
      </c>
      <c r="N282" t="s">
        <v>32</v>
      </c>
      <c r="O282" t="s">
        <v>50</v>
      </c>
      <c r="P282" t="s">
        <v>34</v>
      </c>
      <c r="Q282" t="s">
        <v>51</v>
      </c>
      <c r="R282" s="2">
        <v>0.70138888888888884</v>
      </c>
    </row>
    <row r="283" spans="1:18" x14ac:dyDescent="0.25">
      <c r="A283" t="s">
        <v>2770</v>
      </c>
      <c r="B283" t="s">
        <v>1248</v>
      </c>
      <c r="C283" s="1">
        <v>45172</v>
      </c>
      <c r="D283" s="1" t="str">
        <f>TEXT(Delivery_data[[#This Row],[Order date]], "MMMM")</f>
        <v>September</v>
      </c>
      <c r="E283" s="1" t="str">
        <f>TEXT(Delivery_data[[#This Row],[Order date]], "DDDD")</f>
        <v>Sunday</v>
      </c>
      <c r="F283" s="2">
        <v>0.54027777777777775</v>
      </c>
      <c r="G283" t="s">
        <v>48</v>
      </c>
      <c r="H283" t="str">
        <f>IF(Delivery_data[[#This Row],[Order Status]] = "In Progress", "Backlog", "Complete")</f>
        <v>Backlog</v>
      </c>
      <c r="I283" t="s">
        <v>316</v>
      </c>
      <c r="J283" t="s">
        <v>1637</v>
      </c>
      <c r="K283" t="s">
        <v>61</v>
      </c>
      <c r="L283">
        <v>86</v>
      </c>
      <c r="M283">
        <v>19</v>
      </c>
      <c r="N283" t="s">
        <v>25</v>
      </c>
      <c r="O283" t="s">
        <v>26</v>
      </c>
      <c r="P283" t="s">
        <v>34</v>
      </c>
      <c r="Q283" t="s">
        <v>28</v>
      </c>
      <c r="R283" s="2">
        <v>0.67986111111111114</v>
      </c>
    </row>
    <row r="284" spans="1:18" x14ac:dyDescent="0.25">
      <c r="A284" t="s">
        <v>2839</v>
      </c>
      <c r="B284" t="s">
        <v>1315</v>
      </c>
      <c r="C284" s="1">
        <v>45176</v>
      </c>
      <c r="D284" s="1" t="str">
        <f>TEXT(Delivery_data[[#This Row],[Order date]], "MMMM")</f>
        <v>September</v>
      </c>
      <c r="E284" s="1" t="str">
        <f>TEXT(Delivery_data[[#This Row],[Order date]], "DDDD")</f>
        <v>Thursday</v>
      </c>
      <c r="F284" s="2">
        <v>0.6069444444444444</v>
      </c>
      <c r="G284" t="s">
        <v>48</v>
      </c>
      <c r="H284" t="str">
        <f>IF(Delivery_data[[#This Row],[Order Status]] = "In Progress", "Backlog", "Complete")</f>
        <v>Backlog</v>
      </c>
      <c r="I284" t="s">
        <v>316</v>
      </c>
      <c r="J284" t="s">
        <v>1631</v>
      </c>
      <c r="K284" t="s">
        <v>61</v>
      </c>
      <c r="L284">
        <v>90</v>
      </c>
      <c r="M284">
        <v>20</v>
      </c>
      <c r="N284" t="s">
        <v>38</v>
      </c>
      <c r="O284" t="s">
        <v>54</v>
      </c>
      <c r="P284" t="s">
        <v>27</v>
      </c>
      <c r="Q284" t="s">
        <v>28</v>
      </c>
      <c r="R284" s="2">
        <v>0.45069444444444445</v>
      </c>
    </row>
    <row r="285" spans="1:18" x14ac:dyDescent="0.25">
      <c r="A285" t="s">
        <v>1647</v>
      </c>
      <c r="B285" t="s">
        <v>70</v>
      </c>
      <c r="C285" s="1">
        <v>45172</v>
      </c>
      <c r="D285" s="1" t="str">
        <f>TEXT(Delivery_data[[#This Row],[Order date]], "MMMM")</f>
        <v>September</v>
      </c>
      <c r="E285" s="1" t="str">
        <f>TEXT(Delivery_data[[#This Row],[Order date]], "DDDD")</f>
        <v>Sunday</v>
      </c>
      <c r="F285" s="2">
        <v>0.59166666666666667</v>
      </c>
      <c r="G285" t="s">
        <v>48</v>
      </c>
      <c r="H285" t="str">
        <f>IF(Delivery_data[[#This Row],[Order Status]] = "In Progress", "Backlog", "Complete")</f>
        <v>Backlog</v>
      </c>
      <c r="I285" t="s">
        <v>71</v>
      </c>
      <c r="J285" t="s">
        <v>1637</v>
      </c>
      <c r="K285" t="s">
        <v>61</v>
      </c>
      <c r="L285">
        <v>75</v>
      </c>
      <c r="M285">
        <v>26</v>
      </c>
      <c r="N285" t="s">
        <v>32</v>
      </c>
      <c r="O285" t="s">
        <v>54</v>
      </c>
      <c r="P285" t="s">
        <v>45</v>
      </c>
      <c r="Q285" t="s">
        <v>51</v>
      </c>
      <c r="R285" s="2">
        <v>0.44791666666666669</v>
      </c>
    </row>
    <row r="286" spans="1:18" x14ac:dyDescent="0.25">
      <c r="A286" t="s">
        <v>1725</v>
      </c>
      <c r="B286" t="s">
        <v>199</v>
      </c>
      <c r="C286" s="1">
        <v>45172</v>
      </c>
      <c r="D286" s="1" t="str">
        <f>TEXT(Delivery_data[[#This Row],[Order date]], "MMMM")</f>
        <v>September</v>
      </c>
      <c r="E286" s="1" t="str">
        <f>TEXT(Delivery_data[[#This Row],[Order date]], "DDDD")</f>
        <v>Sunday</v>
      </c>
      <c r="F286" s="2">
        <v>0.43263888888888891</v>
      </c>
      <c r="G286" t="s">
        <v>22</v>
      </c>
      <c r="H286" t="str">
        <f>IF(Delivery_data[[#This Row],[Order Status]] = "In Progress", "Backlog", "Complete")</f>
        <v>Complete</v>
      </c>
      <c r="I286" t="s">
        <v>71</v>
      </c>
      <c r="J286" t="s">
        <v>1637</v>
      </c>
      <c r="K286" t="s">
        <v>37</v>
      </c>
      <c r="L286">
        <v>167</v>
      </c>
      <c r="M286">
        <v>24</v>
      </c>
      <c r="N286" t="s">
        <v>38</v>
      </c>
      <c r="O286" t="s">
        <v>50</v>
      </c>
      <c r="P286" t="s">
        <v>45</v>
      </c>
      <c r="Q286" t="s">
        <v>51</v>
      </c>
      <c r="R286" s="2">
        <v>0.54791666666666672</v>
      </c>
    </row>
    <row r="287" spans="1:18" x14ac:dyDescent="0.25">
      <c r="A287" t="s">
        <v>1726</v>
      </c>
      <c r="B287" t="s">
        <v>200</v>
      </c>
      <c r="C287" s="1">
        <v>45173</v>
      </c>
      <c r="D287" s="1" t="str">
        <f>TEXT(Delivery_data[[#This Row],[Order date]], "MMMM")</f>
        <v>September</v>
      </c>
      <c r="E287" s="1" t="str">
        <f>TEXT(Delivery_data[[#This Row],[Order date]], "DDDD")</f>
        <v>Monday</v>
      </c>
      <c r="F287" s="2">
        <v>0.5541666666666667</v>
      </c>
      <c r="G287" t="s">
        <v>22</v>
      </c>
      <c r="H287" t="str">
        <f>IF(Delivery_data[[#This Row],[Order Status]] = "In Progress", "Backlog", "Complete")</f>
        <v>Complete</v>
      </c>
      <c r="I287" t="s">
        <v>71</v>
      </c>
      <c r="J287" t="s">
        <v>1637</v>
      </c>
      <c r="K287" t="s">
        <v>24</v>
      </c>
      <c r="L287">
        <v>225</v>
      </c>
      <c r="M287">
        <v>18</v>
      </c>
      <c r="N287" t="s">
        <v>38</v>
      </c>
      <c r="O287" t="s">
        <v>41</v>
      </c>
      <c r="P287" t="s">
        <v>34</v>
      </c>
      <c r="Q287" t="s">
        <v>46</v>
      </c>
      <c r="R287" s="2">
        <v>0.60763888888888884</v>
      </c>
    </row>
    <row r="288" spans="1:18" x14ac:dyDescent="0.25">
      <c r="A288" t="s">
        <v>1886</v>
      </c>
      <c r="B288" t="s">
        <v>387</v>
      </c>
      <c r="C288" s="1">
        <v>45175</v>
      </c>
      <c r="D288" s="1" t="str">
        <f>TEXT(Delivery_data[[#This Row],[Order date]], "MMMM")</f>
        <v>September</v>
      </c>
      <c r="E288" s="1" t="str">
        <f>TEXT(Delivery_data[[#This Row],[Order date]], "DDDD")</f>
        <v>Wednesday</v>
      </c>
      <c r="F288" s="2">
        <v>0.59097222222222223</v>
      </c>
      <c r="G288" t="s">
        <v>22</v>
      </c>
      <c r="H288" t="str">
        <f>IF(Delivery_data[[#This Row],[Order Status]] = "In Progress", "Backlog", "Complete")</f>
        <v>Complete</v>
      </c>
      <c r="I288" t="s">
        <v>71</v>
      </c>
      <c r="J288" t="s">
        <v>1633</v>
      </c>
      <c r="K288" t="s">
        <v>61</v>
      </c>
      <c r="L288">
        <v>64</v>
      </c>
      <c r="M288">
        <v>9</v>
      </c>
      <c r="N288" t="s">
        <v>38</v>
      </c>
      <c r="O288" t="s">
        <v>33</v>
      </c>
      <c r="P288" t="s">
        <v>34</v>
      </c>
      <c r="Q288" t="s">
        <v>46</v>
      </c>
      <c r="R288" s="2">
        <v>0.72291666666666665</v>
      </c>
    </row>
    <row r="289" spans="1:18" x14ac:dyDescent="0.25">
      <c r="A289" t="s">
        <v>1900</v>
      </c>
      <c r="B289" t="s">
        <v>401</v>
      </c>
      <c r="C289" s="1">
        <v>45170</v>
      </c>
      <c r="D289" s="1" t="str">
        <f>TEXT(Delivery_data[[#This Row],[Order date]], "MMMM")</f>
        <v>September</v>
      </c>
      <c r="E289" s="1" t="str">
        <f>TEXT(Delivery_data[[#This Row],[Order date]], "DDDD")</f>
        <v>Friday</v>
      </c>
      <c r="F289" s="2">
        <v>0.51458333333333328</v>
      </c>
      <c r="G289" t="s">
        <v>22</v>
      </c>
      <c r="H289" t="str">
        <f>IF(Delivery_data[[#This Row],[Order Status]] = "In Progress", "Backlog", "Complete")</f>
        <v>Complete</v>
      </c>
      <c r="I289" t="s">
        <v>71</v>
      </c>
      <c r="J289" t="s">
        <v>1637</v>
      </c>
      <c r="K289" t="s">
        <v>44</v>
      </c>
      <c r="L289">
        <v>109</v>
      </c>
      <c r="M289">
        <v>10</v>
      </c>
      <c r="N289" t="s">
        <v>32</v>
      </c>
      <c r="O289" t="s">
        <v>50</v>
      </c>
      <c r="P289" t="s">
        <v>45</v>
      </c>
      <c r="Q289" t="s">
        <v>46</v>
      </c>
      <c r="R289" s="2">
        <v>0.58263888888888893</v>
      </c>
    </row>
    <row r="290" spans="1:18" x14ac:dyDescent="0.25">
      <c r="A290" t="s">
        <v>2413</v>
      </c>
      <c r="B290" t="s">
        <v>907</v>
      </c>
      <c r="C290" s="1">
        <v>45176</v>
      </c>
      <c r="D290" s="1" t="str">
        <f>TEXT(Delivery_data[[#This Row],[Order date]], "MMMM")</f>
        <v>September</v>
      </c>
      <c r="E290" s="1" t="str">
        <f>TEXT(Delivery_data[[#This Row],[Order date]], "DDDD")</f>
        <v>Thursday</v>
      </c>
      <c r="F290" s="2">
        <v>0.59444444444444444</v>
      </c>
      <c r="G290" t="s">
        <v>48</v>
      </c>
      <c r="H290" t="str">
        <f>IF(Delivery_data[[#This Row],[Order Status]] = "In Progress", "Backlog", "Complete")</f>
        <v>Backlog</v>
      </c>
      <c r="I290" t="s">
        <v>71</v>
      </c>
      <c r="J290" t="s">
        <v>1633</v>
      </c>
      <c r="K290" t="s">
        <v>44</v>
      </c>
      <c r="L290">
        <v>153</v>
      </c>
      <c r="M290">
        <v>5</v>
      </c>
      <c r="N290" t="s">
        <v>25</v>
      </c>
      <c r="O290" t="s">
        <v>26</v>
      </c>
      <c r="P290" t="s">
        <v>34</v>
      </c>
      <c r="Q290" t="s">
        <v>46</v>
      </c>
      <c r="R290" s="2">
        <v>0.35625000000000001</v>
      </c>
    </row>
    <row r="291" spans="1:18" x14ac:dyDescent="0.25">
      <c r="A291" t="s">
        <v>2427</v>
      </c>
      <c r="B291" t="s">
        <v>920</v>
      </c>
      <c r="C291" s="1">
        <v>45176</v>
      </c>
      <c r="D291" s="1" t="str">
        <f>TEXT(Delivery_data[[#This Row],[Order date]], "MMMM")</f>
        <v>September</v>
      </c>
      <c r="E291" s="1" t="str">
        <f>TEXT(Delivery_data[[#This Row],[Order date]], "DDDD")</f>
        <v>Thursday</v>
      </c>
      <c r="F291" s="2">
        <v>0.40208333333333335</v>
      </c>
      <c r="G291" t="s">
        <v>22</v>
      </c>
      <c r="H291" t="str">
        <f>IF(Delivery_data[[#This Row],[Order Status]] = "In Progress", "Backlog", "Complete")</f>
        <v>Complete</v>
      </c>
      <c r="I291" t="s">
        <v>71</v>
      </c>
      <c r="J291" t="s">
        <v>1637</v>
      </c>
      <c r="K291" t="s">
        <v>31</v>
      </c>
      <c r="L291">
        <v>195</v>
      </c>
      <c r="M291">
        <v>6</v>
      </c>
      <c r="N291" t="s">
        <v>25</v>
      </c>
      <c r="O291" t="s">
        <v>50</v>
      </c>
      <c r="P291" t="s">
        <v>27</v>
      </c>
      <c r="Q291" t="s">
        <v>51</v>
      </c>
      <c r="R291" s="2">
        <v>0.42291666666666666</v>
      </c>
    </row>
    <row r="292" spans="1:18" x14ac:dyDescent="0.25">
      <c r="A292" t="s">
        <v>2447</v>
      </c>
      <c r="B292" t="s">
        <v>939</v>
      </c>
      <c r="C292" s="1">
        <v>45176</v>
      </c>
      <c r="D292" s="1" t="str">
        <f>TEXT(Delivery_data[[#This Row],[Order date]], "MMMM")</f>
        <v>September</v>
      </c>
      <c r="E292" s="1" t="str">
        <f>TEXT(Delivery_data[[#This Row],[Order date]], "DDDD")</f>
        <v>Thursday</v>
      </c>
      <c r="F292" s="2">
        <v>0.58888888888888891</v>
      </c>
      <c r="G292" t="s">
        <v>22</v>
      </c>
      <c r="H292" t="str">
        <f>IF(Delivery_data[[#This Row],[Order Status]] = "In Progress", "Backlog", "Complete")</f>
        <v>Complete</v>
      </c>
      <c r="I292" t="s">
        <v>71</v>
      </c>
      <c r="J292" t="s">
        <v>1637</v>
      </c>
      <c r="K292" t="s">
        <v>37</v>
      </c>
      <c r="L292">
        <v>205</v>
      </c>
      <c r="M292">
        <v>5</v>
      </c>
      <c r="N292" t="s">
        <v>32</v>
      </c>
      <c r="O292" t="s">
        <v>54</v>
      </c>
      <c r="P292" t="s">
        <v>45</v>
      </c>
      <c r="Q292" t="s">
        <v>51</v>
      </c>
      <c r="R292" s="2">
        <v>0.66527777777777775</v>
      </c>
    </row>
    <row r="293" spans="1:18" x14ac:dyDescent="0.25">
      <c r="A293" t="s">
        <v>2482</v>
      </c>
      <c r="B293" t="s">
        <v>973</v>
      </c>
      <c r="C293" s="1">
        <v>45175</v>
      </c>
      <c r="D293" s="1" t="str">
        <f>TEXT(Delivery_data[[#This Row],[Order date]], "MMMM")</f>
        <v>September</v>
      </c>
      <c r="E293" s="1" t="str">
        <f>TEXT(Delivery_data[[#This Row],[Order date]], "DDDD")</f>
        <v>Wednesday</v>
      </c>
      <c r="F293" s="2">
        <v>0.67013888888888884</v>
      </c>
      <c r="G293" t="s">
        <v>22</v>
      </c>
      <c r="H293" t="str">
        <f>IF(Delivery_data[[#This Row],[Order Status]] = "In Progress", "Backlog", "Complete")</f>
        <v>Complete</v>
      </c>
      <c r="I293" t="s">
        <v>71</v>
      </c>
      <c r="J293" t="s">
        <v>1637</v>
      </c>
      <c r="K293" t="s">
        <v>24</v>
      </c>
      <c r="L293">
        <v>199</v>
      </c>
      <c r="M293">
        <v>27</v>
      </c>
      <c r="N293" t="s">
        <v>25</v>
      </c>
      <c r="O293" t="s">
        <v>41</v>
      </c>
      <c r="P293" t="s">
        <v>45</v>
      </c>
      <c r="Q293" t="s">
        <v>28</v>
      </c>
      <c r="R293" s="2">
        <v>0.35486111111111113</v>
      </c>
    </row>
    <row r="294" spans="1:18" x14ac:dyDescent="0.25">
      <c r="A294" t="s">
        <v>2602</v>
      </c>
      <c r="B294" t="s">
        <v>1086</v>
      </c>
      <c r="C294" s="1">
        <v>45170</v>
      </c>
      <c r="D294" s="1" t="str">
        <f>TEXT(Delivery_data[[#This Row],[Order date]], "MMMM")</f>
        <v>September</v>
      </c>
      <c r="E294" s="1" t="str">
        <f>TEXT(Delivery_data[[#This Row],[Order date]], "DDDD")</f>
        <v>Friday</v>
      </c>
      <c r="F294" s="2">
        <v>0.35416666666666669</v>
      </c>
      <c r="G294" t="s">
        <v>48</v>
      </c>
      <c r="H294" t="str">
        <f>IF(Delivery_data[[#This Row],[Order Status]] = "In Progress", "Backlog", "Complete")</f>
        <v>Backlog</v>
      </c>
      <c r="I294" t="s">
        <v>71</v>
      </c>
      <c r="J294" t="s">
        <v>1633</v>
      </c>
      <c r="K294" t="s">
        <v>61</v>
      </c>
      <c r="L294">
        <v>78</v>
      </c>
      <c r="M294">
        <v>3</v>
      </c>
      <c r="N294" t="s">
        <v>25</v>
      </c>
      <c r="O294" t="s">
        <v>54</v>
      </c>
      <c r="P294" t="s">
        <v>45</v>
      </c>
      <c r="Q294" t="s">
        <v>51</v>
      </c>
      <c r="R294" s="2">
        <v>0.49930555555555556</v>
      </c>
    </row>
    <row r="295" spans="1:18" x14ac:dyDescent="0.25">
      <c r="A295" t="s">
        <v>2639</v>
      </c>
      <c r="B295" t="s">
        <v>1122</v>
      </c>
      <c r="C295" s="1">
        <v>45175</v>
      </c>
      <c r="D295" s="1" t="str">
        <f>TEXT(Delivery_data[[#This Row],[Order date]], "MMMM")</f>
        <v>September</v>
      </c>
      <c r="E295" s="1" t="str">
        <f>TEXT(Delivery_data[[#This Row],[Order date]], "DDDD")</f>
        <v>Wednesday</v>
      </c>
      <c r="F295" s="2">
        <v>0.62222222222222223</v>
      </c>
      <c r="G295" t="s">
        <v>48</v>
      </c>
      <c r="H295" t="str">
        <f>IF(Delivery_data[[#This Row],[Order Status]] = "In Progress", "Backlog", "Complete")</f>
        <v>Backlog</v>
      </c>
      <c r="I295" t="s">
        <v>71</v>
      </c>
      <c r="J295" t="s">
        <v>1637</v>
      </c>
      <c r="K295" t="s">
        <v>31</v>
      </c>
      <c r="L295">
        <v>159</v>
      </c>
      <c r="M295">
        <v>21</v>
      </c>
      <c r="N295" t="s">
        <v>38</v>
      </c>
      <c r="O295" t="s">
        <v>41</v>
      </c>
      <c r="P295" t="s">
        <v>45</v>
      </c>
      <c r="Q295" t="s">
        <v>51</v>
      </c>
      <c r="R295" s="2">
        <v>0.55208333333333337</v>
      </c>
    </row>
    <row r="296" spans="1:18" x14ac:dyDescent="0.25">
      <c r="A296" t="s">
        <v>3083</v>
      </c>
      <c r="B296" t="s">
        <v>1549</v>
      </c>
      <c r="C296" s="1">
        <v>45173</v>
      </c>
      <c r="D296" s="1" t="str">
        <f>TEXT(Delivery_data[[#This Row],[Order date]], "MMMM")</f>
        <v>September</v>
      </c>
      <c r="E296" s="1" t="str">
        <f>TEXT(Delivery_data[[#This Row],[Order date]], "DDDD")</f>
        <v>Monday</v>
      </c>
      <c r="F296" s="2">
        <v>0.38263888888888886</v>
      </c>
      <c r="G296" t="s">
        <v>48</v>
      </c>
      <c r="H296" t="str">
        <f>IF(Delivery_data[[#This Row],[Order Status]] = "In Progress", "Backlog", "Complete")</f>
        <v>Backlog</v>
      </c>
      <c r="I296" t="s">
        <v>71</v>
      </c>
      <c r="J296" t="s">
        <v>1633</v>
      </c>
      <c r="K296" t="s">
        <v>44</v>
      </c>
      <c r="L296">
        <v>236</v>
      </c>
      <c r="M296">
        <v>25</v>
      </c>
      <c r="N296" t="s">
        <v>32</v>
      </c>
      <c r="O296" t="s">
        <v>26</v>
      </c>
      <c r="P296" t="s">
        <v>34</v>
      </c>
      <c r="Q296" t="s">
        <v>51</v>
      </c>
      <c r="R296" s="2">
        <v>0.53680555555555554</v>
      </c>
    </row>
    <row r="297" spans="1:18" x14ac:dyDescent="0.25">
      <c r="A297" t="s">
        <v>1810</v>
      </c>
      <c r="B297" t="s">
        <v>305</v>
      </c>
      <c r="C297" s="1">
        <v>45171</v>
      </c>
      <c r="D297" s="1" t="str">
        <f>TEXT(Delivery_data[[#This Row],[Order date]], "MMMM")</f>
        <v>September</v>
      </c>
      <c r="E297" s="1" t="str">
        <f>TEXT(Delivery_data[[#This Row],[Order date]], "DDDD")</f>
        <v>Saturday</v>
      </c>
      <c r="F297" s="2">
        <v>0.33819444444444446</v>
      </c>
      <c r="G297" t="s">
        <v>48</v>
      </c>
      <c r="H297" t="str">
        <f>IF(Delivery_data[[#This Row],[Order Status]] = "In Progress", "Backlog", "Complete")</f>
        <v>Backlog</v>
      </c>
      <c r="I297" t="s">
        <v>306</v>
      </c>
      <c r="J297" t="s">
        <v>1637</v>
      </c>
      <c r="K297" t="s">
        <v>24</v>
      </c>
      <c r="L297">
        <v>204</v>
      </c>
      <c r="M297">
        <v>20</v>
      </c>
      <c r="N297" t="s">
        <v>25</v>
      </c>
      <c r="O297" t="s">
        <v>33</v>
      </c>
      <c r="P297" t="s">
        <v>27</v>
      </c>
      <c r="Q297" t="s">
        <v>28</v>
      </c>
      <c r="R297" s="2">
        <v>0.62569444444444444</v>
      </c>
    </row>
    <row r="298" spans="1:18" x14ac:dyDescent="0.25">
      <c r="A298" t="s">
        <v>1885</v>
      </c>
      <c r="B298" t="s">
        <v>386</v>
      </c>
      <c r="C298" s="1">
        <v>45170</v>
      </c>
      <c r="D298" s="1" t="str">
        <f>TEXT(Delivery_data[[#This Row],[Order date]], "MMMM")</f>
        <v>September</v>
      </c>
      <c r="E298" s="1" t="str">
        <f>TEXT(Delivery_data[[#This Row],[Order date]], "DDDD")</f>
        <v>Friday</v>
      </c>
      <c r="F298" s="2">
        <v>0.45902777777777776</v>
      </c>
      <c r="G298" t="s">
        <v>22</v>
      </c>
      <c r="H298" t="str">
        <f>IF(Delivery_data[[#This Row],[Order Status]] = "In Progress", "Backlog", "Complete")</f>
        <v>Complete</v>
      </c>
      <c r="I298" t="s">
        <v>306</v>
      </c>
      <c r="J298" t="s">
        <v>1631</v>
      </c>
      <c r="K298" t="s">
        <v>61</v>
      </c>
      <c r="L298">
        <v>128</v>
      </c>
      <c r="M298">
        <v>16</v>
      </c>
      <c r="N298" t="s">
        <v>25</v>
      </c>
      <c r="O298" t="s">
        <v>26</v>
      </c>
      <c r="P298" t="s">
        <v>27</v>
      </c>
      <c r="Q298" t="s">
        <v>28</v>
      </c>
      <c r="R298" s="2">
        <v>0.66527777777777775</v>
      </c>
    </row>
    <row r="299" spans="1:18" x14ac:dyDescent="0.25">
      <c r="A299" t="s">
        <v>1892</v>
      </c>
      <c r="B299" t="s">
        <v>393</v>
      </c>
      <c r="C299" s="1">
        <v>45177</v>
      </c>
      <c r="D299" s="1" t="str">
        <f>TEXT(Delivery_data[[#This Row],[Order date]], "MMMM")</f>
        <v>September</v>
      </c>
      <c r="E299" s="1" t="str">
        <f>TEXT(Delivery_data[[#This Row],[Order date]], "DDDD")</f>
        <v>Friday</v>
      </c>
      <c r="F299" s="2">
        <v>0.59027777777777779</v>
      </c>
      <c r="G299" t="s">
        <v>22</v>
      </c>
      <c r="H299" t="str">
        <f>IF(Delivery_data[[#This Row],[Order Status]] = "In Progress", "Backlog", "Complete")</f>
        <v>Complete</v>
      </c>
      <c r="I299" t="s">
        <v>306</v>
      </c>
      <c r="J299" t="s">
        <v>1633</v>
      </c>
      <c r="K299" t="s">
        <v>61</v>
      </c>
      <c r="L299">
        <v>193</v>
      </c>
      <c r="M299">
        <v>5</v>
      </c>
      <c r="N299" t="s">
        <v>38</v>
      </c>
      <c r="O299" t="s">
        <v>26</v>
      </c>
      <c r="P299" t="s">
        <v>27</v>
      </c>
      <c r="Q299" t="s">
        <v>28</v>
      </c>
      <c r="R299" s="2">
        <v>0.41458333333333336</v>
      </c>
    </row>
    <row r="300" spans="1:18" x14ac:dyDescent="0.25">
      <c r="A300" t="s">
        <v>1992</v>
      </c>
      <c r="B300" t="s">
        <v>497</v>
      </c>
      <c r="C300" s="1">
        <v>45173</v>
      </c>
      <c r="D300" s="1" t="str">
        <f>TEXT(Delivery_data[[#This Row],[Order date]], "MMMM")</f>
        <v>September</v>
      </c>
      <c r="E300" s="1" t="str">
        <f>TEXT(Delivery_data[[#This Row],[Order date]], "DDDD")</f>
        <v>Monday</v>
      </c>
      <c r="F300" s="2">
        <v>0.38472222222222224</v>
      </c>
      <c r="G300" t="s">
        <v>22</v>
      </c>
      <c r="H300" t="str">
        <f>IF(Delivery_data[[#This Row],[Order Status]] = "In Progress", "Backlog", "Complete")</f>
        <v>Complete</v>
      </c>
      <c r="I300" t="s">
        <v>306</v>
      </c>
      <c r="J300" t="s">
        <v>1631</v>
      </c>
      <c r="K300" t="s">
        <v>44</v>
      </c>
      <c r="L300">
        <v>171</v>
      </c>
      <c r="M300">
        <v>27</v>
      </c>
      <c r="N300" t="s">
        <v>38</v>
      </c>
      <c r="O300" t="s">
        <v>41</v>
      </c>
      <c r="P300" t="s">
        <v>34</v>
      </c>
      <c r="Q300" t="s">
        <v>46</v>
      </c>
      <c r="R300" s="2">
        <v>0.71388888888888891</v>
      </c>
    </row>
    <row r="301" spans="1:18" x14ac:dyDescent="0.25">
      <c r="A301" t="s">
        <v>2023</v>
      </c>
      <c r="B301" t="s">
        <v>528</v>
      </c>
      <c r="C301" s="1">
        <v>45177</v>
      </c>
      <c r="D301" s="1" t="str">
        <f>TEXT(Delivery_data[[#This Row],[Order date]], "MMMM")</f>
        <v>September</v>
      </c>
      <c r="E301" s="1" t="str">
        <f>TEXT(Delivery_data[[#This Row],[Order date]], "DDDD")</f>
        <v>Friday</v>
      </c>
      <c r="F301" s="2">
        <v>0.41875000000000001</v>
      </c>
      <c r="G301" t="s">
        <v>48</v>
      </c>
      <c r="H301" t="str">
        <f>IF(Delivery_data[[#This Row],[Order Status]] = "In Progress", "Backlog", "Complete")</f>
        <v>Backlog</v>
      </c>
      <c r="I301" t="s">
        <v>306</v>
      </c>
      <c r="J301" t="s">
        <v>1633</v>
      </c>
      <c r="K301" t="s">
        <v>31</v>
      </c>
      <c r="L301">
        <v>176</v>
      </c>
      <c r="M301">
        <v>14</v>
      </c>
      <c r="N301" t="s">
        <v>25</v>
      </c>
      <c r="O301" t="s">
        <v>50</v>
      </c>
      <c r="P301" t="s">
        <v>45</v>
      </c>
      <c r="Q301" t="s">
        <v>46</v>
      </c>
      <c r="R301" s="2">
        <v>0.3659722222222222</v>
      </c>
    </row>
    <row r="302" spans="1:18" x14ac:dyDescent="0.25">
      <c r="A302" t="s">
        <v>2032</v>
      </c>
      <c r="B302" t="s">
        <v>537</v>
      </c>
      <c r="C302" s="1">
        <v>45170</v>
      </c>
      <c r="D302" s="1" t="str">
        <f>TEXT(Delivery_data[[#This Row],[Order date]], "MMMM")</f>
        <v>September</v>
      </c>
      <c r="E302" s="1" t="str">
        <f>TEXT(Delivery_data[[#This Row],[Order date]], "DDDD")</f>
        <v>Friday</v>
      </c>
      <c r="F302" s="2">
        <v>0.55763888888888891</v>
      </c>
      <c r="G302" t="s">
        <v>22</v>
      </c>
      <c r="H302" t="str">
        <f>IF(Delivery_data[[#This Row],[Order Status]] = "In Progress", "Backlog", "Complete")</f>
        <v>Complete</v>
      </c>
      <c r="I302" t="s">
        <v>306</v>
      </c>
      <c r="J302" t="s">
        <v>1637</v>
      </c>
      <c r="K302" t="s">
        <v>31</v>
      </c>
      <c r="L302">
        <v>63</v>
      </c>
      <c r="M302">
        <v>21</v>
      </c>
      <c r="N302" t="s">
        <v>32</v>
      </c>
      <c r="O302" t="s">
        <v>50</v>
      </c>
      <c r="P302" t="s">
        <v>34</v>
      </c>
      <c r="Q302" t="s">
        <v>46</v>
      </c>
      <c r="R302" s="2">
        <v>0.6645833333333333</v>
      </c>
    </row>
    <row r="303" spans="1:18" x14ac:dyDescent="0.25">
      <c r="A303" t="s">
        <v>2049</v>
      </c>
      <c r="B303" t="s">
        <v>554</v>
      </c>
      <c r="C303" s="1">
        <v>45176</v>
      </c>
      <c r="D303" s="1" t="str">
        <f>TEXT(Delivery_data[[#This Row],[Order date]], "MMMM")</f>
        <v>September</v>
      </c>
      <c r="E303" s="1" t="str">
        <f>TEXT(Delivery_data[[#This Row],[Order date]], "DDDD")</f>
        <v>Thursday</v>
      </c>
      <c r="F303" s="2">
        <v>0.55277777777777781</v>
      </c>
      <c r="G303" t="s">
        <v>22</v>
      </c>
      <c r="H303" t="str">
        <f>IF(Delivery_data[[#This Row],[Order Status]] = "In Progress", "Backlog", "Complete")</f>
        <v>Complete</v>
      </c>
      <c r="I303" t="s">
        <v>306</v>
      </c>
      <c r="J303" t="s">
        <v>1637</v>
      </c>
      <c r="K303" t="s">
        <v>61</v>
      </c>
      <c r="L303">
        <v>216</v>
      </c>
      <c r="M303">
        <v>9</v>
      </c>
      <c r="N303" t="s">
        <v>32</v>
      </c>
      <c r="O303" t="s">
        <v>50</v>
      </c>
      <c r="P303" t="s">
        <v>34</v>
      </c>
      <c r="Q303" t="s">
        <v>28</v>
      </c>
      <c r="R303" s="2">
        <v>0.45277777777777778</v>
      </c>
    </row>
    <row r="304" spans="1:18" x14ac:dyDescent="0.25">
      <c r="A304" t="s">
        <v>2055</v>
      </c>
      <c r="B304" t="s">
        <v>560</v>
      </c>
      <c r="C304" s="1">
        <v>45170</v>
      </c>
      <c r="D304" s="1" t="str">
        <f>TEXT(Delivery_data[[#This Row],[Order date]], "MMMM")</f>
        <v>September</v>
      </c>
      <c r="E304" s="1" t="str">
        <f>TEXT(Delivery_data[[#This Row],[Order date]], "DDDD")</f>
        <v>Friday</v>
      </c>
      <c r="F304" s="2">
        <v>0.49930555555555556</v>
      </c>
      <c r="G304" t="s">
        <v>22</v>
      </c>
      <c r="H304" t="str">
        <f>IF(Delivery_data[[#This Row],[Order Status]] = "In Progress", "Backlog", "Complete")</f>
        <v>Complete</v>
      </c>
      <c r="I304" t="s">
        <v>306</v>
      </c>
      <c r="J304" t="s">
        <v>1633</v>
      </c>
      <c r="K304" t="s">
        <v>44</v>
      </c>
      <c r="L304">
        <v>192</v>
      </c>
      <c r="M304">
        <v>16</v>
      </c>
      <c r="N304" t="s">
        <v>38</v>
      </c>
      <c r="O304" t="s">
        <v>26</v>
      </c>
      <c r="P304" t="s">
        <v>34</v>
      </c>
      <c r="Q304" t="s">
        <v>46</v>
      </c>
      <c r="R304" s="2">
        <v>0.67708333333333337</v>
      </c>
    </row>
    <row r="305" spans="1:18" x14ac:dyDescent="0.25">
      <c r="A305" t="s">
        <v>2182</v>
      </c>
      <c r="B305" t="s">
        <v>683</v>
      </c>
      <c r="C305" s="1">
        <v>45176</v>
      </c>
      <c r="D305" s="1" t="str">
        <f>TEXT(Delivery_data[[#This Row],[Order date]], "MMMM")</f>
        <v>September</v>
      </c>
      <c r="E305" s="1" t="str">
        <f>TEXT(Delivery_data[[#This Row],[Order date]], "DDDD")</f>
        <v>Thursday</v>
      </c>
      <c r="F305" s="2">
        <v>0.6069444444444444</v>
      </c>
      <c r="G305" t="s">
        <v>22</v>
      </c>
      <c r="H305" t="str">
        <f>IF(Delivery_data[[#This Row],[Order Status]] = "In Progress", "Backlog", "Complete")</f>
        <v>Complete</v>
      </c>
      <c r="I305" t="s">
        <v>306</v>
      </c>
      <c r="J305" t="s">
        <v>1637</v>
      </c>
      <c r="K305" t="s">
        <v>61</v>
      </c>
      <c r="L305">
        <v>72</v>
      </c>
      <c r="M305">
        <v>26</v>
      </c>
      <c r="N305" t="s">
        <v>32</v>
      </c>
      <c r="O305" t="s">
        <v>26</v>
      </c>
      <c r="P305" t="s">
        <v>27</v>
      </c>
      <c r="Q305" t="s">
        <v>46</v>
      </c>
      <c r="R305" s="2">
        <v>0.35833333333333334</v>
      </c>
    </row>
    <row r="306" spans="1:18" x14ac:dyDescent="0.25">
      <c r="A306" t="s">
        <v>2526</v>
      </c>
      <c r="B306" t="s">
        <v>1014</v>
      </c>
      <c r="C306" s="1">
        <v>45174</v>
      </c>
      <c r="D306" s="1" t="str">
        <f>TEXT(Delivery_data[[#This Row],[Order date]], "MMMM")</f>
        <v>September</v>
      </c>
      <c r="E306" s="1" t="str">
        <f>TEXT(Delivery_data[[#This Row],[Order date]], "DDDD")</f>
        <v>Tuesday</v>
      </c>
      <c r="F306" s="2">
        <v>0.41944444444444445</v>
      </c>
      <c r="G306" t="s">
        <v>48</v>
      </c>
      <c r="H306" t="str">
        <f>IF(Delivery_data[[#This Row],[Order Status]] = "In Progress", "Backlog", "Complete")</f>
        <v>Backlog</v>
      </c>
      <c r="I306" t="s">
        <v>306</v>
      </c>
      <c r="J306" t="s">
        <v>1637</v>
      </c>
      <c r="K306" t="s">
        <v>24</v>
      </c>
      <c r="L306">
        <v>107</v>
      </c>
      <c r="M306">
        <v>7</v>
      </c>
      <c r="N306" t="s">
        <v>25</v>
      </c>
      <c r="O306" t="s">
        <v>33</v>
      </c>
      <c r="P306" t="s">
        <v>45</v>
      </c>
      <c r="Q306" t="s">
        <v>51</v>
      </c>
      <c r="R306" s="2">
        <v>0.57847222222222228</v>
      </c>
    </row>
    <row r="307" spans="1:18" x14ac:dyDescent="0.25">
      <c r="A307" t="s">
        <v>2658</v>
      </c>
      <c r="B307" t="s">
        <v>1141</v>
      </c>
      <c r="C307" s="1">
        <v>45175</v>
      </c>
      <c r="D307" s="1" t="str">
        <f>TEXT(Delivery_data[[#This Row],[Order date]], "MMMM")</f>
        <v>September</v>
      </c>
      <c r="E307" s="1" t="str">
        <f>TEXT(Delivery_data[[#This Row],[Order date]], "DDDD")</f>
        <v>Wednesday</v>
      </c>
      <c r="F307" s="2">
        <v>0.54027777777777775</v>
      </c>
      <c r="G307" t="s">
        <v>22</v>
      </c>
      <c r="H307" t="str">
        <f>IF(Delivery_data[[#This Row],[Order Status]] = "In Progress", "Backlog", "Complete")</f>
        <v>Complete</v>
      </c>
      <c r="I307" t="s">
        <v>306</v>
      </c>
      <c r="J307" t="s">
        <v>1637</v>
      </c>
      <c r="K307" t="s">
        <v>61</v>
      </c>
      <c r="L307">
        <v>224</v>
      </c>
      <c r="M307">
        <v>15</v>
      </c>
      <c r="N307" t="s">
        <v>38</v>
      </c>
      <c r="O307" t="s">
        <v>33</v>
      </c>
      <c r="P307" t="s">
        <v>45</v>
      </c>
      <c r="Q307" t="s">
        <v>46</v>
      </c>
      <c r="R307" s="2">
        <v>0.66527777777777775</v>
      </c>
    </row>
    <row r="308" spans="1:18" x14ac:dyDescent="0.25">
      <c r="A308" t="s">
        <v>2669</v>
      </c>
      <c r="B308" t="s">
        <v>1152</v>
      </c>
      <c r="C308" s="1">
        <v>45170</v>
      </c>
      <c r="D308" s="1" t="str">
        <f>TEXT(Delivery_data[[#This Row],[Order date]], "MMMM")</f>
        <v>September</v>
      </c>
      <c r="E308" s="1" t="str">
        <f>TEXT(Delivery_data[[#This Row],[Order date]], "DDDD")</f>
        <v>Friday</v>
      </c>
      <c r="F308" s="2">
        <v>0.59444444444444444</v>
      </c>
      <c r="G308" t="s">
        <v>22</v>
      </c>
      <c r="H308" t="str">
        <f>IF(Delivery_data[[#This Row],[Order Status]] = "In Progress", "Backlog", "Complete")</f>
        <v>Complete</v>
      </c>
      <c r="I308" t="s">
        <v>306</v>
      </c>
      <c r="J308" t="s">
        <v>1633</v>
      </c>
      <c r="K308" t="s">
        <v>24</v>
      </c>
      <c r="L308">
        <v>153</v>
      </c>
      <c r="M308">
        <v>1</v>
      </c>
      <c r="N308" t="s">
        <v>25</v>
      </c>
      <c r="O308" t="s">
        <v>33</v>
      </c>
      <c r="P308" t="s">
        <v>45</v>
      </c>
      <c r="Q308" t="s">
        <v>46</v>
      </c>
      <c r="R308" s="2">
        <v>0.4909722222222222</v>
      </c>
    </row>
    <row r="309" spans="1:18" x14ac:dyDescent="0.25">
      <c r="A309" t="s">
        <v>2825</v>
      </c>
      <c r="B309" t="s">
        <v>1301</v>
      </c>
      <c r="C309" s="1">
        <v>45174</v>
      </c>
      <c r="D309" s="1" t="str">
        <f>TEXT(Delivery_data[[#This Row],[Order date]], "MMMM")</f>
        <v>September</v>
      </c>
      <c r="E309" s="1" t="str">
        <f>TEXT(Delivery_data[[#This Row],[Order date]], "DDDD")</f>
        <v>Tuesday</v>
      </c>
      <c r="F309" s="2">
        <v>0.59097222222222223</v>
      </c>
      <c r="G309" t="s">
        <v>48</v>
      </c>
      <c r="H309" t="str">
        <f>IF(Delivery_data[[#This Row],[Order Status]] = "In Progress", "Backlog", "Complete")</f>
        <v>Backlog</v>
      </c>
      <c r="I309" t="s">
        <v>306</v>
      </c>
      <c r="J309" t="s">
        <v>1631</v>
      </c>
      <c r="K309" t="s">
        <v>37</v>
      </c>
      <c r="L309">
        <v>155</v>
      </c>
      <c r="M309">
        <v>1</v>
      </c>
      <c r="N309" t="s">
        <v>25</v>
      </c>
      <c r="O309" t="s">
        <v>26</v>
      </c>
      <c r="P309" t="s">
        <v>27</v>
      </c>
      <c r="Q309" t="s">
        <v>51</v>
      </c>
      <c r="R309" s="2">
        <v>0.61805555555555558</v>
      </c>
    </row>
    <row r="310" spans="1:18" x14ac:dyDescent="0.25">
      <c r="A310" t="s">
        <v>2849</v>
      </c>
      <c r="B310" t="s">
        <v>1325</v>
      </c>
      <c r="C310" s="1">
        <v>45177</v>
      </c>
      <c r="D310" s="1" t="str">
        <f>TEXT(Delivery_data[[#This Row],[Order date]], "MMMM")</f>
        <v>September</v>
      </c>
      <c r="E310" s="1" t="str">
        <f>TEXT(Delivery_data[[#This Row],[Order date]], "DDDD")</f>
        <v>Friday</v>
      </c>
      <c r="F310" s="2">
        <v>0.65277777777777779</v>
      </c>
      <c r="G310" t="s">
        <v>48</v>
      </c>
      <c r="H310" t="str">
        <f>IF(Delivery_data[[#This Row],[Order Status]] = "In Progress", "Backlog", "Complete")</f>
        <v>Backlog</v>
      </c>
      <c r="I310" t="s">
        <v>306</v>
      </c>
      <c r="J310" t="s">
        <v>1637</v>
      </c>
      <c r="K310" t="s">
        <v>24</v>
      </c>
      <c r="L310">
        <v>121</v>
      </c>
      <c r="M310">
        <v>10</v>
      </c>
      <c r="N310" t="s">
        <v>32</v>
      </c>
      <c r="O310" t="s">
        <v>54</v>
      </c>
      <c r="P310" t="s">
        <v>34</v>
      </c>
      <c r="Q310" t="s">
        <v>28</v>
      </c>
      <c r="R310" s="2">
        <v>0.49236111111111114</v>
      </c>
    </row>
    <row r="311" spans="1:18" x14ac:dyDescent="0.25">
      <c r="A311" t="s">
        <v>3068</v>
      </c>
      <c r="B311" t="s">
        <v>1536</v>
      </c>
      <c r="C311" s="1">
        <v>45175</v>
      </c>
      <c r="D311" s="1" t="str">
        <f>TEXT(Delivery_data[[#This Row],[Order date]], "MMMM")</f>
        <v>September</v>
      </c>
      <c r="E311" s="1" t="str">
        <f>TEXT(Delivery_data[[#This Row],[Order date]], "DDDD")</f>
        <v>Wednesday</v>
      </c>
      <c r="F311" s="2">
        <v>0.65069444444444446</v>
      </c>
      <c r="G311" t="s">
        <v>48</v>
      </c>
      <c r="H311" t="str">
        <f>IF(Delivery_data[[#This Row],[Order Status]] = "In Progress", "Backlog", "Complete")</f>
        <v>Backlog</v>
      </c>
      <c r="I311" t="s">
        <v>306</v>
      </c>
      <c r="J311" t="s">
        <v>1631</v>
      </c>
      <c r="K311" t="s">
        <v>24</v>
      </c>
      <c r="L311">
        <v>185</v>
      </c>
      <c r="M311">
        <v>7</v>
      </c>
      <c r="N311" t="s">
        <v>25</v>
      </c>
      <c r="O311" t="s">
        <v>41</v>
      </c>
      <c r="P311" t="s">
        <v>34</v>
      </c>
      <c r="Q311" t="s">
        <v>28</v>
      </c>
      <c r="R311" s="2">
        <v>0.58333333333333337</v>
      </c>
    </row>
    <row r="312" spans="1:18" x14ac:dyDescent="0.25">
      <c r="A312" t="s">
        <v>3078</v>
      </c>
      <c r="B312" t="s">
        <v>1545</v>
      </c>
      <c r="C312" s="1">
        <v>45174</v>
      </c>
      <c r="D312" s="1" t="str">
        <f>TEXT(Delivery_data[[#This Row],[Order date]], "MMMM")</f>
        <v>September</v>
      </c>
      <c r="E312" s="1" t="str">
        <f>TEXT(Delivery_data[[#This Row],[Order date]], "DDDD")</f>
        <v>Tuesday</v>
      </c>
      <c r="F312" s="2">
        <v>0.67986111111111114</v>
      </c>
      <c r="G312" t="s">
        <v>48</v>
      </c>
      <c r="H312" t="str">
        <f>IF(Delivery_data[[#This Row],[Order Status]] = "In Progress", "Backlog", "Complete")</f>
        <v>Backlog</v>
      </c>
      <c r="I312" t="s">
        <v>306</v>
      </c>
      <c r="J312" t="s">
        <v>1631</v>
      </c>
      <c r="K312" t="s">
        <v>37</v>
      </c>
      <c r="L312">
        <v>215</v>
      </c>
      <c r="M312">
        <v>23</v>
      </c>
      <c r="N312" t="s">
        <v>32</v>
      </c>
      <c r="O312" t="s">
        <v>50</v>
      </c>
      <c r="P312" t="s">
        <v>45</v>
      </c>
      <c r="Q312" t="s">
        <v>28</v>
      </c>
      <c r="R312" s="2">
        <v>0.52847222222222223</v>
      </c>
    </row>
    <row r="313" spans="1:18" x14ac:dyDescent="0.25">
      <c r="A313" t="s">
        <v>3094</v>
      </c>
      <c r="B313" t="s">
        <v>1560</v>
      </c>
      <c r="C313" s="1">
        <v>45173</v>
      </c>
      <c r="D313" s="1" t="str">
        <f>TEXT(Delivery_data[[#This Row],[Order date]], "MMMM")</f>
        <v>September</v>
      </c>
      <c r="E313" s="1" t="str">
        <f>TEXT(Delivery_data[[#This Row],[Order date]], "DDDD")</f>
        <v>Monday</v>
      </c>
      <c r="F313" s="2">
        <v>0.60902777777777772</v>
      </c>
      <c r="G313" t="s">
        <v>48</v>
      </c>
      <c r="H313" t="str">
        <f>IF(Delivery_data[[#This Row],[Order Status]] = "In Progress", "Backlog", "Complete")</f>
        <v>Backlog</v>
      </c>
      <c r="I313" t="s">
        <v>306</v>
      </c>
      <c r="J313" t="s">
        <v>1631</v>
      </c>
      <c r="K313" t="s">
        <v>31</v>
      </c>
      <c r="L313">
        <v>72</v>
      </c>
      <c r="M313">
        <v>17</v>
      </c>
      <c r="N313" t="s">
        <v>38</v>
      </c>
      <c r="O313" t="s">
        <v>54</v>
      </c>
      <c r="P313" t="s">
        <v>34</v>
      </c>
      <c r="Q313" t="s">
        <v>51</v>
      </c>
      <c r="R313" s="2">
        <v>0.34930555555555554</v>
      </c>
    </row>
    <row r="314" spans="1:18" x14ac:dyDescent="0.25">
      <c r="A314" t="s">
        <v>1676</v>
      </c>
      <c r="B314" t="s">
        <v>122</v>
      </c>
      <c r="C314" s="1">
        <v>45174</v>
      </c>
      <c r="D314" s="1" t="str">
        <f>TEXT(Delivery_data[[#This Row],[Order date]], "MMMM")</f>
        <v>September</v>
      </c>
      <c r="E314" s="1" t="str">
        <f>TEXT(Delivery_data[[#This Row],[Order date]], "DDDD")</f>
        <v>Tuesday</v>
      </c>
      <c r="F314" s="2">
        <v>0.3888888888888889</v>
      </c>
      <c r="G314" t="s">
        <v>22</v>
      </c>
      <c r="H314" t="str">
        <f>IF(Delivery_data[[#This Row],[Order Status]] = "In Progress", "Backlog", "Complete")</f>
        <v>Complete</v>
      </c>
      <c r="I314" t="s">
        <v>123</v>
      </c>
      <c r="J314" t="s">
        <v>1637</v>
      </c>
      <c r="K314" t="s">
        <v>37</v>
      </c>
      <c r="L314">
        <v>114</v>
      </c>
      <c r="M314">
        <v>1</v>
      </c>
      <c r="N314" t="s">
        <v>38</v>
      </c>
      <c r="O314" t="s">
        <v>26</v>
      </c>
      <c r="P314" t="s">
        <v>45</v>
      </c>
      <c r="Q314" t="s">
        <v>28</v>
      </c>
      <c r="R314" s="2">
        <v>0.60138888888888886</v>
      </c>
    </row>
    <row r="315" spans="1:18" x14ac:dyDescent="0.25">
      <c r="A315" t="s">
        <v>1805</v>
      </c>
      <c r="B315" t="s">
        <v>300</v>
      </c>
      <c r="C315" s="1">
        <v>45170</v>
      </c>
      <c r="D315" s="1" t="str">
        <f>TEXT(Delivery_data[[#This Row],[Order date]], "MMMM")</f>
        <v>September</v>
      </c>
      <c r="E315" s="1" t="str">
        <f>TEXT(Delivery_data[[#This Row],[Order date]], "DDDD")</f>
        <v>Friday</v>
      </c>
      <c r="F315" s="2">
        <v>0.43402777777777779</v>
      </c>
      <c r="G315" t="s">
        <v>48</v>
      </c>
      <c r="H315" t="str">
        <f>IF(Delivery_data[[#This Row],[Order Status]] = "In Progress", "Backlog", "Complete")</f>
        <v>Backlog</v>
      </c>
      <c r="I315" t="s">
        <v>123</v>
      </c>
      <c r="J315" t="s">
        <v>1633</v>
      </c>
      <c r="K315" t="s">
        <v>24</v>
      </c>
      <c r="L315">
        <v>121</v>
      </c>
      <c r="M315">
        <v>29</v>
      </c>
      <c r="N315" t="s">
        <v>25</v>
      </c>
      <c r="O315" t="s">
        <v>50</v>
      </c>
      <c r="P315" t="s">
        <v>27</v>
      </c>
      <c r="Q315" t="s">
        <v>28</v>
      </c>
      <c r="R315" s="2">
        <v>0.39861111111111114</v>
      </c>
    </row>
    <row r="316" spans="1:18" x14ac:dyDescent="0.25">
      <c r="A316" t="s">
        <v>1908</v>
      </c>
      <c r="B316" t="s">
        <v>410</v>
      </c>
      <c r="C316" s="1">
        <v>45172</v>
      </c>
      <c r="D316" s="1" t="str">
        <f>TEXT(Delivery_data[[#This Row],[Order date]], "MMMM")</f>
        <v>September</v>
      </c>
      <c r="E316" s="1" t="str">
        <f>TEXT(Delivery_data[[#This Row],[Order date]], "DDDD")</f>
        <v>Sunday</v>
      </c>
      <c r="F316" s="2">
        <v>0.57638888888888884</v>
      </c>
      <c r="G316" t="s">
        <v>48</v>
      </c>
      <c r="H316" t="str">
        <f>IF(Delivery_data[[#This Row],[Order Status]] = "In Progress", "Backlog", "Complete")</f>
        <v>Backlog</v>
      </c>
      <c r="I316" t="s">
        <v>123</v>
      </c>
      <c r="J316" t="s">
        <v>1633</v>
      </c>
      <c r="K316" t="s">
        <v>44</v>
      </c>
      <c r="L316">
        <v>148</v>
      </c>
      <c r="M316">
        <v>29</v>
      </c>
      <c r="N316" t="s">
        <v>32</v>
      </c>
      <c r="O316" t="s">
        <v>33</v>
      </c>
      <c r="P316" t="s">
        <v>27</v>
      </c>
      <c r="Q316" t="s">
        <v>51</v>
      </c>
      <c r="R316" s="2">
        <v>0.43819444444444444</v>
      </c>
    </row>
    <row r="317" spans="1:18" x14ac:dyDescent="0.25">
      <c r="A317" t="s">
        <v>1969</v>
      </c>
      <c r="B317" t="s">
        <v>474</v>
      </c>
      <c r="C317" s="1">
        <v>45176</v>
      </c>
      <c r="D317" s="1" t="str">
        <f>TEXT(Delivery_data[[#This Row],[Order date]], "MMMM")</f>
        <v>September</v>
      </c>
      <c r="E317" s="1" t="str">
        <f>TEXT(Delivery_data[[#This Row],[Order date]], "DDDD")</f>
        <v>Thursday</v>
      </c>
      <c r="F317" s="2">
        <v>0.37222222222222223</v>
      </c>
      <c r="G317" t="s">
        <v>22</v>
      </c>
      <c r="H317" t="str">
        <f>IF(Delivery_data[[#This Row],[Order Status]] = "In Progress", "Backlog", "Complete")</f>
        <v>Complete</v>
      </c>
      <c r="I317" t="s">
        <v>123</v>
      </c>
      <c r="J317" t="s">
        <v>1631</v>
      </c>
      <c r="K317" t="s">
        <v>61</v>
      </c>
      <c r="L317">
        <v>67</v>
      </c>
      <c r="M317">
        <v>2</v>
      </c>
      <c r="N317" t="s">
        <v>32</v>
      </c>
      <c r="O317" t="s">
        <v>50</v>
      </c>
      <c r="P317" t="s">
        <v>45</v>
      </c>
      <c r="Q317" t="s">
        <v>28</v>
      </c>
      <c r="R317" s="2">
        <v>0.67361111111111116</v>
      </c>
    </row>
    <row r="318" spans="1:18" x14ac:dyDescent="0.25">
      <c r="A318" t="s">
        <v>2312</v>
      </c>
      <c r="B318" t="s">
        <v>810</v>
      </c>
      <c r="C318" s="1">
        <v>45170</v>
      </c>
      <c r="D318" s="1" t="str">
        <f>TEXT(Delivery_data[[#This Row],[Order date]], "MMMM")</f>
        <v>September</v>
      </c>
      <c r="E318" s="1" t="str">
        <f>TEXT(Delivery_data[[#This Row],[Order date]], "DDDD")</f>
        <v>Friday</v>
      </c>
      <c r="F318" s="2">
        <v>0.37708333333333333</v>
      </c>
      <c r="G318" t="s">
        <v>48</v>
      </c>
      <c r="H318" t="str">
        <f>IF(Delivery_data[[#This Row],[Order Status]] = "In Progress", "Backlog", "Complete")</f>
        <v>Backlog</v>
      </c>
      <c r="I318" t="s">
        <v>123</v>
      </c>
      <c r="J318" t="s">
        <v>1633</v>
      </c>
      <c r="K318" t="s">
        <v>24</v>
      </c>
      <c r="L318">
        <v>145</v>
      </c>
      <c r="M318">
        <v>9</v>
      </c>
      <c r="N318" t="s">
        <v>25</v>
      </c>
      <c r="O318" t="s">
        <v>41</v>
      </c>
      <c r="P318" t="s">
        <v>45</v>
      </c>
      <c r="Q318" t="s">
        <v>28</v>
      </c>
      <c r="R318" s="2">
        <v>0.52430555555555558</v>
      </c>
    </row>
    <row r="319" spans="1:18" x14ac:dyDescent="0.25">
      <c r="A319" t="s">
        <v>2386</v>
      </c>
      <c r="B319" t="s">
        <v>882</v>
      </c>
      <c r="C319" s="1">
        <v>45173</v>
      </c>
      <c r="D319" s="1" t="str">
        <f>TEXT(Delivery_data[[#This Row],[Order date]], "MMMM")</f>
        <v>September</v>
      </c>
      <c r="E319" s="1" t="str">
        <f>TEXT(Delivery_data[[#This Row],[Order date]], "DDDD")</f>
        <v>Monday</v>
      </c>
      <c r="F319" s="2">
        <v>0.47916666666666669</v>
      </c>
      <c r="G319" t="s">
        <v>22</v>
      </c>
      <c r="H319" t="str">
        <f>IF(Delivery_data[[#This Row],[Order Status]] = "In Progress", "Backlog", "Complete")</f>
        <v>Complete</v>
      </c>
      <c r="I319" t="s">
        <v>123</v>
      </c>
      <c r="J319" t="s">
        <v>1633</v>
      </c>
      <c r="K319" t="s">
        <v>44</v>
      </c>
      <c r="L319">
        <v>145</v>
      </c>
      <c r="M319">
        <v>23</v>
      </c>
      <c r="N319" t="s">
        <v>38</v>
      </c>
      <c r="O319" t="s">
        <v>50</v>
      </c>
      <c r="P319" t="s">
        <v>34</v>
      </c>
      <c r="Q319" t="s">
        <v>46</v>
      </c>
      <c r="R319" s="2">
        <v>0.50972222222222219</v>
      </c>
    </row>
    <row r="320" spans="1:18" x14ac:dyDescent="0.25">
      <c r="A320" t="s">
        <v>2844</v>
      </c>
      <c r="B320" t="s">
        <v>1320</v>
      </c>
      <c r="C320" s="1">
        <v>45170</v>
      </c>
      <c r="D320" s="1" t="str">
        <f>TEXT(Delivery_data[[#This Row],[Order date]], "MMMM")</f>
        <v>September</v>
      </c>
      <c r="E320" s="1" t="str">
        <f>TEXT(Delivery_data[[#This Row],[Order date]], "DDDD")</f>
        <v>Friday</v>
      </c>
      <c r="F320" s="2">
        <v>0.69027777777777777</v>
      </c>
      <c r="G320" t="s">
        <v>48</v>
      </c>
      <c r="H320" t="str">
        <f>IF(Delivery_data[[#This Row],[Order Status]] = "In Progress", "Backlog", "Complete")</f>
        <v>Backlog</v>
      </c>
      <c r="I320" t="s">
        <v>123</v>
      </c>
      <c r="J320" t="s">
        <v>1633</v>
      </c>
      <c r="K320" t="s">
        <v>61</v>
      </c>
      <c r="L320">
        <v>218</v>
      </c>
      <c r="M320">
        <v>16</v>
      </c>
      <c r="N320" t="s">
        <v>32</v>
      </c>
      <c r="O320" t="s">
        <v>33</v>
      </c>
      <c r="P320" t="s">
        <v>27</v>
      </c>
      <c r="Q320" t="s">
        <v>28</v>
      </c>
      <c r="R320" s="2">
        <v>0.55972222222222223</v>
      </c>
    </row>
    <row r="321" spans="1:18" x14ac:dyDescent="0.25">
      <c r="A321" t="s">
        <v>1752</v>
      </c>
      <c r="B321" t="s">
        <v>232</v>
      </c>
      <c r="C321" s="1">
        <v>45177</v>
      </c>
      <c r="D321" s="1" t="str">
        <f>TEXT(Delivery_data[[#This Row],[Order date]], "MMMM")</f>
        <v>September</v>
      </c>
      <c r="E321" s="1" t="str">
        <f>TEXT(Delivery_data[[#This Row],[Order date]], "DDDD")</f>
        <v>Friday</v>
      </c>
      <c r="F321" s="2">
        <v>0.46666666666666667</v>
      </c>
      <c r="G321" t="s">
        <v>22</v>
      </c>
      <c r="H321" t="str">
        <f>IF(Delivery_data[[#This Row],[Order Status]] = "In Progress", "Backlog", "Complete")</f>
        <v>Complete</v>
      </c>
      <c r="I321" t="s">
        <v>233</v>
      </c>
      <c r="J321" t="s">
        <v>1631</v>
      </c>
      <c r="K321" t="s">
        <v>31</v>
      </c>
      <c r="L321">
        <v>152</v>
      </c>
      <c r="M321">
        <v>26</v>
      </c>
      <c r="N321" t="s">
        <v>25</v>
      </c>
      <c r="O321" t="s">
        <v>54</v>
      </c>
      <c r="P321" t="s">
        <v>45</v>
      </c>
      <c r="Q321" t="s">
        <v>51</v>
      </c>
      <c r="R321" s="2">
        <v>0.57430555555555551</v>
      </c>
    </row>
    <row r="322" spans="1:18" x14ac:dyDescent="0.25">
      <c r="A322" t="s">
        <v>1767</v>
      </c>
      <c r="B322" t="s">
        <v>252</v>
      </c>
      <c r="C322" s="1">
        <v>45173</v>
      </c>
      <c r="D322" s="1" t="str">
        <f>TEXT(Delivery_data[[#This Row],[Order date]], "MMMM")</f>
        <v>September</v>
      </c>
      <c r="E322" s="1" t="str">
        <f>TEXT(Delivery_data[[#This Row],[Order date]], "DDDD")</f>
        <v>Monday</v>
      </c>
      <c r="F322" s="2">
        <v>0.59583333333333333</v>
      </c>
      <c r="G322" t="s">
        <v>48</v>
      </c>
      <c r="H322" t="str">
        <f>IF(Delivery_data[[#This Row],[Order Status]] = "In Progress", "Backlog", "Complete")</f>
        <v>Backlog</v>
      </c>
      <c r="I322" t="s">
        <v>233</v>
      </c>
      <c r="J322" t="s">
        <v>1631</v>
      </c>
      <c r="K322" t="s">
        <v>44</v>
      </c>
      <c r="L322">
        <v>185</v>
      </c>
      <c r="M322">
        <v>5</v>
      </c>
      <c r="N322" t="s">
        <v>25</v>
      </c>
      <c r="O322" t="s">
        <v>33</v>
      </c>
      <c r="P322" t="s">
        <v>34</v>
      </c>
      <c r="Q322" t="s">
        <v>28</v>
      </c>
      <c r="R322" s="2">
        <v>0.51111111111111107</v>
      </c>
    </row>
    <row r="323" spans="1:18" x14ac:dyDescent="0.25">
      <c r="A323" t="s">
        <v>1943</v>
      </c>
      <c r="B323" t="s">
        <v>447</v>
      </c>
      <c r="C323" s="1">
        <v>45175</v>
      </c>
      <c r="D323" s="1" t="str">
        <f>TEXT(Delivery_data[[#This Row],[Order date]], "MMMM")</f>
        <v>September</v>
      </c>
      <c r="E323" s="1" t="str">
        <f>TEXT(Delivery_data[[#This Row],[Order date]], "DDDD")</f>
        <v>Wednesday</v>
      </c>
      <c r="F323" s="2">
        <v>0.64722222222222225</v>
      </c>
      <c r="G323" t="s">
        <v>22</v>
      </c>
      <c r="H323" t="str">
        <f>IF(Delivery_data[[#This Row],[Order Status]] = "In Progress", "Backlog", "Complete")</f>
        <v>Complete</v>
      </c>
      <c r="I323" t="s">
        <v>233</v>
      </c>
      <c r="J323" t="s">
        <v>1637</v>
      </c>
      <c r="K323" t="s">
        <v>61</v>
      </c>
      <c r="L323">
        <v>174</v>
      </c>
      <c r="M323">
        <v>29</v>
      </c>
      <c r="N323" t="s">
        <v>25</v>
      </c>
      <c r="O323" t="s">
        <v>26</v>
      </c>
      <c r="P323" t="s">
        <v>45</v>
      </c>
      <c r="Q323" t="s">
        <v>51</v>
      </c>
      <c r="R323" s="2">
        <v>0.54652777777777772</v>
      </c>
    </row>
    <row r="324" spans="1:18" x14ac:dyDescent="0.25">
      <c r="A324" t="s">
        <v>2155</v>
      </c>
      <c r="B324" t="s">
        <v>658</v>
      </c>
      <c r="C324" s="1">
        <v>45170</v>
      </c>
      <c r="D324" s="1" t="str">
        <f>TEXT(Delivery_data[[#This Row],[Order date]], "MMMM")</f>
        <v>September</v>
      </c>
      <c r="E324" s="1" t="str">
        <f>TEXT(Delivery_data[[#This Row],[Order date]], "DDDD")</f>
        <v>Friday</v>
      </c>
      <c r="F324" s="2">
        <v>0.38750000000000001</v>
      </c>
      <c r="G324" t="s">
        <v>48</v>
      </c>
      <c r="H324" t="str">
        <f>IF(Delivery_data[[#This Row],[Order Status]] = "In Progress", "Backlog", "Complete")</f>
        <v>Backlog</v>
      </c>
      <c r="I324" t="s">
        <v>233</v>
      </c>
      <c r="J324" t="s">
        <v>1637</v>
      </c>
      <c r="K324" t="s">
        <v>61</v>
      </c>
      <c r="L324">
        <v>100</v>
      </c>
      <c r="M324">
        <v>22</v>
      </c>
      <c r="N324" t="s">
        <v>32</v>
      </c>
      <c r="O324" t="s">
        <v>33</v>
      </c>
      <c r="P324" t="s">
        <v>27</v>
      </c>
      <c r="Q324" t="s">
        <v>51</v>
      </c>
      <c r="R324" s="2">
        <v>0.56041666666666667</v>
      </c>
    </row>
    <row r="325" spans="1:18" x14ac:dyDescent="0.25">
      <c r="A325" t="s">
        <v>2161</v>
      </c>
      <c r="B325" t="s">
        <v>663</v>
      </c>
      <c r="C325" s="1">
        <v>45174</v>
      </c>
      <c r="D325" s="1" t="str">
        <f>TEXT(Delivery_data[[#This Row],[Order date]], "MMMM")</f>
        <v>September</v>
      </c>
      <c r="E325" s="1" t="str">
        <f>TEXT(Delivery_data[[#This Row],[Order date]], "DDDD")</f>
        <v>Tuesday</v>
      </c>
      <c r="F325" s="2">
        <v>0.47222222222222221</v>
      </c>
      <c r="G325" t="s">
        <v>48</v>
      </c>
      <c r="H325" t="str">
        <f>IF(Delivery_data[[#This Row],[Order Status]] = "In Progress", "Backlog", "Complete")</f>
        <v>Backlog</v>
      </c>
      <c r="I325" t="s">
        <v>233</v>
      </c>
      <c r="J325" t="s">
        <v>1637</v>
      </c>
      <c r="K325" t="s">
        <v>24</v>
      </c>
      <c r="L325">
        <v>213</v>
      </c>
      <c r="M325">
        <v>1</v>
      </c>
      <c r="N325" t="s">
        <v>25</v>
      </c>
      <c r="O325" t="s">
        <v>33</v>
      </c>
      <c r="P325" t="s">
        <v>45</v>
      </c>
      <c r="Q325" t="s">
        <v>28</v>
      </c>
      <c r="R325" s="2">
        <v>0.50069444444444444</v>
      </c>
    </row>
    <row r="326" spans="1:18" x14ac:dyDescent="0.25">
      <c r="A326" t="s">
        <v>2189</v>
      </c>
      <c r="B326" t="s">
        <v>690</v>
      </c>
      <c r="C326" s="1">
        <v>45177</v>
      </c>
      <c r="D326" s="1" t="str">
        <f>TEXT(Delivery_data[[#This Row],[Order date]], "MMMM")</f>
        <v>September</v>
      </c>
      <c r="E326" s="1" t="str">
        <f>TEXT(Delivery_data[[#This Row],[Order date]], "DDDD")</f>
        <v>Friday</v>
      </c>
      <c r="F326" s="2">
        <v>0.43263888888888891</v>
      </c>
      <c r="G326" t="s">
        <v>48</v>
      </c>
      <c r="H326" t="str">
        <f>IF(Delivery_data[[#This Row],[Order Status]] = "In Progress", "Backlog", "Complete")</f>
        <v>Backlog</v>
      </c>
      <c r="I326" t="s">
        <v>233</v>
      </c>
      <c r="J326" t="s">
        <v>1631</v>
      </c>
      <c r="K326" t="s">
        <v>61</v>
      </c>
      <c r="L326">
        <v>75</v>
      </c>
      <c r="M326">
        <v>13</v>
      </c>
      <c r="N326" t="s">
        <v>25</v>
      </c>
      <c r="O326" t="s">
        <v>33</v>
      </c>
      <c r="P326" t="s">
        <v>27</v>
      </c>
      <c r="Q326" t="s">
        <v>46</v>
      </c>
      <c r="R326" s="2">
        <v>0.56458333333333333</v>
      </c>
    </row>
    <row r="327" spans="1:18" x14ac:dyDescent="0.25">
      <c r="A327" t="s">
        <v>2247</v>
      </c>
      <c r="B327" t="s">
        <v>747</v>
      </c>
      <c r="C327" s="1">
        <v>45172</v>
      </c>
      <c r="D327" s="1" t="str">
        <f>TEXT(Delivery_data[[#This Row],[Order date]], "MMMM")</f>
        <v>September</v>
      </c>
      <c r="E327" s="1" t="str">
        <f>TEXT(Delivery_data[[#This Row],[Order date]], "DDDD")</f>
        <v>Sunday</v>
      </c>
      <c r="F327" s="2">
        <v>0.50972222222222219</v>
      </c>
      <c r="G327" t="s">
        <v>22</v>
      </c>
      <c r="H327" t="str">
        <f>IF(Delivery_data[[#This Row],[Order Status]] = "In Progress", "Backlog", "Complete")</f>
        <v>Complete</v>
      </c>
      <c r="I327" t="s">
        <v>233</v>
      </c>
      <c r="J327" t="s">
        <v>1633</v>
      </c>
      <c r="K327" t="s">
        <v>37</v>
      </c>
      <c r="L327">
        <v>121</v>
      </c>
      <c r="M327">
        <v>5</v>
      </c>
      <c r="N327" t="s">
        <v>32</v>
      </c>
      <c r="O327" t="s">
        <v>50</v>
      </c>
      <c r="P327" t="s">
        <v>34</v>
      </c>
      <c r="Q327" t="s">
        <v>28</v>
      </c>
      <c r="R327" s="2">
        <v>0.57361111111111107</v>
      </c>
    </row>
    <row r="328" spans="1:18" x14ac:dyDescent="0.25">
      <c r="A328" t="s">
        <v>2448</v>
      </c>
      <c r="B328" t="s">
        <v>940</v>
      </c>
      <c r="C328" s="1">
        <v>45174</v>
      </c>
      <c r="D328" s="1" t="str">
        <f>TEXT(Delivery_data[[#This Row],[Order date]], "MMMM")</f>
        <v>September</v>
      </c>
      <c r="E328" s="1" t="str">
        <f>TEXT(Delivery_data[[#This Row],[Order date]], "DDDD")</f>
        <v>Tuesday</v>
      </c>
      <c r="F328" s="2">
        <v>0.37847222222222221</v>
      </c>
      <c r="G328" t="s">
        <v>22</v>
      </c>
      <c r="H328" t="str">
        <f>IF(Delivery_data[[#This Row],[Order Status]] = "In Progress", "Backlog", "Complete")</f>
        <v>Complete</v>
      </c>
      <c r="I328" t="s">
        <v>233</v>
      </c>
      <c r="J328" t="s">
        <v>1637</v>
      </c>
      <c r="K328" t="s">
        <v>44</v>
      </c>
      <c r="L328">
        <v>68</v>
      </c>
      <c r="M328">
        <v>21</v>
      </c>
      <c r="N328" t="s">
        <v>38</v>
      </c>
      <c r="O328" t="s">
        <v>54</v>
      </c>
      <c r="P328" t="s">
        <v>34</v>
      </c>
      <c r="Q328" t="s">
        <v>28</v>
      </c>
      <c r="R328" s="2">
        <v>0.42083333333333334</v>
      </c>
    </row>
    <row r="329" spans="1:18" x14ac:dyDescent="0.25">
      <c r="A329" t="s">
        <v>2619</v>
      </c>
      <c r="B329" t="s">
        <v>1037</v>
      </c>
      <c r="C329" s="1">
        <v>45173</v>
      </c>
      <c r="D329" s="1" t="str">
        <f>TEXT(Delivery_data[[#This Row],[Order date]], "MMMM")</f>
        <v>September</v>
      </c>
      <c r="E329" s="1" t="str">
        <f>TEXT(Delivery_data[[#This Row],[Order date]], "DDDD")</f>
        <v>Monday</v>
      </c>
      <c r="F329" s="2">
        <v>0.49513888888888891</v>
      </c>
      <c r="G329" t="s">
        <v>48</v>
      </c>
      <c r="H329" t="str">
        <f>IF(Delivery_data[[#This Row],[Order Status]] = "In Progress", "Backlog", "Complete")</f>
        <v>Backlog</v>
      </c>
      <c r="I329" t="s">
        <v>233</v>
      </c>
      <c r="J329" t="s">
        <v>1637</v>
      </c>
      <c r="K329" t="s">
        <v>31</v>
      </c>
      <c r="L329">
        <v>235</v>
      </c>
      <c r="M329">
        <v>6</v>
      </c>
      <c r="N329" t="s">
        <v>38</v>
      </c>
      <c r="O329" t="s">
        <v>41</v>
      </c>
      <c r="P329" t="s">
        <v>34</v>
      </c>
      <c r="Q329" t="s">
        <v>28</v>
      </c>
      <c r="R329" s="2">
        <v>0.69930555555555551</v>
      </c>
    </row>
    <row r="330" spans="1:18" x14ac:dyDescent="0.25">
      <c r="A330" t="s">
        <v>2663</v>
      </c>
      <c r="B330" t="s">
        <v>1146</v>
      </c>
      <c r="C330" s="1">
        <v>45174</v>
      </c>
      <c r="D330" s="1" t="str">
        <f>TEXT(Delivery_data[[#This Row],[Order date]], "MMMM")</f>
        <v>September</v>
      </c>
      <c r="E330" s="1" t="str">
        <f>TEXT(Delivery_data[[#This Row],[Order date]], "DDDD")</f>
        <v>Tuesday</v>
      </c>
      <c r="F330" s="2">
        <v>0.47152777777777777</v>
      </c>
      <c r="G330" t="s">
        <v>48</v>
      </c>
      <c r="H330" t="str">
        <f>IF(Delivery_data[[#This Row],[Order Status]] = "In Progress", "Backlog", "Complete")</f>
        <v>Backlog</v>
      </c>
      <c r="I330" t="s">
        <v>233</v>
      </c>
      <c r="J330" t="s">
        <v>1633</v>
      </c>
      <c r="K330" t="s">
        <v>31</v>
      </c>
      <c r="L330">
        <v>181</v>
      </c>
      <c r="M330">
        <v>19</v>
      </c>
      <c r="N330" t="s">
        <v>25</v>
      </c>
      <c r="O330" t="s">
        <v>50</v>
      </c>
      <c r="P330" t="s">
        <v>34</v>
      </c>
      <c r="Q330" t="s">
        <v>46</v>
      </c>
      <c r="R330" s="2">
        <v>0.39305555555555555</v>
      </c>
    </row>
    <row r="331" spans="1:18" x14ac:dyDescent="0.25">
      <c r="A331" t="s">
        <v>2693</v>
      </c>
      <c r="B331" t="s">
        <v>1174</v>
      </c>
      <c r="C331" s="1">
        <v>45176</v>
      </c>
      <c r="D331" s="1" t="str">
        <f>TEXT(Delivery_data[[#This Row],[Order date]], "MMMM")</f>
        <v>September</v>
      </c>
      <c r="E331" s="1" t="str">
        <f>TEXT(Delivery_data[[#This Row],[Order date]], "DDDD")</f>
        <v>Thursday</v>
      </c>
      <c r="F331" s="2">
        <v>0.57916666666666672</v>
      </c>
      <c r="G331" t="s">
        <v>48</v>
      </c>
      <c r="H331" t="str">
        <f>IF(Delivery_data[[#This Row],[Order Status]] = "In Progress", "Backlog", "Complete")</f>
        <v>Backlog</v>
      </c>
      <c r="I331" t="s">
        <v>233</v>
      </c>
      <c r="J331" t="s">
        <v>1633</v>
      </c>
      <c r="K331" t="s">
        <v>31</v>
      </c>
      <c r="L331">
        <v>145</v>
      </c>
      <c r="M331">
        <v>6</v>
      </c>
      <c r="N331" t="s">
        <v>38</v>
      </c>
      <c r="O331" t="s">
        <v>54</v>
      </c>
      <c r="P331" t="s">
        <v>27</v>
      </c>
      <c r="Q331" t="s">
        <v>46</v>
      </c>
      <c r="R331" s="2">
        <v>0.72083333333333333</v>
      </c>
    </row>
    <row r="332" spans="1:18" x14ac:dyDescent="0.25">
      <c r="A332" t="s">
        <v>2697</v>
      </c>
      <c r="B332" t="s">
        <v>1178</v>
      </c>
      <c r="C332" s="1">
        <v>45173</v>
      </c>
      <c r="D332" s="1" t="str">
        <f>TEXT(Delivery_data[[#This Row],[Order date]], "MMMM")</f>
        <v>September</v>
      </c>
      <c r="E332" s="1" t="str">
        <f>TEXT(Delivery_data[[#This Row],[Order date]], "DDDD")</f>
        <v>Monday</v>
      </c>
      <c r="F332" s="2">
        <v>0.41597222222222224</v>
      </c>
      <c r="G332" t="s">
        <v>48</v>
      </c>
      <c r="H332" t="str">
        <f>IF(Delivery_data[[#This Row],[Order Status]] = "In Progress", "Backlog", "Complete")</f>
        <v>Backlog</v>
      </c>
      <c r="I332" t="s">
        <v>233</v>
      </c>
      <c r="J332" t="s">
        <v>1633</v>
      </c>
      <c r="K332" t="s">
        <v>61</v>
      </c>
      <c r="L332">
        <v>203</v>
      </c>
      <c r="M332">
        <v>24</v>
      </c>
      <c r="N332" t="s">
        <v>32</v>
      </c>
      <c r="O332" t="s">
        <v>41</v>
      </c>
      <c r="P332" t="s">
        <v>45</v>
      </c>
      <c r="Q332" t="s">
        <v>28</v>
      </c>
      <c r="R332" s="2">
        <v>0.42569444444444443</v>
      </c>
    </row>
    <row r="333" spans="1:18" x14ac:dyDescent="0.25">
      <c r="A333" t="s">
        <v>2802</v>
      </c>
      <c r="B333" t="s">
        <v>1279</v>
      </c>
      <c r="C333" s="1">
        <v>45175</v>
      </c>
      <c r="D333" s="1" t="str">
        <f>TEXT(Delivery_data[[#This Row],[Order date]], "MMMM")</f>
        <v>September</v>
      </c>
      <c r="E333" s="1" t="str">
        <f>TEXT(Delivery_data[[#This Row],[Order date]], "DDDD")</f>
        <v>Wednesday</v>
      </c>
      <c r="F333" s="2">
        <v>0.37152777777777779</v>
      </c>
      <c r="G333" t="s">
        <v>22</v>
      </c>
      <c r="H333" t="str">
        <f>IF(Delivery_data[[#This Row],[Order Status]] = "In Progress", "Backlog", "Complete")</f>
        <v>Complete</v>
      </c>
      <c r="I333" t="s">
        <v>233</v>
      </c>
      <c r="J333" t="s">
        <v>1631</v>
      </c>
      <c r="K333" t="s">
        <v>31</v>
      </c>
      <c r="L333">
        <v>164</v>
      </c>
      <c r="M333">
        <v>27</v>
      </c>
      <c r="N333" t="s">
        <v>38</v>
      </c>
      <c r="O333" t="s">
        <v>50</v>
      </c>
      <c r="P333" t="s">
        <v>27</v>
      </c>
      <c r="Q333" t="s">
        <v>51</v>
      </c>
      <c r="R333" s="2">
        <v>0.50902777777777775</v>
      </c>
    </row>
    <row r="334" spans="1:18" x14ac:dyDescent="0.25">
      <c r="A334" t="s">
        <v>2815</v>
      </c>
      <c r="B334" t="s">
        <v>1292</v>
      </c>
      <c r="C334" s="1">
        <v>45171</v>
      </c>
      <c r="D334" s="1" t="str">
        <f>TEXT(Delivery_data[[#This Row],[Order date]], "MMMM")</f>
        <v>September</v>
      </c>
      <c r="E334" s="1" t="str">
        <f>TEXT(Delivery_data[[#This Row],[Order date]], "DDDD")</f>
        <v>Saturday</v>
      </c>
      <c r="F334" s="2">
        <v>0.56527777777777777</v>
      </c>
      <c r="G334" t="s">
        <v>22</v>
      </c>
      <c r="H334" t="str">
        <f>IF(Delivery_data[[#This Row],[Order Status]] = "In Progress", "Backlog", "Complete")</f>
        <v>Complete</v>
      </c>
      <c r="I334" t="s">
        <v>233</v>
      </c>
      <c r="J334" t="s">
        <v>1633</v>
      </c>
      <c r="K334" t="s">
        <v>24</v>
      </c>
      <c r="L334">
        <v>72</v>
      </c>
      <c r="M334">
        <v>4</v>
      </c>
      <c r="N334" t="s">
        <v>25</v>
      </c>
      <c r="O334" t="s">
        <v>26</v>
      </c>
      <c r="P334" t="s">
        <v>45</v>
      </c>
      <c r="Q334" t="s">
        <v>46</v>
      </c>
      <c r="R334" s="2">
        <v>0.7</v>
      </c>
    </row>
    <row r="335" spans="1:18" x14ac:dyDescent="0.25">
      <c r="A335" t="s">
        <v>2898</v>
      </c>
      <c r="B335" t="s">
        <v>1371</v>
      </c>
      <c r="C335" s="1">
        <v>45173</v>
      </c>
      <c r="D335" s="1" t="str">
        <f>TEXT(Delivery_data[[#This Row],[Order date]], "MMMM")</f>
        <v>September</v>
      </c>
      <c r="E335" s="1" t="str">
        <f>TEXT(Delivery_data[[#This Row],[Order date]], "DDDD")</f>
        <v>Monday</v>
      </c>
      <c r="F335" s="2">
        <v>0.49791666666666667</v>
      </c>
      <c r="G335" t="s">
        <v>22</v>
      </c>
      <c r="H335" t="str">
        <f>IF(Delivery_data[[#This Row],[Order Status]] = "In Progress", "Backlog", "Complete")</f>
        <v>Complete</v>
      </c>
      <c r="I335" t="s">
        <v>233</v>
      </c>
      <c r="J335" t="s">
        <v>1637</v>
      </c>
      <c r="K335" t="s">
        <v>31</v>
      </c>
      <c r="L335">
        <v>214</v>
      </c>
      <c r="M335">
        <v>24</v>
      </c>
      <c r="N335" t="s">
        <v>25</v>
      </c>
      <c r="O335" t="s">
        <v>50</v>
      </c>
      <c r="P335" t="s">
        <v>45</v>
      </c>
      <c r="Q335" t="s">
        <v>28</v>
      </c>
      <c r="R335" s="2">
        <v>0.53749999999999998</v>
      </c>
    </row>
    <row r="336" spans="1:18" x14ac:dyDescent="0.25">
      <c r="A336" t="s">
        <v>1665</v>
      </c>
      <c r="B336" t="s">
        <v>103</v>
      </c>
      <c r="C336" s="1">
        <v>45175</v>
      </c>
      <c r="D336" s="1" t="str">
        <f>TEXT(Delivery_data[[#This Row],[Order date]], "MMMM")</f>
        <v>September</v>
      </c>
      <c r="E336" s="1" t="str">
        <f>TEXT(Delivery_data[[#This Row],[Order date]], "DDDD")</f>
        <v>Wednesday</v>
      </c>
      <c r="F336" s="2">
        <v>0.36041666666666666</v>
      </c>
      <c r="G336" t="s">
        <v>48</v>
      </c>
      <c r="H336" t="str">
        <f>IF(Delivery_data[[#This Row],[Order Status]] = "In Progress", "Backlog", "Complete")</f>
        <v>Backlog</v>
      </c>
      <c r="I336" t="s">
        <v>104</v>
      </c>
      <c r="J336" t="s">
        <v>1631</v>
      </c>
      <c r="K336" t="s">
        <v>31</v>
      </c>
      <c r="L336">
        <v>172</v>
      </c>
      <c r="M336">
        <v>20</v>
      </c>
      <c r="N336" t="s">
        <v>25</v>
      </c>
      <c r="O336" t="s">
        <v>41</v>
      </c>
      <c r="P336" t="s">
        <v>27</v>
      </c>
      <c r="Q336" t="s">
        <v>51</v>
      </c>
      <c r="R336" s="2">
        <v>0.58472222222222225</v>
      </c>
    </row>
    <row r="337" spans="1:18" x14ac:dyDescent="0.25">
      <c r="A337" t="s">
        <v>1689</v>
      </c>
      <c r="B337" t="s">
        <v>143</v>
      </c>
      <c r="C337" s="1">
        <v>45177</v>
      </c>
      <c r="D337" s="1" t="str">
        <f>TEXT(Delivery_data[[#This Row],[Order date]], "MMMM")</f>
        <v>September</v>
      </c>
      <c r="E337" s="1" t="str">
        <f>TEXT(Delivery_data[[#This Row],[Order date]], "DDDD")</f>
        <v>Friday</v>
      </c>
      <c r="F337" s="2">
        <v>0.67152777777777772</v>
      </c>
      <c r="G337" t="s">
        <v>22</v>
      </c>
      <c r="H337" t="str">
        <f>IF(Delivery_data[[#This Row],[Order Status]] = "In Progress", "Backlog", "Complete")</f>
        <v>Complete</v>
      </c>
      <c r="I337" t="s">
        <v>104</v>
      </c>
      <c r="J337" t="s">
        <v>1633</v>
      </c>
      <c r="K337" t="s">
        <v>61</v>
      </c>
      <c r="L337">
        <v>87</v>
      </c>
      <c r="M337">
        <v>5</v>
      </c>
      <c r="N337" t="s">
        <v>38</v>
      </c>
      <c r="O337" t="s">
        <v>26</v>
      </c>
      <c r="P337" t="s">
        <v>45</v>
      </c>
      <c r="Q337" t="s">
        <v>51</v>
      </c>
      <c r="R337" s="2">
        <v>0.36805555555555558</v>
      </c>
    </row>
    <row r="338" spans="1:18" x14ac:dyDescent="0.25">
      <c r="A338" t="s">
        <v>1769</v>
      </c>
      <c r="B338" t="s">
        <v>255</v>
      </c>
      <c r="C338" s="1">
        <v>45174</v>
      </c>
      <c r="D338" s="1" t="str">
        <f>TEXT(Delivery_data[[#This Row],[Order date]], "MMMM")</f>
        <v>September</v>
      </c>
      <c r="E338" s="1" t="str">
        <f>TEXT(Delivery_data[[#This Row],[Order date]], "DDDD")</f>
        <v>Tuesday</v>
      </c>
      <c r="F338" s="2">
        <v>0.53819444444444442</v>
      </c>
      <c r="G338" t="s">
        <v>48</v>
      </c>
      <c r="H338" t="str">
        <f>IF(Delivery_data[[#This Row],[Order Status]] = "In Progress", "Backlog", "Complete")</f>
        <v>Backlog</v>
      </c>
      <c r="I338" t="s">
        <v>104</v>
      </c>
      <c r="J338" t="s">
        <v>1633</v>
      </c>
      <c r="K338" t="s">
        <v>31</v>
      </c>
      <c r="L338">
        <v>132</v>
      </c>
      <c r="M338">
        <v>21</v>
      </c>
      <c r="N338" t="s">
        <v>32</v>
      </c>
      <c r="O338" t="s">
        <v>26</v>
      </c>
      <c r="P338" t="s">
        <v>27</v>
      </c>
      <c r="Q338" t="s">
        <v>46</v>
      </c>
      <c r="R338" s="2">
        <v>0.70416666666666672</v>
      </c>
    </row>
    <row r="339" spans="1:18" x14ac:dyDescent="0.25">
      <c r="A339" t="s">
        <v>1777</v>
      </c>
      <c r="B339" t="s">
        <v>263</v>
      </c>
      <c r="C339" s="1">
        <v>45177</v>
      </c>
      <c r="D339" s="1" t="str">
        <f>TEXT(Delivery_data[[#This Row],[Order date]], "MMMM")</f>
        <v>September</v>
      </c>
      <c r="E339" s="1" t="str">
        <f>TEXT(Delivery_data[[#This Row],[Order date]], "DDDD")</f>
        <v>Friday</v>
      </c>
      <c r="F339" s="2">
        <v>0.3840277777777778</v>
      </c>
      <c r="G339" t="s">
        <v>22</v>
      </c>
      <c r="H339" t="str">
        <f>IF(Delivery_data[[#This Row],[Order Status]] = "In Progress", "Backlog", "Complete")</f>
        <v>Complete</v>
      </c>
      <c r="I339" t="s">
        <v>104</v>
      </c>
      <c r="J339" t="s">
        <v>1633</v>
      </c>
      <c r="K339" t="s">
        <v>61</v>
      </c>
      <c r="L339">
        <v>221</v>
      </c>
      <c r="M339">
        <v>16</v>
      </c>
      <c r="N339" t="s">
        <v>38</v>
      </c>
      <c r="O339" t="s">
        <v>54</v>
      </c>
      <c r="P339" t="s">
        <v>27</v>
      </c>
      <c r="Q339" t="s">
        <v>28</v>
      </c>
      <c r="R339" s="2">
        <v>0.44374999999999998</v>
      </c>
    </row>
    <row r="340" spans="1:18" x14ac:dyDescent="0.25">
      <c r="A340" t="s">
        <v>1884</v>
      </c>
      <c r="B340" t="s">
        <v>385</v>
      </c>
      <c r="C340" s="1">
        <v>45171</v>
      </c>
      <c r="D340" s="1" t="str">
        <f>TEXT(Delivery_data[[#This Row],[Order date]], "MMMM")</f>
        <v>September</v>
      </c>
      <c r="E340" s="1" t="str">
        <f>TEXT(Delivery_data[[#This Row],[Order date]], "DDDD")</f>
        <v>Saturday</v>
      </c>
      <c r="F340" s="2">
        <v>0.59097222222222223</v>
      </c>
      <c r="G340" t="s">
        <v>22</v>
      </c>
      <c r="H340" t="str">
        <f>IF(Delivery_data[[#This Row],[Order Status]] = "In Progress", "Backlog", "Complete")</f>
        <v>Complete</v>
      </c>
      <c r="I340" t="s">
        <v>104</v>
      </c>
      <c r="J340" t="s">
        <v>1633</v>
      </c>
      <c r="K340" t="s">
        <v>24</v>
      </c>
      <c r="L340">
        <v>141</v>
      </c>
      <c r="M340">
        <v>18</v>
      </c>
      <c r="N340" t="s">
        <v>25</v>
      </c>
      <c r="O340" t="s">
        <v>26</v>
      </c>
      <c r="P340" t="s">
        <v>34</v>
      </c>
      <c r="Q340" t="s">
        <v>46</v>
      </c>
      <c r="R340" s="2">
        <v>0.67986111111111114</v>
      </c>
    </row>
    <row r="341" spans="1:18" x14ac:dyDescent="0.25">
      <c r="A341" t="s">
        <v>1979</v>
      </c>
      <c r="B341" t="s">
        <v>484</v>
      </c>
      <c r="C341" s="1">
        <v>45176</v>
      </c>
      <c r="D341" s="1" t="str">
        <f>TEXT(Delivery_data[[#This Row],[Order date]], "MMMM")</f>
        <v>September</v>
      </c>
      <c r="E341" s="1" t="str">
        <f>TEXT(Delivery_data[[#This Row],[Order date]], "DDDD")</f>
        <v>Thursday</v>
      </c>
      <c r="F341" s="2">
        <v>0.49444444444444446</v>
      </c>
      <c r="G341" t="s">
        <v>22</v>
      </c>
      <c r="H341" t="str">
        <f>IF(Delivery_data[[#This Row],[Order Status]] = "In Progress", "Backlog", "Complete")</f>
        <v>Complete</v>
      </c>
      <c r="I341" t="s">
        <v>104</v>
      </c>
      <c r="J341" t="s">
        <v>1637</v>
      </c>
      <c r="K341" t="s">
        <v>37</v>
      </c>
      <c r="L341">
        <v>185</v>
      </c>
      <c r="M341">
        <v>12</v>
      </c>
      <c r="N341" t="s">
        <v>32</v>
      </c>
      <c r="O341" t="s">
        <v>41</v>
      </c>
      <c r="P341" t="s">
        <v>34</v>
      </c>
      <c r="Q341" t="s">
        <v>51</v>
      </c>
      <c r="R341" s="2">
        <v>0.48749999999999999</v>
      </c>
    </row>
    <row r="342" spans="1:18" x14ac:dyDescent="0.25">
      <c r="A342" t="s">
        <v>2053</v>
      </c>
      <c r="B342" t="s">
        <v>558</v>
      </c>
      <c r="C342" s="1">
        <v>45176</v>
      </c>
      <c r="D342" s="1" t="str">
        <f>TEXT(Delivery_data[[#This Row],[Order date]], "MMMM")</f>
        <v>September</v>
      </c>
      <c r="E342" s="1" t="str">
        <f>TEXT(Delivery_data[[#This Row],[Order date]], "DDDD")</f>
        <v>Thursday</v>
      </c>
      <c r="F342" s="2">
        <v>0.33750000000000002</v>
      </c>
      <c r="G342" t="s">
        <v>22</v>
      </c>
      <c r="H342" t="str">
        <f>IF(Delivery_data[[#This Row],[Order Status]] = "In Progress", "Backlog", "Complete")</f>
        <v>Complete</v>
      </c>
      <c r="I342" t="s">
        <v>104</v>
      </c>
      <c r="J342" t="s">
        <v>1633</v>
      </c>
      <c r="K342" t="s">
        <v>61</v>
      </c>
      <c r="L342">
        <v>101</v>
      </c>
      <c r="M342">
        <v>25</v>
      </c>
      <c r="N342" t="s">
        <v>32</v>
      </c>
      <c r="O342" t="s">
        <v>33</v>
      </c>
      <c r="P342" t="s">
        <v>27</v>
      </c>
      <c r="Q342" t="s">
        <v>51</v>
      </c>
      <c r="R342" s="2">
        <v>0.57777777777777772</v>
      </c>
    </row>
    <row r="343" spans="1:18" x14ac:dyDescent="0.25">
      <c r="A343" t="s">
        <v>2200</v>
      </c>
      <c r="B343" t="s">
        <v>701</v>
      </c>
      <c r="C343" s="1">
        <v>45177</v>
      </c>
      <c r="D343" s="1" t="str">
        <f>TEXT(Delivery_data[[#This Row],[Order date]], "MMMM")</f>
        <v>September</v>
      </c>
      <c r="E343" s="1" t="str">
        <f>TEXT(Delivery_data[[#This Row],[Order date]], "DDDD")</f>
        <v>Friday</v>
      </c>
      <c r="F343" s="2">
        <v>0.39513888888888887</v>
      </c>
      <c r="G343" t="s">
        <v>48</v>
      </c>
      <c r="H343" t="str">
        <f>IF(Delivery_data[[#This Row],[Order Status]] = "In Progress", "Backlog", "Complete")</f>
        <v>Backlog</v>
      </c>
      <c r="I343" t="s">
        <v>104</v>
      </c>
      <c r="J343" t="s">
        <v>1631</v>
      </c>
      <c r="K343" t="s">
        <v>24</v>
      </c>
      <c r="L343">
        <v>228</v>
      </c>
      <c r="M343">
        <v>6</v>
      </c>
      <c r="N343" t="s">
        <v>38</v>
      </c>
      <c r="O343" t="s">
        <v>41</v>
      </c>
      <c r="P343" t="s">
        <v>45</v>
      </c>
      <c r="Q343" t="s">
        <v>46</v>
      </c>
      <c r="R343" s="2">
        <v>0.58263888888888893</v>
      </c>
    </row>
    <row r="344" spans="1:18" x14ac:dyDescent="0.25">
      <c r="A344" t="s">
        <v>2319</v>
      </c>
      <c r="B344" t="s">
        <v>817</v>
      </c>
      <c r="C344" s="1">
        <v>45174</v>
      </c>
      <c r="D344" s="1" t="str">
        <f>TEXT(Delivery_data[[#This Row],[Order date]], "MMMM")</f>
        <v>September</v>
      </c>
      <c r="E344" s="1" t="str">
        <f>TEXT(Delivery_data[[#This Row],[Order date]], "DDDD")</f>
        <v>Tuesday</v>
      </c>
      <c r="F344" s="2">
        <v>0.37777777777777777</v>
      </c>
      <c r="G344" t="s">
        <v>48</v>
      </c>
      <c r="H344" t="str">
        <f>IF(Delivery_data[[#This Row],[Order Status]] = "In Progress", "Backlog", "Complete")</f>
        <v>Backlog</v>
      </c>
      <c r="I344" t="s">
        <v>104</v>
      </c>
      <c r="J344" t="s">
        <v>1633</v>
      </c>
      <c r="K344" t="s">
        <v>37</v>
      </c>
      <c r="L344">
        <v>100</v>
      </c>
      <c r="M344">
        <v>28</v>
      </c>
      <c r="N344" t="s">
        <v>25</v>
      </c>
      <c r="O344" t="s">
        <v>33</v>
      </c>
      <c r="P344" t="s">
        <v>34</v>
      </c>
      <c r="Q344" t="s">
        <v>28</v>
      </c>
      <c r="R344" s="2">
        <v>0.67083333333333328</v>
      </c>
    </row>
    <row r="345" spans="1:18" x14ac:dyDescent="0.25">
      <c r="A345" t="s">
        <v>2502</v>
      </c>
      <c r="B345" t="s">
        <v>991</v>
      </c>
      <c r="C345" s="1">
        <v>45175</v>
      </c>
      <c r="D345" s="1" t="str">
        <f>TEXT(Delivery_data[[#This Row],[Order date]], "MMMM")</f>
        <v>September</v>
      </c>
      <c r="E345" s="1" t="str">
        <f>TEXT(Delivery_data[[#This Row],[Order date]], "DDDD")</f>
        <v>Wednesday</v>
      </c>
      <c r="F345" s="2">
        <v>0.6479166666666667</v>
      </c>
      <c r="G345" t="s">
        <v>48</v>
      </c>
      <c r="H345" t="str">
        <f>IF(Delivery_data[[#This Row],[Order Status]] = "In Progress", "Backlog", "Complete")</f>
        <v>Backlog</v>
      </c>
      <c r="I345" t="s">
        <v>104</v>
      </c>
      <c r="J345" t="s">
        <v>1633</v>
      </c>
      <c r="K345" t="s">
        <v>31</v>
      </c>
      <c r="L345">
        <v>119</v>
      </c>
      <c r="M345">
        <v>4</v>
      </c>
      <c r="N345" t="s">
        <v>25</v>
      </c>
      <c r="O345" t="s">
        <v>26</v>
      </c>
      <c r="P345" t="s">
        <v>27</v>
      </c>
      <c r="Q345" t="s">
        <v>46</v>
      </c>
      <c r="R345" s="2">
        <v>0.42916666666666664</v>
      </c>
    </row>
    <row r="346" spans="1:18" x14ac:dyDescent="0.25">
      <c r="A346" t="s">
        <v>2559</v>
      </c>
      <c r="B346" t="s">
        <v>1044</v>
      </c>
      <c r="C346" s="1">
        <v>45176</v>
      </c>
      <c r="D346" s="1" t="str">
        <f>TEXT(Delivery_data[[#This Row],[Order date]], "MMMM")</f>
        <v>September</v>
      </c>
      <c r="E346" s="1" t="str">
        <f>TEXT(Delivery_data[[#This Row],[Order date]], "DDDD")</f>
        <v>Thursday</v>
      </c>
      <c r="F346" s="2">
        <v>0.38124999999999998</v>
      </c>
      <c r="G346" t="s">
        <v>48</v>
      </c>
      <c r="H346" t="str">
        <f>IF(Delivery_data[[#This Row],[Order Status]] = "In Progress", "Backlog", "Complete")</f>
        <v>Backlog</v>
      </c>
      <c r="I346" t="s">
        <v>104</v>
      </c>
      <c r="J346" t="s">
        <v>1631</v>
      </c>
      <c r="K346" t="s">
        <v>44</v>
      </c>
      <c r="L346">
        <v>72</v>
      </c>
      <c r="M346">
        <v>27</v>
      </c>
      <c r="N346" t="s">
        <v>32</v>
      </c>
      <c r="O346" t="s">
        <v>50</v>
      </c>
      <c r="P346" t="s">
        <v>45</v>
      </c>
      <c r="Q346" t="s">
        <v>28</v>
      </c>
      <c r="R346" s="2">
        <v>0.72847222222222219</v>
      </c>
    </row>
    <row r="347" spans="1:18" x14ac:dyDescent="0.25">
      <c r="A347" t="s">
        <v>2576</v>
      </c>
      <c r="B347" t="s">
        <v>1060</v>
      </c>
      <c r="C347" s="1">
        <v>45170</v>
      </c>
      <c r="D347" s="1" t="str">
        <f>TEXT(Delivery_data[[#This Row],[Order date]], "MMMM")</f>
        <v>September</v>
      </c>
      <c r="E347" s="1" t="str">
        <f>TEXT(Delivery_data[[#This Row],[Order date]], "DDDD")</f>
        <v>Friday</v>
      </c>
      <c r="F347" s="2">
        <v>0.47430555555555554</v>
      </c>
      <c r="G347" t="s">
        <v>48</v>
      </c>
      <c r="H347" t="str">
        <f>IF(Delivery_data[[#This Row],[Order Status]] = "In Progress", "Backlog", "Complete")</f>
        <v>Backlog</v>
      </c>
      <c r="I347" t="s">
        <v>104</v>
      </c>
      <c r="J347" t="s">
        <v>1637</v>
      </c>
      <c r="K347" t="s">
        <v>24</v>
      </c>
      <c r="L347">
        <v>91</v>
      </c>
      <c r="M347">
        <v>19</v>
      </c>
      <c r="N347" t="s">
        <v>38</v>
      </c>
      <c r="O347" t="s">
        <v>41</v>
      </c>
      <c r="P347" t="s">
        <v>27</v>
      </c>
      <c r="Q347" t="s">
        <v>28</v>
      </c>
      <c r="R347" s="2">
        <v>0.47152777777777777</v>
      </c>
    </row>
    <row r="348" spans="1:18" x14ac:dyDescent="0.25">
      <c r="A348" t="s">
        <v>2711</v>
      </c>
      <c r="B348" t="s">
        <v>1192</v>
      </c>
      <c r="C348" s="1">
        <v>45171</v>
      </c>
      <c r="D348" s="1" t="str">
        <f>TEXT(Delivery_data[[#This Row],[Order date]], "MMMM")</f>
        <v>September</v>
      </c>
      <c r="E348" s="1" t="str">
        <f>TEXT(Delivery_data[[#This Row],[Order date]], "DDDD")</f>
        <v>Saturday</v>
      </c>
      <c r="F348" s="2">
        <v>0.59236111111111112</v>
      </c>
      <c r="G348" t="s">
        <v>22</v>
      </c>
      <c r="H348" t="str">
        <f>IF(Delivery_data[[#This Row],[Order Status]] = "In Progress", "Backlog", "Complete")</f>
        <v>Complete</v>
      </c>
      <c r="I348" t="s">
        <v>104</v>
      </c>
      <c r="J348" t="s">
        <v>1637</v>
      </c>
      <c r="K348" t="s">
        <v>37</v>
      </c>
      <c r="L348">
        <v>232</v>
      </c>
      <c r="M348">
        <v>2</v>
      </c>
      <c r="N348" t="s">
        <v>32</v>
      </c>
      <c r="O348" t="s">
        <v>41</v>
      </c>
      <c r="P348" t="s">
        <v>45</v>
      </c>
      <c r="Q348" t="s">
        <v>28</v>
      </c>
      <c r="R348" s="2">
        <v>0.52916666666666667</v>
      </c>
    </row>
    <row r="349" spans="1:18" x14ac:dyDescent="0.25">
      <c r="A349" t="s">
        <v>2759</v>
      </c>
      <c r="B349" t="s">
        <v>1237</v>
      </c>
      <c r="C349" s="1">
        <v>45177</v>
      </c>
      <c r="D349" s="1" t="str">
        <f>TEXT(Delivery_data[[#This Row],[Order date]], "MMMM")</f>
        <v>September</v>
      </c>
      <c r="E349" s="1" t="str">
        <f>TEXT(Delivery_data[[#This Row],[Order date]], "DDDD")</f>
        <v>Friday</v>
      </c>
      <c r="F349" s="2">
        <v>0.41180555555555554</v>
      </c>
      <c r="G349" t="s">
        <v>48</v>
      </c>
      <c r="H349" t="str">
        <f>IF(Delivery_data[[#This Row],[Order Status]] = "In Progress", "Backlog", "Complete")</f>
        <v>Backlog</v>
      </c>
      <c r="I349" t="s">
        <v>104</v>
      </c>
      <c r="J349" t="s">
        <v>1637</v>
      </c>
      <c r="K349" t="s">
        <v>44</v>
      </c>
      <c r="L349">
        <v>206</v>
      </c>
      <c r="M349">
        <v>13</v>
      </c>
      <c r="N349" t="s">
        <v>32</v>
      </c>
      <c r="O349" t="s">
        <v>41</v>
      </c>
      <c r="P349" t="s">
        <v>45</v>
      </c>
      <c r="Q349" t="s">
        <v>46</v>
      </c>
      <c r="R349" s="2">
        <v>0.49305555555555558</v>
      </c>
    </row>
    <row r="350" spans="1:18" x14ac:dyDescent="0.25">
      <c r="A350" t="s">
        <v>3040</v>
      </c>
      <c r="B350" t="s">
        <v>1510</v>
      </c>
      <c r="C350" s="1">
        <v>45172</v>
      </c>
      <c r="D350" s="1" t="str">
        <f>TEXT(Delivery_data[[#This Row],[Order date]], "MMMM")</f>
        <v>September</v>
      </c>
      <c r="E350" s="1" t="str">
        <f>TEXT(Delivery_data[[#This Row],[Order date]], "DDDD")</f>
        <v>Sunday</v>
      </c>
      <c r="F350" s="2">
        <v>0.68541666666666667</v>
      </c>
      <c r="G350" t="s">
        <v>22</v>
      </c>
      <c r="H350" t="str">
        <f>IF(Delivery_data[[#This Row],[Order Status]] = "In Progress", "Backlog", "Complete")</f>
        <v>Complete</v>
      </c>
      <c r="I350" t="s">
        <v>104</v>
      </c>
      <c r="J350" t="s">
        <v>1631</v>
      </c>
      <c r="K350" t="s">
        <v>31</v>
      </c>
      <c r="L350">
        <v>175</v>
      </c>
      <c r="M350">
        <v>13</v>
      </c>
      <c r="N350" t="s">
        <v>32</v>
      </c>
      <c r="O350" t="s">
        <v>41</v>
      </c>
      <c r="P350" t="s">
        <v>27</v>
      </c>
      <c r="Q350" t="s">
        <v>46</v>
      </c>
      <c r="R350" s="2">
        <v>0.34236111111111112</v>
      </c>
    </row>
    <row r="351" spans="1:18" x14ac:dyDescent="0.25">
      <c r="A351" t="s">
        <v>3109</v>
      </c>
      <c r="B351" t="s">
        <v>1575</v>
      </c>
      <c r="C351" s="1">
        <v>45175</v>
      </c>
      <c r="D351" s="1" t="str">
        <f>TEXT(Delivery_data[[#This Row],[Order date]], "MMMM")</f>
        <v>September</v>
      </c>
      <c r="E351" s="1" t="str">
        <f>TEXT(Delivery_data[[#This Row],[Order date]], "DDDD")</f>
        <v>Wednesday</v>
      </c>
      <c r="F351" s="2">
        <v>0.34583333333333333</v>
      </c>
      <c r="G351" t="s">
        <v>48</v>
      </c>
      <c r="H351" t="str">
        <f>IF(Delivery_data[[#This Row],[Order Status]] = "In Progress", "Backlog", "Complete")</f>
        <v>Backlog</v>
      </c>
      <c r="I351" t="s">
        <v>104</v>
      </c>
      <c r="J351" t="s">
        <v>1633</v>
      </c>
      <c r="K351" t="s">
        <v>61</v>
      </c>
      <c r="L351">
        <v>235</v>
      </c>
      <c r="M351">
        <v>13</v>
      </c>
      <c r="N351" t="s">
        <v>38</v>
      </c>
      <c r="O351" t="s">
        <v>54</v>
      </c>
      <c r="P351" t="s">
        <v>45</v>
      </c>
      <c r="Q351" t="s">
        <v>51</v>
      </c>
      <c r="R351" s="2">
        <v>0.45555555555555555</v>
      </c>
    </row>
    <row r="352" spans="1:18" x14ac:dyDescent="0.25">
      <c r="A352" t="s">
        <v>3114</v>
      </c>
      <c r="B352" t="s">
        <v>1580</v>
      </c>
      <c r="C352" s="1">
        <v>45176</v>
      </c>
      <c r="D352" s="1" t="str">
        <f>TEXT(Delivery_data[[#This Row],[Order date]], "MMMM")</f>
        <v>September</v>
      </c>
      <c r="E352" s="1" t="str">
        <f>TEXT(Delivery_data[[#This Row],[Order date]], "DDDD")</f>
        <v>Thursday</v>
      </c>
      <c r="F352" s="2">
        <v>0.47499999999999998</v>
      </c>
      <c r="G352" t="s">
        <v>22</v>
      </c>
      <c r="H352" t="str">
        <f>IF(Delivery_data[[#This Row],[Order Status]] = "In Progress", "Backlog", "Complete")</f>
        <v>Complete</v>
      </c>
      <c r="I352" t="s">
        <v>104</v>
      </c>
      <c r="J352" t="s">
        <v>1637</v>
      </c>
      <c r="K352" t="s">
        <v>24</v>
      </c>
      <c r="L352">
        <v>176</v>
      </c>
      <c r="M352">
        <v>12</v>
      </c>
      <c r="N352" t="s">
        <v>38</v>
      </c>
      <c r="O352" t="s">
        <v>33</v>
      </c>
      <c r="P352" t="s">
        <v>45</v>
      </c>
      <c r="Q352" t="s">
        <v>46</v>
      </c>
      <c r="R352" s="2">
        <v>0.68402777777777779</v>
      </c>
    </row>
    <row r="353" spans="1:18" x14ac:dyDescent="0.25">
      <c r="A353" t="s">
        <v>3116</v>
      </c>
      <c r="B353" t="s">
        <v>1582</v>
      </c>
      <c r="C353" s="1">
        <v>45175</v>
      </c>
      <c r="D353" s="1" t="str">
        <f>TEXT(Delivery_data[[#This Row],[Order date]], "MMMM")</f>
        <v>September</v>
      </c>
      <c r="E353" s="1" t="str">
        <f>TEXT(Delivery_data[[#This Row],[Order date]], "DDDD")</f>
        <v>Wednesday</v>
      </c>
      <c r="F353" s="2">
        <v>0.3840277777777778</v>
      </c>
      <c r="G353" t="s">
        <v>22</v>
      </c>
      <c r="H353" t="str">
        <f>IF(Delivery_data[[#This Row],[Order Status]] = "In Progress", "Backlog", "Complete")</f>
        <v>Complete</v>
      </c>
      <c r="I353" t="s">
        <v>104</v>
      </c>
      <c r="J353" t="s">
        <v>1631</v>
      </c>
      <c r="K353" t="s">
        <v>37</v>
      </c>
      <c r="L353">
        <v>115</v>
      </c>
      <c r="M353">
        <v>1</v>
      </c>
      <c r="N353" t="s">
        <v>32</v>
      </c>
      <c r="O353" t="s">
        <v>41</v>
      </c>
      <c r="P353" t="s">
        <v>27</v>
      </c>
      <c r="Q353" t="s">
        <v>46</v>
      </c>
      <c r="R353" s="2">
        <v>0.42083333333333334</v>
      </c>
    </row>
    <row r="354" spans="1:18" x14ac:dyDescent="0.25">
      <c r="A354" t="s">
        <v>1683</v>
      </c>
      <c r="B354" t="s">
        <v>134</v>
      </c>
      <c r="C354" s="1">
        <v>45175</v>
      </c>
      <c r="D354" s="1" t="str">
        <f>TEXT(Delivery_data[[#This Row],[Order date]], "MMMM")</f>
        <v>September</v>
      </c>
      <c r="E354" s="1" t="str">
        <f>TEXT(Delivery_data[[#This Row],[Order date]], "DDDD")</f>
        <v>Wednesday</v>
      </c>
      <c r="F354" s="2">
        <v>0.66249999999999998</v>
      </c>
      <c r="G354" t="s">
        <v>22</v>
      </c>
      <c r="H354" t="str">
        <f>IF(Delivery_data[[#This Row],[Order Status]] = "In Progress", "Backlog", "Complete")</f>
        <v>Complete</v>
      </c>
      <c r="I354" t="s">
        <v>135</v>
      </c>
      <c r="J354" t="s">
        <v>1633</v>
      </c>
      <c r="K354" t="s">
        <v>24</v>
      </c>
      <c r="L354">
        <v>104</v>
      </c>
      <c r="M354">
        <v>19</v>
      </c>
      <c r="N354" t="s">
        <v>38</v>
      </c>
      <c r="O354" t="s">
        <v>50</v>
      </c>
      <c r="P354" t="s">
        <v>34</v>
      </c>
      <c r="Q354" t="s">
        <v>28</v>
      </c>
      <c r="R354" s="2">
        <v>0.59930555555555554</v>
      </c>
    </row>
    <row r="355" spans="1:18" x14ac:dyDescent="0.25">
      <c r="A355" t="s">
        <v>1707</v>
      </c>
      <c r="B355" t="s">
        <v>172</v>
      </c>
      <c r="C355" s="1">
        <v>45172</v>
      </c>
      <c r="D355" s="1" t="str">
        <f>TEXT(Delivery_data[[#This Row],[Order date]], "MMMM")</f>
        <v>September</v>
      </c>
      <c r="E355" s="1" t="str">
        <f>TEXT(Delivery_data[[#This Row],[Order date]], "DDDD")</f>
        <v>Sunday</v>
      </c>
      <c r="F355" s="2">
        <v>0.54236111111111107</v>
      </c>
      <c r="G355" t="s">
        <v>48</v>
      </c>
      <c r="H355" t="str">
        <f>IF(Delivery_data[[#This Row],[Order Status]] = "In Progress", "Backlog", "Complete")</f>
        <v>Backlog</v>
      </c>
      <c r="I355" t="s">
        <v>135</v>
      </c>
      <c r="J355" t="s">
        <v>1633</v>
      </c>
      <c r="K355" t="s">
        <v>37</v>
      </c>
      <c r="L355">
        <v>200</v>
      </c>
      <c r="M355">
        <v>26</v>
      </c>
      <c r="N355" t="s">
        <v>32</v>
      </c>
      <c r="O355" t="s">
        <v>33</v>
      </c>
      <c r="P355" t="s">
        <v>27</v>
      </c>
      <c r="Q355" t="s">
        <v>28</v>
      </c>
      <c r="R355" s="2">
        <v>0.43541666666666667</v>
      </c>
    </row>
    <row r="356" spans="1:18" x14ac:dyDescent="0.25">
      <c r="A356" t="s">
        <v>1788</v>
      </c>
      <c r="B356" t="s">
        <v>279</v>
      </c>
      <c r="C356" s="1">
        <v>45176</v>
      </c>
      <c r="D356" s="1" t="str">
        <f>TEXT(Delivery_data[[#This Row],[Order date]], "MMMM")</f>
        <v>September</v>
      </c>
      <c r="E356" s="1" t="str">
        <f>TEXT(Delivery_data[[#This Row],[Order date]], "DDDD")</f>
        <v>Thursday</v>
      </c>
      <c r="F356" s="2">
        <v>0.42708333333333331</v>
      </c>
      <c r="G356" t="s">
        <v>22</v>
      </c>
      <c r="H356" t="str">
        <f>IF(Delivery_data[[#This Row],[Order Status]] = "In Progress", "Backlog", "Complete")</f>
        <v>Complete</v>
      </c>
      <c r="I356" t="s">
        <v>135</v>
      </c>
      <c r="J356" t="s">
        <v>1637</v>
      </c>
      <c r="K356" t="s">
        <v>37</v>
      </c>
      <c r="L356">
        <v>108</v>
      </c>
      <c r="M356">
        <v>14</v>
      </c>
      <c r="N356" t="s">
        <v>38</v>
      </c>
      <c r="O356" t="s">
        <v>26</v>
      </c>
      <c r="P356" t="s">
        <v>45</v>
      </c>
      <c r="Q356" t="s">
        <v>51</v>
      </c>
      <c r="R356" s="2">
        <v>0.66874999999999996</v>
      </c>
    </row>
    <row r="357" spans="1:18" x14ac:dyDescent="0.25">
      <c r="A357" t="s">
        <v>1849</v>
      </c>
      <c r="B357" t="s">
        <v>348</v>
      </c>
      <c r="C357" s="1">
        <v>45172</v>
      </c>
      <c r="D357" s="1" t="str">
        <f>TEXT(Delivery_data[[#This Row],[Order date]], "MMMM")</f>
        <v>September</v>
      </c>
      <c r="E357" s="1" t="str">
        <f>TEXT(Delivery_data[[#This Row],[Order date]], "DDDD")</f>
        <v>Sunday</v>
      </c>
      <c r="F357" s="2">
        <v>0.59305555555555556</v>
      </c>
      <c r="G357" t="s">
        <v>48</v>
      </c>
      <c r="H357" t="str">
        <f>IF(Delivery_data[[#This Row],[Order Status]] = "In Progress", "Backlog", "Complete")</f>
        <v>Backlog</v>
      </c>
      <c r="I357" t="s">
        <v>135</v>
      </c>
      <c r="J357" t="s">
        <v>1633</v>
      </c>
      <c r="K357" t="s">
        <v>31</v>
      </c>
      <c r="L357">
        <v>221</v>
      </c>
      <c r="M357">
        <v>7</v>
      </c>
      <c r="N357" t="s">
        <v>25</v>
      </c>
      <c r="O357" t="s">
        <v>33</v>
      </c>
      <c r="P357" t="s">
        <v>34</v>
      </c>
      <c r="Q357" t="s">
        <v>46</v>
      </c>
      <c r="R357" s="2">
        <v>0.65694444444444444</v>
      </c>
    </row>
    <row r="358" spans="1:18" x14ac:dyDescent="0.25">
      <c r="A358" t="s">
        <v>1899</v>
      </c>
      <c r="B358" t="s">
        <v>400</v>
      </c>
      <c r="C358" s="1">
        <v>45171</v>
      </c>
      <c r="D358" s="1" t="str">
        <f>TEXT(Delivery_data[[#This Row],[Order date]], "MMMM")</f>
        <v>September</v>
      </c>
      <c r="E358" s="1" t="str">
        <f>TEXT(Delivery_data[[#This Row],[Order date]], "DDDD")</f>
        <v>Saturday</v>
      </c>
      <c r="F358" s="2">
        <v>0.6020833333333333</v>
      </c>
      <c r="G358" t="s">
        <v>22</v>
      </c>
      <c r="H358" t="str">
        <f>IF(Delivery_data[[#This Row],[Order Status]] = "In Progress", "Backlog", "Complete")</f>
        <v>Complete</v>
      </c>
      <c r="I358" t="s">
        <v>135</v>
      </c>
      <c r="J358" t="s">
        <v>1633</v>
      </c>
      <c r="K358" t="s">
        <v>61</v>
      </c>
      <c r="L358">
        <v>221</v>
      </c>
      <c r="M358">
        <v>2</v>
      </c>
      <c r="N358" t="s">
        <v>25</v>
      </c>
      <c r="O358" t="s">
        <v>26</v>
      </c>
      <c r="P358" t="s">
        <v>45</v>
      </c>
      <c r="Q358" t="s">
        <v>28</v>
      </c>
      <c r="R358" s="2">
        <v>0.61736111111111114</v>
      </c>
    </row>
    <row r="359" spans="1:18" x14ac:dyDescent="0.25">
      <c r="A359" t="s">
        <v>1916</v>
      </c>
      <c r="B359" t="s">
        <v>419</v>
      </c>
      <c r="C359" s="1">
        <v>45176</v>
      </c>
      <c r="D359" s="1" t="str">
        <f>TEXT(Delivery_data[[#This Row],[Order date]], "MMMM")</f>
        <v>September</v>
      </c>
      <c r="E359" s="1" t="str">
        <f>TEXT(Delivery_data[[#This Row],[Order date]], "DDDD")</f>
        <v>Thursday</v>
      </c>
      <c r="F359" s="2">
        <v>0.39305555555555555</v>
      </c>
      <c r="G359" t="s">
        <v>22</v>
      </c>
      <c r="H359" t="str">
        <f>IF(Delivery_data[[#This Row],[Order Status]] = "In Progress", "Backlog", "Complete")</f>
        <v>Complete</v>
      </c>
      <c r="I359" t="s">
        <v>135</v>
      </c>
      <c r="J359" t="s">
        <v>1631</v>
      </c>
      <c r="K359" t="s">
        <v>24</v>
      </c>
      <c r="L359">
        <v>199</v>
      </c>
      <c r="M359">
        <v>29</v>
      </c>
      <c r="N359" t="s">
        <v>25</v>
      </c>
      <c r="O359" t="s">
        <v>50</v>
      </c>
      <c r="P359" t="s">
        <v>27</v>
      </c>
      <c r="Q359" t="s">
        <v>28</v>
      </c>
      <c r="R359" s="2">
        <v>0.60833333333333328</v>
      </c>
    </row>
    <row r="360" spans="1:18" x14ac:dyDescent="0.25">
      <c r="A360" t="s">
        <v>1965</v>
      </c>
      <c r="B360" t="s">
        <v>469</v>
      </c>
      <c r="C360" s="1">
        <v>45173</v>
      </c>
      <c r="D360" s="1" t="str">
        <f>TEXT(Delivery_data[[#This Row],[Order date]], "MMMM")</f>
        <v>September</v>
      </c>
      <c r="E360" s="1" t="str">
        <f>TEXT(Delivery_data[[#This Row],[Order date]], "DDDD")</f>
        <v>Monday</v>
      </c>
      <c r="F360" s="2">
        <v>0.69097222222222221</v>
      </c>
      <c r="G360" t="s">
        <v>22</v>
      </c>
      <c r="H360" t="str">
        <f>IF(Delivery_data[[#This Row],[Order Status]] = "In Progress", "Backlog", "Complete")</f>
        <v>Complete</v>
      </c>
      <c r="I360" t="s">
        <v>135</v>
      </c>
      <c r="J360" t="s">
        <v>1633</v>
      </c>
      <c r="K360" t="s">
        <v>44</v>
      </c>
      <c r="L360">
        <v>185</v>
      </c>
      <c r="M360">
        <v>13</v>
      </c>
      <c r="N360" t="s">
        <v>38</v>
      </c>
      <c r="O360" t="s">
        <v>50</v>
      </c>
      <c r="P360" t="s">
        <v>45</v>
      </c>
      <c r="Q360" t="s">
        <v>28</v>
      </c>
      <c r="R360" s="2">
        <v>0.37222222222222223</v>
      </c>
    </row>
    <row r="361" spans="1:18" x14ac:dyDescent="0.25">
      <c r="A361" t="s">
        <v>2033</v>
      </c>
      <c r="B361" t="s">
        <v>538</v>
      </c>
      <c r="C361" s="1">
        <v>45170</v>
      </c>
      <c r="D361" s="1" t="str">
        <f>TEXT(Delivery_data[[#This Row],[Order date]], "MMMM")</f>
        <v>September</v>
      </c>
      <c r="E361" s="1" t="str">
        <f>TEXT(Delivery_data[[#This Row],[Order date]], "DDDD")</f>
        <v>Friday</v>
      </c>
      <c r="F361" s="2">
        <v>0.60486111111111107</v>
      </c>
      <c r="G361" t="s">
        <v>22</v>
      </c>
      <c r="H361" t="str">
        <f>IF(Delivery_data[[#This Row],[Order Status]] = "In Progress", "Backlog", "Complete")</f>
        <v>Complete</v>
      </c>
      <c r="I361" t="s">
        <v>135</v>
      </c>
      <c r="J361" t="s">
        <v>1631</v>
      </c>
      <c r="K361" t="s">
        <v>44</v>
      </c>
      <c r="L361">
        <v>88</v>
      </c>
      <c r="M361">
        <v>28</v>
      </c>
      <c r="N361" t="s">
        <v>25</v>
      </c>
      <c r="O361" t="s">
        <v>26</v>
      </c>
      <c r="P361" t="s">
        <v>34</v>
      </c>
      <c r="Q361" t="s">
        <v>51</v>
      </c>
      <c r="R361" s="2">
        <v>0.56388888888888888</v>
      </c>
    </row>
    <row r="362" spans="1:18" x14ac:dyDescent="0.25">
      <c r="A362" t="s">
        <v>2115</v>
      </c>
      <c r="B362" t="s">
        <v>619</v>
      </c>
      <c r="C362" s="1">
        <v>45172</v>
      </c>
      <c r="D362" s="1" t="str">
        <f>TEXT(Delivery_data[[#This Row],[Order date]], "MMMM")</f>
        <v>September</v>
      </c>
      <c r="E362" s="1" t="str">
        <f>TEXT(Delivery_data[[#This Row],[Order date]], "DDDD")</f>
        <v>Sunday</v>
      </c>
      <c r="F362" s="2">
        <v>0.59861111111111109</v>
      </c>
      <c r="G362" t="s">
        <v>48</v>
      </c>
      <c r="H362" t="str">
        <f>IF(Delivery_data[[#This Row],[Order Status]] = "In Progress", "Backlog", "Complete")</f>
        <v>Backlog</v>
      </c>
      <c r="I362" t="s">
        <v>135</v>
      </c>
      <c r="J362" t="s">
        <v>1637</v>
      </c>
      <c r="K362" t="s">
        <v>24</v>
      </c>
      <c r="L362">
        <v>69</v>
      </c>
      <c r="M362">
        <v>22</v>
      </c>
      <c r="N362" t="s">
        <v>25</v>
      </c>
      <c r="O362" t="s">
        <v>50</v>
      </c>
      <c r="P362" t="s">
        <v>34</v>
      </c>
      <c r="Q362" t="s">
        <v>28</v>
      </c>
      <c r="R362" s="2">
        <v>0.4909722222222222</v>
      </c>
    </row>
    <row r="363" spans="1:18" x14ac:dyDescent="0.25">
      <c r="A363" t="s">
        <v>2202</v>
      </c>
      <c r="B363" t="s">
        <v>703</v>
      </c>
      <c r="C363" s="1">
        <v>45174</v>
      </c>
      <c r="D363" s="1" t="str">
        <f>TEXT(Delivery_data[[#This Row],[Order date]], "MMMM")</f>
        <v>September</v>
      </c>
      <c r="E363" s="1" t="str">
        <f>TEXT(Delivery_data[[#This Row],[Order date]], "DDDD")</f>
        <v>Tuesday</v>
      </c>
      <c r="F363" s="2">
        <v>0.43819444444444444</v>
      </c>
      <c r="G363" t="s">
        <v>48</v>
      </c>
      <c r="H363" t="str">
        <f>IF(Delivery_data[[#This Row],[Order Status]] = "In Progress", "Backlog", "Complete")</f>
        <v>Backlog</v>
      </c>
      <c r="I363" t="s">
        <v>135</v>
      </c>
      <c r="J363" t="s">
        <v>1637</v>
      </c>
      <c r="K363" t="s">
        <v>61</v>
      </c>
      <c r="L363">
        <v>81</v>
      </c>
      <c r="M363">
        <v>4</v>
      </c>
      <c r="N363" t="s">
        <v>25</v>
      </c>
      <c r="O363" t="s">
        <v>41</v>
      </c>
      <c r="P363" t="s">
        <v>45</v>
      </c>
      <c r="Q363" t="s">
        <v>46</v>
      </c>
      <c r="R363" s="2">
        <v>0.6743055555555556</v>
      </c>
    </row>
    <row r="364" spans="1:18" x14ac:dyDescent="0.25">
      <c r="A364" t="s">
        <v>2847</v>
      </c>
      <c r="B364" t="s">
        <v>1323</v>
      </c>
      <c r="C364" s="1">
        <v>45176</v>
      </c>
      <c r="D364" s="1" t="str">
        <f>TEXT(Delivery_data[[#This Row],[Order date]], "MMMM")</f>
        <v>September</v>
      </c>
      <c r="E364" s="1" t="str">
        <f>TEXT(Delivery_data[[#This Row],[Order date]], "DDDD")</f>
        <v>Thursday</v>
      </c>
      <c r="F364" s="2">
        <v>0.36805555555555558</v>
      </c>
      <c r="G364" t="s">
        <v>48</v>
      </c>
      <c r="H364" t="str">
        <f>IF(Delivery_data[[#This Row],[Order Status]] = "In Progress", "Backlog", "Complete")</f>
        <v>Backlog</v>
      </c>
      <c r="I364" t="s">
        <v>135</v>
      </c>
      <c r="J364" t="s">
        <v>1633</v>
      </c>
      <c r="K364" t="s">
        <v>37</v>
      </c>
      <c r="L364">
        <v>148</v>
      </c>
      <c r="M364">
        <v>20</v>
      </c>
      <c r="N364" t="s">
        <v>38</v>
      </c>
      <c r="O364" t="s">
        <v>50</v>
      </c>
      <c r="P364" t="s">
        <v>45</v>
      </c>
      <c r="Q364" t="s">
        <v>46</v>
      </c>
      <c r="R364" s="2">
        <v>0.46458333333333335</v>
      </c>
    </row>
    <row r="365" spans="1:18" x14ac:dyDescent="0.25">
      <c r="A365" t="s">
        <v>2897</v>
      </c>
      <c r="B365" t="s">
        <v>1370</v>
      </c>
      <c r="C365" s="1">
        <v>45172</v>
      </c>
      <c r="D365" s="1" t="str">
        <f>TEXT(Delivery_data[[#This Row],[Order date]], "MMMM")</f>
        <v>September</v>
      </c>
      <c r="E365" s="1" t="str">
        <f>TEXT(Delivery_data[[#This Row],[Order date]], "DDDD")</f>
        <v>Sunday</v>
      </c>
      <c r="F365" s="2">
        <v>0.44583333333333336</v>
      </c>
      <c r="G365" t="s">
        <v>48</v>
      </c>
      <c r="H365" t="str">
        <f>IF(Delivery_data[[#This Row],[Order Status]] = "In Progress", "Backlog", "Complete")</f>
        <v>Backlog</v>
      </c>
      <c r="I365" t="s">
        <v>135</v>
      </c>
      <c r="J365" t="s">
        <v>1631</v>
      </c>
      <c r="K365" t="s">
        <v>24</v>
      </c>
      <c r="L365">
        <v>177</v>
      </c>
      <c r="M365">
        <v>16</v>
      </c>
      <c r="N365" t="s">
        <v>32</v>
      </c>
      <c r="O365" t="s">
        <v>41</v>
      </c>
      <c r="P365" t="s">
        <v>34</v>
      </c>
      <c r="Q365" t="s">
        <v>28</v>
      </c>
      <c r="R365" s="2">
        <v>0.40347222222222223</v>
      </c>
    </row>
    <row r="366" spans="1:18" x14ac:dyDescent="0.25">
      <c r="A366" t="s">
        <v>2907</v>
      </c>
      <c r="B366" t="s">
        <v>1380</v>
      </c>
      <c r="C366" s="1">
        <v>45171</v>
      </c>
      <c r="D366" s="1" t="str">
        <f>TEXT(Delivery_data[[#This Row],[Order date]], "MMMM")</f>
        <v>September</v>
      </c>
      <c r="E366" s="1" t="str">
        <f>TEXT(Delivery_data[[#This Row],[Order date]], "DDDD")</f>
        <v>Saturday</v>
      </c>
      <c r="F366" s="2">
        <v>0.51041666666666663</v>
      </c>
      <c r="G366" t="s">
        <v>22</v>
      </c>
      <c r="H366" t="str">
        <f>IF(Delivery_data[[#This Row],[Order Status]] = "In Progress", "Backlog", "Complete")</f>
        <v>Complete</v>
      </c>
      <c r="I366" t="s">
        <v>135</v>
      </c>
      <c r="J366" t="s">
        <v>1631</v>
      </c>
      <c r="K366" t="s">
        <v>44</v>
      </c>
      <c r="L366">
        <v>178</v>
      </c>
      <c r="M366">
        <v>29</v>
      </c>
      <c r="N366" t="s">
        <v>32</v>
      </c>
      <c r="O366" t="s">
        <v>54</v>
      </c>
      <c r="P366" t="s">
        <v>45</v>
      </c>
      <c r="Q366" t="s">
        <v>28</v>
      </c>
      <c r="R366" s="2">
        <v>0.65138888888888891</v>
      </c>
    </row>
    <row r="367" spans="1:18" x14ac:dyDescent="0.25">
      <c r="A367" t="s">
        <v>3059</v>
      </c>
      <c r="B367" t="s">
        <v>1527</v>
      </c>
      <c r="C367" s="1">
        <v>45170</v>
      </c>
      <c r="D367" s="1" t="str">
        <f>TEXT(Delivery_data[[#This Row],[Order date]], "MMMM")</f>
        <v>September</v>
      </c>
      <c r="E367" s="1" t="str">
        <f>TEXT(Delivery_data[[#This Row],[Order date]], "DDDD")</f>
        <v>Friday</v>
      </c>
      <c r="F367" s="2">
        <v>0.33819444444444446</v>
      </c>
      <c r="G367" t="s">
        <v>22</v>
      </c>
      <c r="H367" t="str">
        <f>IF(Delivery_data[[#This Row],[Order Status]] = "In Progress", "Backlog", "Complete")</f>
        <v>Complete</v>
      </c>
      <c r="I367" t="s">
        <v>135</v>
      </c>
      <c r="J367" t="s">
        <v>1631</v>
      </c>
      <c r="K367" t="s">
        <v>31</v>
      </c>
      <c r="L367">
        <v>166</v>
      </c>
      <c r="M367">
        <v>26</v>
      </c>
      <c r="N367" t="s">
        <v>25</v>
      </c>
      <c r="O367" t="s">
        <v>41</v>
      </c>
      <c r="P367" t="s">
        <v>27</v>
      </c>
      <c r="Q367" t="s">
        <v>46</v>
      </c>
      <c r="R367" s="2">
        <v>0.69236111111111109</v>
      </c>
    </row>
    <row r="368" spans="1:18" x14ac:dyDescent="0.25">
      <c r="A368" t="s">
        <v>3127</v>
      </c>
      <c r="B368" t="s">
        <v>1550</v>
      </c>
      <c r="C368" s="1">
        <v>45175</v>
      </c>
      <c r="D368" s="1" t="str">
        <f>TEXT(Delivery_data[[#This Row],[Order date]], "MMMM")</f>
        <v>September</v>
      </c>
      <c r="E368" s="1" t="str">
        <f>TEXT(Delivery_data[[#This Row],[Order date]], "DDDD")</f>
        <v>Wednesday</v>
      </c>
      <c r="F368" s="2">
        <v>0.43194444444444446</v>
      </c>
      <c r="G368" t="s">
        <v>22</v>
      </c>
      <c r="H368" t="str">
        <f>IF(Delivery_data[[#This Row],[Order Status]] = "In Progress", "Backlog", "Complete")</f>
        <v>Complete</v>
      </c>
      <c r="I368" t="s">
        <v>135</v>
      </c>
      <c r="J368" t="s">
        <v>1631</v>
      </c>
      <c r="K368" t="s">
        <v>37</v>
      </c>
      <c r="L368">
        <v>226</v>
      </c>
      <c r="M368">
        <v>8</v>
      </c>
      <c r="N368" t="s">
        <v>32</v>
      </c>
      <c r="O368" t="s">
        <v>54</v>
      </c>
      <c r="P368" t="s">
        <v>34</v>
      </c>
      <c r="Q368" t="s">
        <v>28</v>
      </c>
      <c r="R368" s="2">
        <v>0.65</v>
      </c>
    </row>
    <row r="369" spans="1:18" x14ac:dyDescent="0.25">
      <c r="A369" t="s">
        <v>1785</v>
      </c>
      <c r="B369" t="s">
        <v>274</v>
      </c>
      <c r="C369" s="1">
        <v>45177</v>
      </c>
      <c r="D369" s="1" t="str">
        <f>TEXT(Delivery_data[[#This Row],[Order date]], "MMMM")</f>
        <v>September</v>
      </c>
      <c r="E369" s="1" t="str">
        <f>TEXT(Delivery_data[[#This Row],[Order date]], "DDDD")</f>
        <v>Friday</v>
      </c>
      <c r="F369" s="2">
        <v>0.6479166666666667</v>
      </c>
      <c r="G369" t="s">
        <v>22</v>
      </c>
      <c r="H369" t="str">
        <f>IF(Delivery_data[[#This Row],[Order Status]] = "In Progress", "Backlog", "Complete")</f>
        <v>Complete</v>
      </c>
      <c r="I369" t="s">
        <v>275</v>
      </c>
      <c r="J369" t="s">
        <v>1631</v>
      </c>
      <c r="K369" t="s">
        <v>61</v>
      </c>
      <c r="L369">
        <v>162</v>
      </c>
      <c r="M369">
        <v>13</v>
      </c>
      <c r="N369" t="s">
        <v>32</v>
      </c>
      <c r="O369" t="s">
        <v>33</v>
      </c>
      <c r="P369" t="s">
        <v>34</v>
      </c>
      <c r="Q369" t="s">
        <v>51</v>
      </c>
      <c r="R369" s="2">
        <v>0.71250000000000002</v>
      </c>
    </row>
    <row r="370" spans="1:18" x14ac:dyDescent="0.25">
      <c r="A370" t="s">
        <v>2018</v>
      </c>
      <c r="B370" t="s">
        <v>523</v>
      </c>
      <c r="C370" s="1">
        <v>45176</v>
      </c>
      <c r="D370" s="1" t="str">
        <f>TEXT(Delivery_data[[#This Row],[Order date]], "MMMM")</f>
        <v>September</v>
      </c>
      <c r="E370" s="1" t="str">
        <f>TEXT(Delivery_data[[#This Row],[Order date]], "DDDD")</f>
        <v>Thursday</v>
      </c>
      <c r="F370" s="2">
        <v>0.54097222222222219</v>
      </c>
      <c r="G370" t="s">
        <v>48</v>
      </c>
      <c r="H370" t="str">
        <f>IF(Delivery_data[[#This Row],[Order Status]] = "In Progress", "Backlog", "Complete")</f>
        <v>Backlog</v>
      </c>
      <c r="I370" t="s">
        <v>275</v>
      </c>
      <c r="J370" t="s">
        <v>1637</v>
      </c>
      <c r="K370" t="s">
        <v>24</v>
      </c>
      <c r="L370">
        <v>78</v>
      </c>
      <c r="M370">
        <v>19</v>
      </c>
      <c r="N370" t="s">
        <v>32</v>
      </c>
      <c r="O370" t="s">
        <v>33</v>
      </c>
      <c r="P370" t="s">
        <v>45</v>
      </c>
      <c r="Q370" t="s">
        <v>28</v>
      </c>
      <c r="R370" s="2">
        <v>0.50763888888888886</v>
      </c>
    </row>
    <row r="371" spans="1:18" x14ac:dyDescent="0.25">
      <c r="A371" t="s">
        <v>2062</v>
      </c>
      <c r="B371" t="s">
        <v>567</v>
      </c>
      <c r="C371" s="1">
        <v>45175</v>
      </c>
      <c r="D371" s="1" t="str">
        <f>TEXT(Delivery_data[[#This Row],[Order date]], "MMMM")</f>
        <v>September</v>
      </c>
      <c r="E371" s="1" t="str">
        <f>TEXT(Delivery_data[[#This Row],[Order date]], "DDDD")</f>
        <v>Wednesday</v>
      </c>
      <c r="F371" s="2">
        <v>0.45</v>
      </c>
      <c r="G371" t="s">
        <v>48</v>
      </c>
      <c r="H371" t="str">
        <f>IF(Delivery_data[[#This Row],[Order Status]] = "In Progress", "Backlog", "Complete")</f>
        <v>Backlog</v>
      </c>
      <c r="I371" t="s">
        <v>275</v>
      </c>
      <c r="J371" t="s">
        <v>1633</v>
      </c>
      <c r="K371" t="s">
        <v>44</v>
      </c>
      <c r="L371">
        <v>134</v>
      </c>
      <c r="M371">
        <v>21</v>
      </c>
      <c r="N371" t="s">
        <v>38</v>
      </c>
      <c r="O371" t="s">
        <v>33</v>
      </c>
      <c r="P371" t="s">
        <v>27</v>
      </c>
      <c r="Q371" t="s">
        <v>51</v>
      </c>
      <c r="R371" s="2">
        <v>0.63124999999999998</v>
      </c>
    </row>
    <row r="372" spans="1:18" x14ac:dyDescent="0.25">
      <c r="A372" t="s">
        <v>2175</v>
      </c>
      <c r="B372" t="s">
        <v>676</v>
      </c>
      <c r="C372" s="1">
        <v>45177</v>
      </c>
      <c r="D372" s="1" t="str">
        <f>TEXT(Delivery_data[[#This Row],[Order date]], "MMMM")</f>
        <v>September</v>
      </c>
      <c r="E372" s="1" t="str">
        <f>TEXT(Delivery_data[[#This Row],[Order date]], "DDDD")</f>
        <v>Friday</v>
      </c>
      <c r="F372" s="2">
        <v>0.5</v>
      </c>
      <c r="G372" t="s">
        <v>22</v>
      </c>
      <c r="H372" t="str">
        <f>IF(Delivery_data[[#This Row],[Order Status]] = "In Progress", "Backlog", "Complete")</f>
        <v>Complete</v>
      </c>
      <c r="I372" t="s">
        <v>275</v>
      </c>
      <c r="J372" t="s">
        <v>1631</v>
      </c>
      <c r="K372" t="s">
        <v>31</v>
      </c>
      <c r="L372">
        <v>123</v>
      </c>
      <c r="M372">
        <v>10</v>
      </c>
      <c r="N372" t="s">
        <v>38</v>
      </c>
      <c r="O372" t="s">
        <v>33</v>
      </c>
      <c r="P372" t="s">
        <v>45</v>
      </c>
      <c r="Q372" t="s">
        <v>51</v>
      </c>
      <c r="R372" s="2">
        <v>0.37361111111111112</v>
      </c>
    </row>
    <row r="373" spans="1:18" x14ac:dyDescent="0.25">
      <c r="A373" t="s">
        <v>2283</v>
      </c>
      <c r="B373" t="s">
        <v>782</v>
      </c>
      <c r="C373" s="1">
        <v>45170</v>
      </c>
      <c r="D373" s="1" t="str">
        <f>TEXT(Delivery_data[[#This Row],[Order date]], "MMMM")</f>
        <v>September</v>
      </c>
      <c r="E373" s="1" t="str">
        <f>TEXT(Delivery_data[[#This Row],[Order date]], "DDDD")</f>
        <v>Friday</v>
      </c>
      <c r="F373" s="2">
        <v>0.54583333333333328</v>
      </c>
      <c r="G373" t="s">
        <v>48</v>
      </c>
      <c r="H373" t="str">
        <f>IF(Delivery_data[[#This Row],[Order Status]] = "In Progress", "Backlog", "Complete")</f>
        <v>Backlog</v>
      </c>
      <c r="I373" t="s">
        <v>275</v>
      </c>
      <c r="J373" t="s">
        <v>1633</v>
      </c>
      <c r="K373" t="s">
        <v>44</v>
      </c>
      <c r="L373">
        <v>188</v>
      </c>
      <c r="M373">
        <v>26</v>
      </c>
      <c r="N373" t="s">
        <v>38</v>
      </c>
      <c r="O373" t="s">
        <v>33</v>
      </c>
      <c r="P373" t="s">
        <v>27</v>
      </c>
      <c r="Q373" t="s">
        <v>51</v>
      </c>
      <c r="R373" s="2">
        <v>0.49305555555555558</v>
      </c>
    </row>
    <row r="374" spans="1:18" x14ac:dyDescent="0.25">
      <c r="A374" t="s">
        <v>2362</v>
      </c>
      <c r="B374" t="s">
        <v>859</v>
      </c>
      <c r="C374" s="1">
        <v>45176</v>
      </c>
      <c r="D374" s="1" t="str">
        <f>TEXT(Delivery_data[[#This Row],[Order date]], "MMMM")</f>
        <v>September</v>
      </c>
      <c r="E374" s="1" t="str">
        <f>TEXT(Delivery_data[[#This Row],[Order date]], "DDDD")</f>
        <v>Thursday</v>
      </c>
      <c r="F374" s="2">
        <v>0.50694444444444442</v>
      </c>
      <c r="G374" t="s">
        <v>22</v>
      </c>
      <c r="H374" t="str">
        <f>IF(Delivery_data[[#This Row],[Order Status]] = "In Progress", "Backlog", "Complete")</f>
        <v>Complete</v>
      </c>
      <c r="I374" t="s">
        <v>275</v>
      </c>
      <c r="J374" t="s">
        <v>1631</v>
      </c>
      <c r="K374" t="s">
        <v>37</v>
      </c>
      <c r="L374">
        <v>138</v>
      </c>
      <c r="M374">
        <v>14</v>
      </c>
      <c r="N374" t="s">
        <v>32</v>
      </c>
      <c r="O374" t="s">
        <v>41</v>
      </c>
      <c r="P374" t="s">
        <v>45</v>
      </c>
      <c r="Q374" t="s">
        <v>46</v>
      </c>
      <c r="R374" s="2">
        <v>0.56874999999999998</v>
      </c>
    </row>
    <row r="375" spans="1:18" x14ac:dyDescent="0.25">
      <c r="A375" t="s">
        <v>2390</v>
      </c>
      <c r="B375" t="s">
        <v>886</v>
      </c>
      <c r="C375" s="1">
        <v>45174</v>
      </c>
      <c r="D375" s="1" t="str">
        <f>TEXT(Delivery_data[[#This Row],[Order date]], "MMMM")</f>
        <v>September</v>
      </c>
      <c r="E375" s="1" t="str">
        <f>TEXT(Delivery_data[[#This Row],[Order date]], "DDDD")</f>
        <v>Tuesday</v>
      </c>
      <c r="F375" s="2">
        <v>0.5805555555555556</v>
      </c>
      <c r="G375" t="s">
        <v>48</v>
      </c>
      <c r="H375" t="str">
        <f>IF(Delivery_data[[#This Row],[Order Status]] = "In Progress", "Backlog", "Complete")</f>
        <v>Backlog</v>
      </c>
      <c r="I375" t="s">
        <v>275</v>
      </c>
      <c r="J375" t="s">
        <v>1637</v>
      </c>
      <c r="K375" t="s">
        <v>24</v>
      </c>
      <c r="L375">
        <v>94</v>
      </c>
      <c r="M375">
        <v>23</v>
      </c>
      <c r="N375" t="s">
        <v>38</v>
      </c>
      <c r="O375" t="s">
        <v>26</v>
      </c>
      <c r="P375" t="s">
        <v>34</v>
      </c>
      <c r="Q375" t="s">
        <v>51</v>
      </c>
      <c r="R375" s="2">
        <v>0.48194444444444445</v>
      </c>
    </row>
    <row r="376" spans="1:18" x14ac:dyDescent="0.25">
      <c r="A376" t="s">
        <v>2428</v>
      </c>
      <c r="B376" t="s">
        <v>921</v>
      </c>
      <c r="C376" s="1">
        <v>45172</v>
      </c>
      <c r="D376" s="1" t="str">
        <f>TEXT(Delivery_data[[#This Row],[Order date]], "MMMM")</f>
        <v>September</v>
      </c>
      <c r="E376" s="1" t="str">
        <f>TEXT(Delivery_data[[#This Row],[Order date]], "DDDD")</f>
        <v>Sunday</v>
      </c>
      <c r="F376" s="2">
        <v>0.59027777777777779</v>
      </c>
      <c r="G376" t="s">
        <v>22</v>
      </c>
      <c r="H376" t="str">
        <f>IF(Delivery_data[[#This Row],[Order Status]] = "In Progress", "Backlog", "Complete")</f>
        <v>Complete</v>
      </c>
      <c r="I376" t="s">
        <v>275</v>
      </c>
      <c r="J376" t="s">
        <v>1633</v>
      </c>
      <c r="K376" t="s">
        <v>31</v>
      </c>
      <c r="L376">
        <v>151</v>
      </c>
      <c r="M376">
        <v>2</v>
      </c>
      <c r="N376" t="s">
        <v>38</v>
      </c>
      <c r="O376" t="s">
        <v>54</v>
      </c>
      <c r="P376" t="s">
        <v>45</v>
      </c>
      <c r="Q376" t="s">
        <v>28</v>
      </c>
      <c r="R376" s="2">
        <v>0.4826388888888889</v>
      </c>
    </row>
    <row r="377" spans="1:18" x14ac:dyDescent="0.25">
      <c r="A377" t="s">
        <v>2471</v>
      </c>
      <c r="B377" t="s">
        <v>963</v>
      </c>
      <c r="C377" s="1">
        <v>45177</v>
      </c>
      <c r="D377" s="1" t="str">
        <f>TEXT(Delivery_data[[#This Row],[Order date]], "MMMM")</f>
        <v>September</v>
      </c>
      <c r="E377" s="1" t="str">
        <f>TEXT(Delivery_data[[#This Row],[Order date]], "DDDD")</f>
        <v>Friday</v>
      </c>
      <c r="F377" s="2">
        <v>0.63958333333333328</v>
      </c>
      <c r="G377" t="s">
        <v>22</v>
      </c>
      <c r="H377" t="str">
        <f>IF(Delivery_data[[#This Row],[Order Status]] = "In Progress", "Backlog", "Complete")</f>
        <v>Complete</v>
      </c>
      <c r="I377" t="s">
        <v>275</v>
      </c>
      <c r="J377" t="s">
        <v>1633</v>
      </c>
      <c r="K377" t="s">
        <v>44</v>
      </c>
      <c r="L377">
        <v>140</v>
      </c>
      <c r="M377">
        <v>18</v>
      </c>
      <c r="N377" t="s">
        <v>32</v>
      </c>
      <c r="O377" t="s">
        <v>54</v>
      </c>
      <c r="P377" t="s">
        <v>45</v>
      </c>
      <c r="Q377" t="s">
        <v>28</v>
      </c>
      <c r="R377" s="2">
        <v>0.57152777777777775</v>
      </c>
    </row>
    <row r="378" spans="1:18" x14ac:dyDescent="0.25">
      <c r="A378" t="s">
        <v>2486</v>
      </c>
      <c r="B378" t="s">
        <v>976</v>
      </c>
      <c r="C378" s="1">
        <v>45171</v>
      </c>
      <c r="D378" s="1" t="str">
        <f>TEXT(Delivery_data[[#This Row],[Order date]], "MMMM")</f>
        <v>September</v>
      </c>
      <c r="E378" s="1" t="str">
        <f>TEXT(Delivery_data[[#This Row],[Order date]], "DDDD")</f>
        <v>Saturday</v>
      </c>
      <c r="F378" s="2">
        <v>0.63263888888888886</v>
      </c>
      <c r="G378" t="s">
        <v>48</v>
      </c>
      <c r="H378" t="str">
        <f>IF(Delivery_data[[#This Row],[Order Status]] = "In Progress", "Backlog", "Complete")</f>
        <v>Backlog</v>
      </c>
      <c r="I378" t="s">
        <v>275</v>
      </c>
      <c r="J378" t="s">
        <v>1631</v>
      </c>
      <c r="K378" t="s">
        <v>37</v>
      </c>
      <c r="L378">
        <v>173</v>
      </c>
      <c r="M378">
        <v>29</v>
      </c>
      <c r="N378" t="s">
        <v>25</v>
      </c>
      <c r="O378" t="s">
        <v>33</v>
      </c>
      <c r="P378" t="s">
        <v>34</v>
      </c>
      <c r="Q378" t="s">
        <v>46</v>
      </c>
      <c r="R378" s="2">
        <v>0.63402777777777775</v>
      </c>
    </row>
    <row r="379" spans="1:18" x14ac:dyDescent="0.25">
      <c r="A379" t="s">
        <v>2632</v>
      </c>
      <c r="B379" t="s">
        <v>1115</v>
      </c>
      <c r="C379" s="1">
        <v>45177</v>
      </c>
      <c r="D379" s="1" t="str">
        <f>TEXT(Delivery_data[[#This Row],[Order date]], "MMMM")</f>
        <v>September</v>
      </c>
      <c r="E379" s="1" t="str">
        <f>TEXT(Delivery_data[[#This Row],[Order date]], "DDDD")</f>
        <v>Friday</v>
      </c>
      <c r="F379" s="2">
        <v>0.60763888888888884</v>
      </c>
      <c r="G379" t="s">
        <v>22</v>
      </c>
      <c r="H379" t="str">
        <f>IF(Delivery_data[[#This Row],[Order Status]] = "In Progress", "Backlog", "Complete")</f>
        <v>Complete</v>
      </c>
      <c r="I379" t="s">
        <v>275</v>
      </c>
      <c r="J379" t="s">
        <v>1633</v>
      </c>
      <c r="K379" t="s">
        <v>31</v>
      </c>
      <c r="L379">
        <v>138</v>
      </c>
      <c r="M379">
        <v>25</v>
      </c>
      <c r="N379" t="s">
        <v>25</v>
      </c>
      <c r="O379" t="s">
        <v>54</v>
      </c>
      <c r="P379" t="s">
        <v>45</v>
      </c>
      <c r="Q379" t="s">
        <v>28</v>
      </c>
      <c r="R379" s="2">
        <v>0.50624999999999998</v>
      </c>
    </row>
    <row r="380" spans="1:18" x14ac:dyDescent="0.25">
      <c r="A380" t="s">
        <v>2762</v>
      </c>
      <c r="B380" t="s">
        <v>1240</v>
      </c>
      <c r="C380" s="1">
        <v>45176</v>
      </c>
      <c r="D380" s="1" t="str">
        <f>TEXT(Delivery_data[[#This Row],[Order date]], "MMMM")</f>
        <v>September</v>
      </c>
      <c r="E380" s="1" t="str">
        <f>TEXT(Delivery_data[[#This Row],[Order date]], "DDDD")</f>
        <v>Thursday</v>
      </c>
      <c r="F380" s="2">
        <v>0.50208333333333333</v>
      </c>
      <c r="G380" t="s">
        <v>48</v>
      </c>
      <c r="H380" t="str">
        <f>IF(Delivery_data[[#This Row],[Order Status]] = "In Progress", "Backlog", "Complete")</f>
        <v>Backlog</v>
      </c>
      <c r="I380" t="s">
        <v>275</v>
      </c>
      <c r="J380" t="s">
        <v>1637</v>
      </c>
      <c r="K380" t="s">
        <v>44</v>
      </c>
      <c r="L380">
        <v>167</v>
      </c>
      <c r="M380">
        <v>22</v>
      </c>
      <c r="N380" t="s">
        <v>38</v>
      </c>
      <c r="O380" t="s">
        <v>33</v>
      </c>
      <c r="P380" t="s">
        <v>27</v>
      </c>
      <c r="Q380" t="s">
        <v>51</v>
      </c>
      <c r="R380" s="2">
        <v>0.49027777777777776</v>
      </c>
    </row>
    <row r="381" spans="1:18" x14ac:dyDescent="0.25">
      <c r="A381" t="s">
        <v>2914</v>
      </c>
      <c r="B381" t="s">
        <v>1387</v>
      </c>
      <c r="C381" s="1">
        <v>45177</v>
      </c>
      <c r="D381" s="1" t="str">
        <f>TEXT(Delivery_data[[#This Row],[Order date]], "MMMM")</f>
        <v>September</v>
      </c>
      <c r="E381" s="1" t="str">
        <f>TEXT(Delivery_data[[#This Row],[Order date]], "DDDD")</f>
        <v>Friday</v>
      </c>
      <c r="F381" s="2">
        <v>0.5708333333333333</v>
      </c>
      <c r="G381" t="s">
        <v>48</v>
      </c>
      <c r="H381" t="str">
        <f>IF(Delivery_data[[#This Row],[Order Status]] = "In Progress", "Backlog", "Complete")</f>
        <v>Backlog</v>
      </c>
      <c r="I381" t="s">
        <v>275</v>
      </c>
      <c r="J381" t="s">
        <v>1637</v>
      </c>
      <c r="K381" t="s">
        <v>24</v>
      </c>
      <c r="L381">
        <v>144</v>
      </c>
      <c r="M381">
        <v>19</v>
      </c>
      <c r="N381" t="s">
        <v>32</v>
      </c>
      <c r="O381" t="s">
        <v>26</v>
      </c>
      <c r="P381" t="s">
        <v>45</v>
      </c>
      <c r="Q381" t="s">
        <v>46</v>
      </c>
      <c r="R381" s="2">
        <v>0.6875</v>
      </c>
    </row>
    <row r="382" spans="1:18" x14ac:dyDescent="0.25">
      <c r="A382" t="s">
        <v>2922</v>
      </c>
      <c r="B382" t="s">
        <v>1395</v>
      </c>
      <c r="C382" s="1">
        <v>45173</v>
      </c>
      <c r="D382" s="1" t="str">
        <f>TEXT(Delivery_data[[#This Row],[Order date]], "MMMM")</f>
        <v>September</v>
      </c>
      <c r="E382" s="1" t="str">
        <f>TEXT(Delivery_data[[#This Row],[Order date]], "DDDD")</f>
        <v>Monday</v>
      </c>
      <c r="F382" s="2">
        <v>0.55555555555555558</v>
      </c>
      <c r="G382" t="s">
        <v>48</v>
      </c>
      <c r="H382" t="str">
        <f>IF(Delivery_data[[#This Row],[Order Status]] = "In Progress", "Backlog", "Complete")</f>
        <v>Backlog</v>
      </c>
      <c r="I382" t="s">
        <v>275</v>
      </c>
      <c r="J382" t="s">
        <v>1637</v>
      </c>
      <c r="K382" t="s">
        <v>44</v>
      </c>
      <c r="L382">
        <v>189</v>
      </c>
      <c r="M382">
        <v>24</v>
      </c>
      <c r="N382" t="s">
        <v>32</v>
      </c>
      <c r="O382" t="s">
        <v>26</v>
      </c>
      <c r="P382" t="s">
        <v>27</v>
      </c>
      <c r="Q382" t="s">
        <v>28</v>
      </c>
      <c r="R382" s="2">
        <v>0.6333333333333333</v>
      </c>
    </row>
    <row r="383" spans="1:18" x14ac:dyDescent="0.25">
      <c r="A383" t="s">
        <v>1708</v>
      </c>
      <c r="B383" t="s">
        <v>173</v>
      </c>
      <c r="C383" s="1">
        <v>45170</v>
      </c>
      <c r="D383" s="1" t="str">
        <f>TEXT(Delivery_data[[#This Row],[Order date]], "MMMM")</f>
        <v>September</v>
      </c>
      <c r="E383" s="1" t="str">
        <f>TEXT(Delivery_data[[#This Row],[Order date]], "DDDD")</f>
        <v>Friday</v>
      </c>
      <c r="F383" s="2">
        <v>0.37222222222222223</v>
      </c>
      <c r="G383" t="s">
        <v>22</v>
      </c>
      <c r="H383" t="str">
        <f>IF(Delivery_data[[#This Row],[Order Status]] = "In Progress", "Backlog", "Complete")</f>
        <v>Complete</v>
      </c>
      <c r="I383" t="s">
        <v>174</v>
      </c>
      <c r="J383" t="s">
        <v>1637</v>
      </c>
      <c r="K383" t="s">
        <v>37</v>
      </c>
      <c r="L383">
        <v>126</v>
      </c>
      <c r="M383">
        <v>7</v>
      </c>
      <c r="N383" t="s">
        <v>25</v>
      </c>
      <c r="O383" t="s">
        <v>41</v>
      </c>
      <c r="P383" t="s">
        <v>34</v>
      </c>
      <c r="Q383" t="s">
        <v>46</v>
      </c>
      <c r="R383" s="2">
        <v>0.39166666666666666</v>
      </c>
    </row>
    <row r="384" spans="1:18" x14ac:dyDescent="0.25">
      <c r="A384" t="s">
        <v>1753</v>
      </c>
      <c r="B384" t="s">
        <v>234</v>
      </c>
      <c r="C384" s="1">
        <v>45172</v>
      </c>
      <c r="D384" s="1" t="str">
        <f>TEXT(Delivery_data[[#This Row],[Order date]], "MMMM")</f>
        <v>September</v>
      </c>
      <c r="E384" s="1" t="str">
        <f>TEXT(Delivery_data[[#This Row],[Order date]], "DDDD")</f>
        <v>Sunday</v>
      </c>
      <c r="F384" s="2">
        <v>0.49930555555555556</v>
      </c>
      <c r="G384" t="s">
        <v>48</v>
      </c>
      <c r="H384" t="str">
        <f>IF(Delivery_data[[#This Row],[Order Status]] = "In Progress", "Backlog", "Complete")</f>
        <v>Backlog</v>
      </c>
      <c r="I384" t="s">
        <v>174</v>
      </c>
      <c r="J384" t="s">
        <v>1633</v>
      </c>
      <c r="K384" t="s">
        <v>31</v>
      </c>
      <c r="L384">
        <v>123</v>
      </c>
      <c r="M384">
        <v>22</v>
      </c>
      <c r="N384" t="s">
        <v>38</v>
      </c>
      <c r="O384" t="s">
        <v>33</v>
      </c>
      <c r="P384" t="s">
        <v>45</v>
      </c>
      <c r="Q384" t="s">
        <v>28</v>
      </c>
      <c r="R384" s="2">
        <v>0.53333333333333333</v>
      </c>
    </row>
    <row r="385" spans="1:18" x14ac:dyDescent="0.25">
      <c r="A385" t="s">
        <v>1809</v>
      </c>
      <c r="B385" t="s">
        <v>304</v>
      </c>
      <c r="C385" s="1">
        <v>45172</v>
      </c>
      <c r="D385" s="1" t="str">
        <f>TEXT(Delivery_data[[#This Row],[Order date]], "MMMM")</f>
        <v>September</v>
      </c>
      <c r="E385" s="1" t="str">
        <f>TEXT(Delivery_data[[#This Row],[Order date]], "DDDD")</f>
        <v>Sunday</v>
      </c>
      <c r="F385" s="2">
        <v>0.60347222222222219</v>
      </c>
      <c r="G385" t="s">
        <v>22</v>
      </c>
      <c r="H385" t="str">
        <f>IF(Delivery_data[[#This Row],[Order Status]] = "In Progress", "Backlog", "Complete")</f>
        <v>Complete</v>
      </c>
      <c r="I385" t="s">
        <v>174</v>
      </c>
      <c r="J385" t="s">
        <v>1637</v>
      </c>
      <c r="K385" t="s">
        <v>61</v>
      </c>
      <c r="L385">
        <v>213</v>
      </c>
      <c r="M385">
        <v>10</v>
      </c>
      <c r="N385" t="s">
        <v>25</v>
      </c>
      <c r="O385" t="s">
        <v>33</v>
      </c>
      <c r="P385" t="s">
        <v>45</v>
      </c>
      <c r="Q385" t="s">
        <v>46</v>
      </c>
      <c r="R385" s="2">
        <v>0.58680555555555558</v>
      </c>
    </row>
    <row r="386" spans="1:18" x14ac:dyDescent="0.25">
      <c r="A386" t="s">
        <v>1838</v>
      </c>
      <c r="B386" t="s">
        <v>336</v>
      </c>
      <c r="C386" s="1">
        <v>45175</v>
      </c>
      <c r="D386" s="1" t="str">
        <f>TEXT(Delivery_data[[#This Row],[Order date]], "MMMM")</f>
        <v>September</v>
      </c>
      <c r="E386" s="1" t="str">
        <f>TEXT(Delivery_data[[#This Row],[Order date]], "DDDD")</f>
        <v>Wednesday</v>
      </c>
      <c r="F386" s="2">
        <v>0.68055555555555558</v>
      </c>
      <c r="G386" t="s">
        <v>48</v>
      </c>
      <c r="H386" t="str">
        <f>IF(Delivery_data[[#This Row],[Order Status]] = "In Progress", "Backlog", "Complete")</f>
        <v>Backlog</v>
      </c>
      <c r="I386" t="s">
        <v>174</v>
      </c>
      <c r="J386" t="s">
        <v>1637</v>
      </c>
      <c r="K386" t="s">
        <v>61</v>
      </c>
      <c r="L386">
        <v>161</v>
      </c>
      <c r="M386">
        <v>14</v>
      </c>
      <c r="N386" t="s">
        <v>38</v>
      </c>
      <c r="O386" t="s">
        <v>26</v>
      </c>
      <c r="P386" t="s">
        <v>45</v>
      </c>
      <c r="Q386" t="s">
        <v>46</v>
      </c>
      <c r="R386" s="2">
        <v>0.53055555555555556</v>
      </c>
    </row>
    <row r="387" spans="1:18" x14ac:dyDescent="0.25">
      <c r="A387" t="s">
        <v>2042</v>
      </c>
      <c r="B387" t="s">
        <v>547</v>
      </c>
      <c r="C387" s="1">
        <v>45176</v>
      </c>
      <c r="D387" s="1" t="str">
        <f>TEXT(Delivery_data[[#This Row],[Order date]], "MMMM")</f>
        <v>September</v>
      </c>
      <c r="E387" s="1" t="str">
        <f>TEXT(Delivery_data[[#This Row],[Order date]], "DDDD")</f>
        <v>Thursday</v>
      </c>
      <c r="F387" s="2">
        <v>0.51388888888888884</v>
      </c>
      <c r="G387" t="s">
        <v>22</v>
      </c>
      <c r="H387" t="str">
        <f>IF(Delivery_data[[#This Row],[Order Status]] = "In Progress", "Backlog", "Complete")</f>
        <v>Complete</v>
      </c>
      <c r="I387" t="s">
        <v>174</v>
      </c>
      <c r="J387" t="s">
        <v>1631</v>
      </c>
      <c r="K387" t="s">
        <v>61</v>
      </c>
      <c r="L387">
        <v>199</v>
      </c>
      <c r="M387">
        <v>3</v>
      </c>
      <c r="N387" t="s">
        <v>32</v>
      </c>
      <c r="O387" t="s">
        <v>41</v>
      </c>
      <c r="P387" t="s">
        <v>45</v>
      </c>
      <c r="Q387" t="s">
        <v>28</v>
      </c>
      <c r="R387" s="2">
        <v>0.60763888888888884</v>
      </c>
    </row>
    <row r="388" spans="1:18" x14ac:dyDescent="0.25">
      <c r="A388" t="s">
        <v>2052</v>
      </c>
      <c r="B388" t="s">
        <v>557</v>
      </c>
      <c r="C388" s="1">
        <v>45174</v>
      </c>
      <c r="D388" s="1" t="str">
        <f>TEXT(Delivery_data[[#This Row],[Order date]], "MMMM")</f>
        <v>September</v>
      </c>
      <c r="E388" s="1" t="str">
        <f>TEXT(Delivery_data[[#This Row],[Order date]], "DDDD")</f>
        <v>Tuesday</v>
      </c>
      <c r="F388" s="2">
        <v>0.57222222222222219</v>
      </c>
      <c r="G388" t="s">
        <v>22</v>
      </c>
      <c r="H388" t="str">
        <f>IF(Delivery_data[[#This Row],[Order Status]] = "In Progress", "Backlog", "Complete")</f>
        <v>Complete</v>
      </c>
      <c r="I388" t="s">
        <v>174</v>
      </c>
      <c r="J388" t="s">
        <v>1631</v>
      </c>
      <c r="K388" t="s">
        <v>24</v>
      </c>
      <c r="L388">
        <v>228</v>
      </c>
      <c r="M388">
        <v>21</v>
      </c>
      <c r="N388" t="s">
        <v>38</v>
      </c>
      <c r="O388" t="s">
        <v>54</v>
      </c>
      <c r="P388" t="s">
        <v>27</v>
      </c>
      <c r="Q388" t="s">
        <v>46</v>
      </c>
      <c r="R388" s="2">
        <v>0.39861111111111114</v>
      </c>
    </row>
    <row r="389" spans="1:18" x14ac:dyDescent="0.25">
      <c r="A389" t="s">
        <v>2205</v>
      </c>
      <c r="B389" t="s">
        <v>706</v>
      </c>
      <c r="C389" s="1">
        <v>45176</v>
      </c>
      <c r="D389" s="1" t="str">
        <f>TEXT(Delivery_data[[#This Row],[Order date]], "MMMM")</f>
        <v>September</v>
      </c>
      <c r="E389" s="1" t="str">
        <f>TEXT(Delivery_data[[#This Row],[Order date]], "DDDD")</f>
        <v>Thursday</v>
      </c>
      <c r="F389" s="2">
        <v>0.50347222222222221</v>
      </c>
      <c r="G389" t="s">
        <v>22</v>
      </c>
      <c r="H389" t="str">
        <f>IF(Delivery_data[[#This Row],[Order Status]] = "In Progress", "Backlog", "Complete")</f>
        <v>Complete</v>
      </c>
      <c r="I389" t="s">
        <v>174</v>
      </c>
      <c r="J389" t="s">
        <v>1633</v>
      </c>
      <c r="K389" t="s">
        <v>37</v>
      </c>
      <c r="L389">
        <v>162</v>
      </c>
      <c r="M389">
        <v>20</v>
      </c>
      <c r="N389" t="s">
        <v>38</v>
      </c>
      <c r="O389" t="s">
        <v>41</v>
      </c>
      <c r="P389" t="s">
        <v>45</v>
      </c>
      <c r="Q389" t="s">
        <v>28</v>
      </c>
      <c r="R389" s="2">
        <v>0.52777777777777779</v>
      </c>
    </row>
    <row r="390" spans="1:18" x14ac:dyDescent="0.25">
      <c r="A390" t="s">
        <v>2206</v>
      </c>
      <c r="B390" t="s">
        <v>707</v>
      </c>
      <c r="C390" s="1">
        <v>45174</v>
      </c>
      <c r="D390" s="1" t="str">
        <f>TEXT(Delivery_data[[#This Row],[Order date]], "MMMM")</f>
        <v>September</v>
      </c>
      <c r="E390" s="1" t="str">
        <f>TEXT(Delivery_data[[#This Row],[Order date]], "DDDD")</f>
        <v>Tuesday</v>
      </c>
      <c r="F390" s="2">
        <v>0.43541666666666667</v>
      </c>
      <c r="G390" t="s">
        <v>48</v>
      </c>
      <c r="H390" t="str">
        <f>IF(Delivery_data[[#This Row],[Order Status]] = "In Progress", "Backlog", "Complete")</f>
        <v>Backlog</v>
      </c>
      <c r="I390" t="s">
        <v>174</v>
      </c>
      <c r="J390" t="s">
        <v>1637</v>
      </c>
      <c r="K390" t="s">
        <v>31</v>
      </c>
      <c r="L390">
        <v>170</v>
      </c>
      <c r="M390">
        <v>8</v>
      </c>
      <c r="N390" t="s">
        <v>25</v>
      </c>
      <c r="O390" t="s">
        <v>26</v>
      </c>
      <c r="P390" t="s">
        <v>45</v>
      </c>
      <c r="Q390" t="s">
        <v>51</v>
      </c>
      <c r="R390" s="2">
        <v>0.38333333333333336</v>
      </c>
    </row>
    <row r="391" spans="1:18" x14ac:dyDescent="0.25">
      <c r="A391" t="s">
        <v>2234</v>
      </c>
      <c r="B391" t="s">
        <v>734</v>
      </c>
      <c r="C391" s="1">
        <v>45175</v>
      </c>
      <c r="D391" s="1" t="str">
        <f>TEXT(Delivery_data[[#This Row],[Order date]], "MMMM")</f>
        <v>September</v>
      </c>
      <c r="E391" s="1" t="str">
        <f>TEXT(Delivery_data[[#This Row],[Order date]], "DDDD")</f>
        <v>Wednesday</v>
      </c>
      <c r="F391" s="2">
        <v>0.37986111111111109</v>
      </c>
      <c r="G391" t="s">
        <v>48</v>
      </c>
      <c r="H391" t="str">
        <f>IF(Delivery_data[[#This Row],[Order Status]] = "In Progress", "Backlog", "Complete")</f>
        <v>Backlog</v>
      </c>
      <c r="I391" t="s">
        <v>174</v>
      </c>
      <c r="J391" t="s">
        <v>1631</v>
      </c>
      <c r="K391" t="s">
        <v>44</v>
      </c>
      <c r="L391">
        <v>60</v>
      </c>
      <c r="M391">
        <v>18</v>
      </c>
      <c r="N391" t="s">
        <v>38</v>
      </c>
      <c r="O391" t="s">
        <v>50</v>
      </c>
      <c r="P391" t="s">
        <v>45</v>
      </c>
      <c r="Q391" t="s">
        <v>51</v>
      </c>
      <c r="R391" s="2">
        <v>0.67083333333333328</v>
      </c>
    </row>
    <row r="392" spans="1:18" x14ac:dyDescent="0.25">
      <c r="A392" t="s">
        <v>2277</v>
      </c>
      <c r="B392" t="s">
        <v>506</v>
      </c>
      <c r="C392" s="1">
        <v>45175</v>
      </c>
      <c r="D392" s="1" t="str">
        <f>TEXT(Delivery_data[[#This Row],[Order date]], "MMMM")</f>
        <v>September</v>
      </c>
      <c r="E392" s="1" t="str">
        <f>TEXT(Delivery_data[[#This Row],[Order date]], "DDDD")</f>
        <v>Wednesday</v>
      </c>
      <c r="F392" s="2">
        <v>0.35069444444444442</v>
      </c>
      <c r="G392" t="s">
        <v>48</v>
      </c>
      <c r="H392" t="str">
        <f>IF(Delivery_data[[#This Row],[Order Status]] = "In Progress", "Backlog", "Complete")</f>
        <v>Backlog</v>
      </c>
      <c r="I392" t="s">
        <v>174</v>
      </c>
      <c r="J392" t="s">
        <v>1633</v>
      </c>
      <c r="K392" t="s">
        <v>44</v>
      </c>
      <c r="L392">
        <v>185</v>
      </c>
      <c r="M392">
        <v>27</v>
      </c>
      <c r="N392" t="s">
        <v>32</v>
      </c>
      <c r="O392" t="s">
        <v>54</v>
      </c>
      <c r="P392" t="s">
        <v>45</v>
      </c>
      <c r="Q392" t="s">
        <v>46</v>
      </c>
      <c r="R392" s="2">
        <v>0.43472222222222223</v>
      </c>
    </row>
    <row r="393" spans="1:18" x14ac:dyDescent="0.25">
      <c r="A393" t="s">
        <v>2311</v>
      </c>
      <c r="B393" t="s">
        <v>809</v>
      </c>
      <c r="C393" s="1">
        <v>45173</v>
      </c>
      <c r="D393" s="1" t="str">
        <f>TEXT(Delivery_data[[#This Row],[Order date]], "MMMM")</f>
        <v>September</v>
      </c>
      <c r="E393" s="1" t="str">
        <f>TEXT(Delivery_data[[#This Row],[Order date]], "DDDD")</f>
        <v>Monday</v>
      </c>
      <c r="F393" s="2">
        <v>0.37361111111111112</v>
      </c>
      <c r="G393" t="s">
        <v>22</v>
      </c>
      <c r="H393" t="str">
        <f>IF(Delivery_data[[#This Row],[Order Status]] = "In Progress", "Backlog", "Complete")</f>
        <v>Complete</v>
      </c>
      <c r="I393" t="s">
        <v>174</v>
      </c>
      <c r="J393" t="s">
        <v>1637</v>
      </c>
      <c r="K393" t="s">
        <v>44</v>
      </c>
      <c r="L393">
        <v>158</v>
      </c>
      <c r="M393">
        <v>3</v>
      </c>
      <c r="N393" t="s">
        <v>38</v>
      </c>
      <c r="O393" t="s">
        <v>54</v>
      </c>
      <c r="P393" t="s">
        <v>45</v>
      </c>
      <c r="Q393" t="s">
        <v>51</v>
      </c>
      <c r="R393" s="2">
        <v>0.60624999999999996</v>
      </c>
    </row>
    <row r="394" spans="1:18" x14ac:dyDescent="0.25">
      <c r="A394" t="s">
        <v>2351</v>
      </c>
      <c r="B394" t="s">
        <v>849</v>
      </c>
      <c r="C394" s="1">
        <v>45176</v>
      </c>
      <c r="D394" s="1" t="str">
        <f>TEXT(Delivery_data[[#This Row],[Order date]], "MMMM")</f>
        <v>September</v>
      </c>
      <c r="E394" s="1" t="str">
        <f>TEXT(Delivery_data[[#This Row],[Order date]], "DDDD")</f>
        <v>Thursday</v>
      </c>
      <c r="F394" s="2">
        <v>0.36180555555555555</v>
      </c>
      <c r="G394" t="s">
        <v>22</v>
      </c>
      <c r="H394" t="str">
        <f>IF(Delivery_data[[#This Row],[Order Status]] = "In Progress", "Backlog", "Complete")</f>
        <v>Complete</v>
      </c>
      <c r="I394" t="s">
        <v>174</v>
      </c>
      <c r="J394" t="s">
        <v>1633</v>
      </c>
      <c r="K394" t="s">
        <v>37</v>
      </c>
      <c r="L394">
        <v>209</v>
      </c>
      <c r="M394">
        <v>21</v>
      </c>
      <c r="N394" t="s">
        <v>32</v>
      </c>
      <c r="O394" t="s">
        <v>54</v>
      </c>
      <c r="P394" t="s">
        <v>34</v>
      </c>
      <c r="Q394" t="s">
        <v>51</v>
      </c>
      <c r="R394" s="2">
        <v>0.60624999999999996</v>
      </c>
    </row>
    <row r="395" spans="1:18" x14ac:dyDescent="0.25">
      <c r="A395" t="s">
        <v>2393</v>
      </c>
      <c r="B395" t="s">
        <v>889</v>
      </c>
      <c r="C395" s="1">
        <v>45170</v>
      </c>
      <c r="D395" s="1" t="str">
        <f>TEXT(Delivery_data[[#This Row],[Order date]], "MMMM")</f>
        <v>September</v>
      </c>
      <c r="E395" s="1" t="str">
        <f>TEXT(Delivery_data[[#This Row],[Order date]], "DDDD")</f>
        <v>Friday</v>
      </c>
      <c r="F395" s="2">
        <v>0.63194444444444442</v>
      </c>
      <c r="G395" t="s">
        <v>22</v>
      </c>
      <c r="H395" t="str">
        <f>IF(Delivery_data[[#This Row],[Order Status]] = "In Progress", "Backlog", "Complete")</f>
        <v>Complete</v>
      </c>
      <c r="I395" t="s">
        <v>174</v>
      </c>
      <c r="J395" t="s">
        <v>1631</v>
      </c>
      <c r="K395" t="s">
        <v>61</v>
      </c>
      <c r="L395">
        <v>207</v>
      </c>
      <c r="M395">
        <v>6</v>
      </c>
      <c r="N395" t="s">
        <v>25</v>
      </c>
      <c r="O395" t="s">
        <v>50</v>
      </c>
      <c r="P395" t="s">
        <v>45</v>
      </c>
      <c r="Q395" t="s">
        <v>28</v>
      </c>
      <c r="R395" s="2">
        <v>0.5</v>
      </c>
    </row>
    <row r="396" spans="1:18" x14ac:dyDescent="0.25">
      <c r="A396" t="s">
        <v>2418</v>
      </c>
      <c r="B396" t="s">
        <v>911</v>
      </c>
      <c r="C396" s="1">
        <v>45172</v>
      </c>
      <c r="D396" s="1" t="str">
        <f>TEXT(Delivery_data[[#This Row],[Order date]], "MMMM")</f>
        <v>September</v>
      </c>
      <c r="E396" s="1" t="str">
        <f>TEXT(Delivery_data[[#This Row],[Order date]], "DDDD")</f>
        <v>Sunday</v>
      </c>
      <c r="F396" s="2">
        <v>0.67638888888888893</v>
      </c>
      <c r="G396" t="s">
        <v>22</v>
      </c>
      <c r="H396" t="str">
        <f>IF(Delivery_data[[#This Row],[Order Status]] = "In Progress", "Backlog", "Complete")</f>
        <v>Complete</v>
      </c>
      <c r="I396" t="s">
        <v>174</v>
      </c>
      <c r="J396" t="s">
        <v>1637</v>
      </c>
      <c r="K396" t="s">
        <v>24</v>
      </c>
      <c r="L396">
        <v>237</v>
      </c>
      <c r="M396">
        <v>10</v>
      </c>
      <c r="N396" t="s">
        <v>38</v>
      </c>
      <c r="O396" t="s">
        <v>33</v>
      </c>
      <c r="P396" t="s">
        <v>34</v>
      </c>
      <c r="Q396" t="s">
        <v>51</v>
      </c>
      <c r="R396" s="2">
        <v>0.35625000000000001</v>
      </c>
    </row>
    <row r="397" spans="1:18" x14ac:dyDescent="0.25">
      <c r="A397" t="s">
        <v>2603</v>
      </c>
      <c r="B397" t="s">
        <v>1087</v>
      </c>
      <c r="C397" s="1">
        <v>45174</v>
      </c>
      <c r="D397" s="1" t="str">
        <f>TEXT(Delivery_data[[#This Row],[Order date]], "MMMM")</f>
        <v>September</v>
      </c>
      <c r="E397" s="1" t="str">
        <f>TEXT(Delivery_data[[#This Row],[Order date]], "DDDD")</f>
        <v>Tuesday</v>
      </c>
      <c r="F397" s="2">
        <v>0.41736111111111113</v>
      </c>
      <c r="G397" t="s">
        <v>48</v>
      </c>
      <c r="H397" t="str">
        <f>IF(Delivery_data[[#This Row],[Order Status]] = "In Progress", "Backlog", "Complete")</f>
        <v>Backlog</v>
      </c>
      <c r="I397" t="s">
        <v>174</v>
      </c>
      <c r="J397" t="s">
        <v>1633</v>
      </c>
      <c r="K397" t="s">
        <v>31</v>
      </c>
      <c r="L397">
        <v>202</v>
      </c>
      <c r="M397">
        <v>15</v>
      </c>
      <c r="N397" t="s">
        <v>25</v>
      </c>
      <c r="O397" t="s">
        <v>26</v>
      </c>
      <c r="P397" t="s">
        <v>34</v>
      </c>
      <c r="Q397" t="s">
        <v>46</v>
      </c>
      <c r="R397" s="2">
        <v>0.59305555555555556</v>
      </c>
    </row>
    <row r="398" spans="1:18" x14ac:dyDescent="0.25">
      <c r="A398" t="s">
        <v>2648</v>
      </c>
      <c r="B398" t="s">
        <v>1131</v>
      </c>
      <c r="C398" s="1">
        <v>45175</v>
      </c>
      <c r="D398" s="1" t="str">
        <f>TEXT(Delivery_data[[#This Row],[Order date]], "MMMM")</f>
        <v>September</v>
      </c>
      <c r="E398" s="1" t="str">
        <f>TEXT(Delivery_data[[#This Row],[Order date]], "DDDD")</f>
        <v>Wednesday</v>
      </c>
      <c r="F398" s="2">
        <v>0.37986111111111109</v>
      </c>
      <c r="G398" t="s">
        <v>22</v>
      </c>
      <c r="H398" t="str">
        <f>IF(Delivery_data[[#This Row],[Order Status]] = "In Progress", "Backlog", "Complete")</f>
        <v>Complete</v>
      </c>
      <c r="I398" t="s">
        <v>174</v>
      </c>
      <c r="J398" t="s">
        <v>1631</v>
      </c>
      <c r="K398" t="s">
        <v>31</v>
      </c>
      <c r="L398">
        <v>111</v>
      </c>
      <c r="M398">
        <v>8</v>
      </c>
      <c r="N398" t="s">
        <v>32</v>
      </c>
      <c r="O398" t="s">
        <v>41</v>
      </c>
      <c r="P398" t="s">
        <v>27</v>
      </c>
      <c r="Q398" t="s">
        <v>51</v>
      </c>
      <c r="R398" s="2">
        <v>0.47847222222222224</v>
      </c>
    </row>
    <row r="399" spans="1:18" x14ac:dyDescent="0.25">
      <c r="A399" t="s">
        <v>2653</v>
      </c>
      <c r="B399" t="s">
        <v>1136</v>
      </c>
      <c r="C399" s="1">
        <v>45175</v>
      </c>
      <c r="D399" s="1" t="str">
        <f>TEXT(Delivery_data[[#This Row],[Order date]], "MMMM")</f>
        <v>September</v>
      </c>
      <c r="E399" s="1" t="str">
        <f>TEXT(Delivery_data[[#This Row],[Order date]], "DDDD")</f>
        <v>Wednesday</v>
      </c>
      <c r="F399" s="2">
        <v>0.43263888888888891</v>
      </c>
      <c r="G399" t="s">
        <v>22</v>
      </c>
      <c r="H399" t="str">
        <f>IF(Delivery_data[[#This Row],[Order Status]] = "In Progress", "Backlog", "Complete")</f>
        <v>Complete</v>
      </c>
      <c r="I399" t="s">
        <v>174</v>
      </c>
      <c r="J399" t="s">
        <v>1631</v>
      </c>
      <c r="K399" t="s">
        <v>24</v>
      </c>
      <c r="L399">
        <v>78</v>
      </c>
      <c r="M399">
        <v>17</v>
      </c>
      <c r="N399" t="s">
        <v>25</v>
      </c>
      <c r="O399" t="s">
        <v>50</v>
      </c>
      <c r="P399" t="s">
        <v>45</v>
      </c>
      <c r="Q399" t="s">
        <v>51</v>
      </c>
      <c r="R399" s="2">
        <v>0.54722222222222228</v>
      </c>
    </row>
    <row r="400" spans="1:18" x14ac:dyDescent="0.25">
      <c r="A400" t="s">
        <v>2768</v>
      </c>
      <c r="B400" t="s">
        <v>1246</v>
      </c>
      <c r="C400" s="1">
        <v>45175</v>
      </c>
      <c r="D400" s="1" t="str">
        <f>TEXT(Delivery_data[[#This Row],[Order date]], "MMMM")</f>
        <v>September</v>
      </c>
      <c r="E400" s="1" t="str">
        <f>TEXT(Delivery_data[[#This Row],[Order date]], "DDDD")</f>
        <v>Wednesday</v>
      </c>
      <c r="F400" s="2">
        <v>0.36875000000000002</v>
      </c>
      <c r="G400" t="s">
        <v>48</v>
      </c>
      <c r="H400" t="str">
        <f>IF(Delivery_data[[#This Row],[Order Status]] = "In Progress", "Backlog", "Complete")</f>
        <v>Backlog</v>
      </c>
      <c r="I400" t="s">
        <v>174</v>
      </c>
      <c r="J400" t="s">
        <v>1637</v>
      </c>
      <c r="K400" t="s">
        <v>44</v>
      </c>
      <c r="L400">
        <v>179</v>
      </c>
      <c r="M400">
        <v>16</v>
      </c>
      <c r="N400" t="s">
        <v>32</v>
      </c>
      <c r="O400" t="s">
        <v>33</v>
      </c>
      <c r="P400" t="s">
        <v>45</v>
      </c>
      <c r="Q400" t="s">
        <v>46</v>
      </c>
      <c r="R400" s="2">
        <v>0.68472222222222223</v>
      </c>
    </row>
    <row r="401" spans="1:18" x14ac:dyDescent="0.25">
      <c r="A401" t="s">
        <v>2867</v>
      </c>
      <c r="B401" t="s">
        <v>1341</v>
      </c>
      <c r="C401" s="1">
        <v>45171</v>
      </c>
      <c r="D401" s="1" t="str">
        <f>TEXT(Delivery_data[[#This Row],[Order date]], "MMMM")</f>
        <v>September</v>
      </c>
      <c r="E401" s="1" t="str">
        <f>TEXT(Delivery_data[[#This Row],[Order date]], "DDDD")</f>
        <v>Saturday</v>
      </c>
      <c r="F401" s="2">
        <v>0.52500000000000002</v>
      </c>
      <c r="G401" t="s">
        <v>48</v>
      </c>
      <c r="H401" t="str">
        <f>IF(Delivery_data[[#This Row],[Order Status]] = "In Progress", "Backlog", "Complete")</f>
        <v>Backlog</v>
      </c>
      <c r="I401" t="s">
        <v>174</v>
      </c>
      <c r="J401" t="s">
        <v>1633</v>
      </c>
      <c r="K401" t="s">
        <v>44</v>
      </c>
      <c r="L401">
        <v>93</v>
      </c>
      <c r="M401">
        <v>28</v>
      </c>
      <c r="N401" t="s">
        <v>25</v>
      </c>
      <c r="O401" t="s">
        <v>50</v>
      </c>
      <c r="P401" t="s">
        <v>27</v>
      </c>
      <c r="Q401" t="s">
        <v>46</v>
      </c>
      <c r="R401" s="2">
        <v>0.41875000000000001</v>
      </c>
    </row>
    <row r="402" spans="1:18" x14ac:dyDescent="0.25">
      <c r="A402" t="s">
        <v>2963</v>
      </c>
      <c r="B402" t="s">
        <v>1436</v>
      </c>
      <c r="C402" s="1">
        <v>45175</v>
      </c>
      <c r="D402" s="1" t="str">
        <f>TEXT(Delivery_data[[#This Row],[Order date]], "MMMM")</f>
        <v>September</v>
      </c>
      <c r="E402" s="1" t="str">
        <f>TEXT(Delivery_data[[#This Row],[Order date]], "DDDD")</f>
        <v>Wednesday</v>
      </c>
      <c r="F402" s="2">
        <v>0.40069444444444446</v>
      </c>
      <c r="G402" t="s">
        <v>22</v>
      </c>
      <c r="H402" t="str">
        <f>IF(Delivery_data[[#This Row],[Order Status]] = "In Progress", "Backlog", "Complete")</f>
        <v>Complete</v>
      </c>
      <c r="I402" t="s">
        <v>174</v>
      </c>
      <c r="J402" t="s">
        <v>1637</v>
      </c>
      <c r="K402" t="s">
        <v>31</v>
      </c>
      <c r="L402">
        <v>112</v>
      </c>
      <c r="M402">
        <v>17</v>
      </c>
      <c r="N402" t="s">
        <v>25</v>
      </c>
      <c r="O402" t="s">
        <v>33</v>
      </c>
      <c r="P402" t="s">
        <v>45</v>
      </c>
      <c r="Q402" t="s">
        <v>51</v>
      </c>
      <c r="R402" s="2">
        <v>0.54097222222222219</v>
      </c>
    </row>
    <row r="403" spans="1:18" x14ac:dyDescent="0.25">
      <c r="A403" t="s">
        <v>3018</v>
      </c>
      <c r="B403" t="s">
        <v>1489</v>
      </c>
      <c r="C403" s="1">
        <v>45170</v>
      </c>
      <c r="D403" s="1" t="str">
        <f>TEXT(Delivery_data[[#This Row],[Order date]], "MMMM")</f>
        <v>September</v>
      </c>
      <c r="E403" s="1" t="str">
        <f>TEXT(Delivery_data[[#This Row],[Order date]], "DDDD")</f>
        <v>Friday</v>
      </c>
      <c r="F403" s="2">
        <v>0.70416666666666672</v>
      </c>
      <c r="G403" t="s">
        <v>48</v>
      </c>
      <c r="H403" t="str">
        <f>IF(Delivery_data[[#This Row],[Order Status]] = "In Progress", "Backlog", "Complete")</f>
        <v>Backlog</v>
      </c>
      <c r="I403" t="s">
        <v>174</v>
      </c>
      <c r="J403" t="s">
        <v>1637</v>
      </c>
      <c r="K403" t="s">
        <v>31</v>
      </c>
      <c r="L403">
        <v>72</v>
      </c>
      <c r="M403">
        <v>25</v>
      </c>
      <c r="N403" t="s">
        <v>25</v>
      </c>
      <c r="O403" t="s">
        <v>33</v>
      </c>
      <c r="P403" t="s">
        <v>45</v>
      </c>
      <c r="Q403" t="s">
        <v>28</v>
      </c>
      <c r="R403" s="2">
        <v>0.34791666666666665</v>
      </c>
    </row>
    <row r="404" spans="1:18" x14ac:dyDescent="0.25">
      <c r="A404" t="s">
        <v>3066</v>
      </c>
      <c r="B404" t="s">
        <v>1534</v>
      </c>
      <c r="C404" s="1">
        <v>45174</v>
      </c>
      <c r="D404" s="1" t="str">
        <f>TEXT(Delivery_data[[#This Row],[Order date]], "MMMM")</f>
        <v>September</v>
      </c>
      <c r="E404" s="1" t="str">
        <f>TEXT(Delivery_data[[#This Row],[Order date]], "DDDD")</f>
        <v>Tuesday</v>
      </c>
      <c r="F404" s="2">
        <v>0.44513888888888886</v>
      </c>
      <c r="G404" t="s">
        <v>22</v>
      </c>
      <c r="H404" t="str">
        <f>IF(Delivery_data[[#This Row],[Order Status]] = "In Progress", "Backlog", "Complete")</f>
        <v>Complete</v>
      </c>
      <c r="I404" t="s">
        <v>174</v>
      </c>
      <c r="J404" t="s">
        <v>1631</v>
      </c>
      <c r="K404" t="s">
        <v>24</v>
      </c>
      <c r="L404">
        <v>171</v>
      </c>
      <c r="M404">
        <v>12</v>
      </c>
      <c r="N404" t="s">
        <v>38</v>
      </c>
      <c r="O404" t="s">
        <v>50</v>
      </c>
      <c r="P404" t="s">
        <v>34</v>
      </c>
      <c r="Q404" t="s">
        <v>46</v>
      </c>
      <c r="R404" s="2">
        <v>0.64652777777777781</v>
      </c>
    </row>
    <row r="405" spans="1:18" x14ac:dyDescent="0.25">
      <c r="A405" t="s">
        <v>1704</v>
      </c>
      <c r="B405" t="s">
        <v>166</v>
      </c>
      <c r="C405" s="1">
        <v>45172</v>
      </c>
      <c r="D405" s="1" t="str">
        <f>TEXT(Delivery_data[[#This Row],[Order date]], "MMMM")</f>
        <v>September</v>
      </c>
      <c r="E405" s="1" t="str">
        <f>TEXT(Delivery_data[[#This Row],[Order date]], "DDDD")</f>
        <v>Sunday</v>
      </c>
      <c r="F405" s="2">
        <v>0.50763888888888886</v>
      </c>
      <c r="G405" t="s">
        <v>22</v>
      </c>
      <c r="H405" t="str">
        <f>IF(Delivery_data[[#This Row],[Order Status]] = "In Progress", "Backlog", "Complete")</f>
        <v>Complete</v>
      </c>
      <c r="I405" t="s">
        <v>167</v>
      </c>
      <c r="J405" t="s">
        <v>1633</v>
      </c>
      <c r="K405" t="s">
        <v>31</v>
      </c>
      <c r="L405">
        <v>67</v>
      </c>
      <c r="M405">
        <v>23</v>
      </c>
      <c r="N405" t="s">
        <v>32</v>
      </c>
      <c r="O405" t="s">
        <v>26</v>
      </c>
      <c r="P405" t="s">
        <v>27</v>
      </c>
      <c r="Q405" t="s">
        <v>46</v>
      </c>
      <c r="R405" s="2">
        <v>0.58680555555555558</v>
      </c>
    </row>
    <row r="406" spans="1:18" x14ac:dyDescent="0.25">
      <c r="A406" t="s">
        <v>1787</v>
      </c>
      <c r="B406" t="s">
        <v>278</v>
      </c>
      <c r="C406" s="1">
        <v>45175</v>
      </c>
      <c r="D406" s="1" t="str">
        <f>TEXT(Delivery_data[[#This Row],[Order date]], "MMMM")</f>
        <v>September</v>
      </c>
      <c r="E406" s="1" t="str">
        <f>TEXT(Delivery_data[[#This Row],[Order date]], "DDDD")</f>
        <v>Wednesday</v>
      </c>
      <c r="F406" s="2">
        <v>0.5708333333333333</v>
      </c>
      <c r="G406" t="s">
        <v>48</v>
      </c>
      <c r="H406" t="str">
        <f>IF(Delivery_data[[#This Row],[Order Status]] = "In Progress", "Backlog", "Complete")</f>
        <v>Backlog</v>
      </c>
      <c r="I406" t="s">
        <v>167</v>
      </c>
      <c r="J406" t="s">
        <v>1637</v>
      </c>
      <c r="K406" t="s">
        <v>44</v>
      </c>
      <c r="L406">
        <v>165</v>
      </c>
      <c r="M406">
        <v>15</v>
      </c>
      <c r="N406" t="s">
        <v>38</v>
      </c>
      <c r="O406" t="s">
        <v>41</v>
      </c>
      <c r="P406" t="s">
        <v>27</v>
      </c>
      <c r="Q406" t="s">
        <v>51</v>
      </c>
      <c r="R406" s="2">
        <v>0.47013888888888888</v>
      </c>
    </row>
    <row r="407" spans="1:18" x14ac:dyDescent="0.25">
      <c r="A407" t="s">
        <v>1797</v>
      </c>
      <c r="B407" t="s">
        <v>291</v>
      </c>
      <c r="C407" s="1">
        <v>45175</v>
      </c>
      <c r="D407" s="1" t="str">
        <f>TEXT(Delivery_data[[#This Row],[Order date]], "MMMM")</f>
        <v>September</v>
      </c>
      <c r="E407" s="1" t="str">
        <f>TEXT(Delivery_data[[#This Row],[Order date]], "DDDD")</f>
        <v>Wednesday</v>
      </c>
      <c r="F407" s="2">
        <v>0.45069444444444445</v>
      </c>
      <c r="G407" t="s">
        <v>48</v>
      </c>
      <c r="H407" t="str">
        <f>IF(Delivery_data[[#This Row],[Order Status]] = "In Progress", "Backlog", "Complete")</f>
        <v>Backlog</v>
      </c>
      <c r="I407" t="s">
        <v>167</v>
      </c>
      <c r="J407" t="s">
        <v>1631</v>
      </c>
      <c r="K407" t="s">
        <v>37</v>
      </c>
      <c r="L407">
        <v>79</v>
      </c>
      <c r="M407">
        <v>15</v>
      </c>
      <c r="N407" t="s">
        <v>25</v>
      </c>
      <c r="O407" t="s">
        <v>41</v>
      </c>
      <c r="P407" t="s">
        <v>34</v>
      </c>
      <c r="Q407" t="s">
        <v>51</v>
      </c>
      <c r="R407" s="2">
        <v>0.53055555555555556</v>
      </c>
    </row>
    <row r="408" spans="1:18" x14ac:dyDescent="0.25">
      <c r="A408" t="s">
        <v>1823</v>
      </c>
      <c r="B408" t="s">
        <v>322</v>
      </c>
      <c r="C408" s="1">
        <v>45170</v>
      </c>
      <c r="D408" s="1" t="str">
        <f>TEXT(Delivery_data[[#This Row],[Order date]], "MMMM")</f>
        <v>September</v>
      </c>
      <c r="E408" s="1" t="str">
        <f>TEXT(Delivery_data[[#This Row],[Order date]], "DDDD")</f>
        <v>Friday</v>
      </c>
      <c r="F408" s="2">
        <v>0.38750000000000001</v>
      </c>
      <c r="G408" t="s">
        <v>22</v>
      </c>
      <c r="H408" t="str">
        <f>IF(Delivery_data[[#This Row],[Order Status]] = "In Progress", "Backlog", "Complete")</f>
        <v>Complete</v>
      </c>
      <c r="I408" t="s">
        <v>167</v>
      </c>
      <c r="J408" t="s">
        <v>1633</v>
      </c>
      <c r="K408" t="s">
        <v>61</v>
      </c>
      <c r="L408">
        <v>147</v>
      </c>
      <c r="M408">
        <v>6</v>
      </c>
      <c r="N408" t="s">
        <v>25</v>
      </c>
      <c r="O408" t="s">
        <v>50</v>
      </c>
      <c r="P408" t="s">
        <v>27</v>
      </c>
      <c r="Q408" t="s">
        <v>46</v>
      </c>
      <c r="R408" s="2">
        <v>0.69861111111111107</v>
      </c>
    </row>
    <row r="409" spans="1:18" x14ac:dyDescent="0.25">
      <c r="A409" t="s">
        <v>2129</v>
      </c>
      <c r="B409" t="s">
        <v>633</v>
      </c>
      <c r="C409" s="1">
        <v>45172</v>
      </c>
      <c r="D409" s="1" t="str">
        <f>TEXT(Delivery_data[[#This Row],[Order date]], "MMMM")</f>
        <v>September</v>
      </c>
      <c r="E409" s="1" t="str">
        <f>TEXT(Delivery_data[[#This Row],[Order date]], "DDDD")</f>
        <v>Sunday</v>
      </c>
      <c r="F409" s="2">
        <v>0.65069444444444446</v>
      </c>
      <c r="G409" t="s">
        <v>22</v>
      </c>
      <c r="H409" t="str">
        <f>IF(Delivery_data[[#This Row],[Order Status]] = "In Progress", "Backlog", "Complete")</f>
        <v>Complete</v>
      </c>
      <c r="I409" t="s">
        <v>167</v>
      </c>
      <c r="J409" t="s">
        <v>1631</v>
      </c>
      <c r="K409" t="s">
        <v>37</v>
      </c>
      <c r="L409">
        <v>182</v>
      </c>
      <c r="M409">
        <v>14</v>
      </c>
      <c r="N409" t="s">
        <v>25</v>
      </c>
      <c r="O409" t="s">
        <v>41</v>
      </c>
      <c r="P409" t="s">
        <v>34</v>
      </c>
      <c r="Q409" t="s">
        <v>51</v>
      </c>
      <c r="R409" s="2">
        <v>0.53541666666666665</v>
      </c>
    </row>
    <row r="410" spans="1:18" x14ac:dyDescent="0.25">
      <c r="A410" t="s">
        <v>2163</v>
      </c>
      <c r="B410" t="s">
        <v>664</v>
      </c>
      <c r="C410" s="1">
        <v>45170</v>
      </c>
      <c r="D410" s="1" t="str">
        <f>TEXT(Delivery_data[[#This Row],[Order date]], "MMMM")</f>
        <v>September</v>
      </c>
      <c r="E410" s="1" t="str">
        <f>TEXT(Delivery_data[[#This Row],[Order date]], "DDDD")</f>
        <v>Friday</v>
      </c>
      <c r="F410" s="2">
        <v>0.37638888888888888</v>
      </c>
      <c r="G410" t="s">
        <v>48</v>
      </c>
      <c r="H410" t="str">
        <f>IF(Delivery_data[[#This Row],[Order Status]] = "In Progress", "Backlog", "Complete")</f>
        <v>Backlog</v>
      </c>
      <c r="I410" t="s">
        <v>167</v>
      </c>
      <c r="J410" t="s">
        <v>1631</v>
      </c>
      <c r="K410" t="s">
        <v>24</v>
      </c>
      <c r="L410">
        <v>193</v>
      </c>
      <c r="M410">
        <v>10</v>
      </c>
      <c r="N410" t="s">
        <v>25</v>
      </c>
      <c r="O410" t="s">
        <v>41</v>
      </c>
      <c r="P410" t="s">
        <v>27</v>
      </c>
      <c r="Q410" t="s">
        <v>46</v>
      </c>
      <c r="R410" s="2">
        <v>0.64861111111111114</v>
      </c>
    </row>
    <row r="411" spans="1:18" x14ac:dyDescent="0.25">
      <c r="A411" t="s">
        <v>2383</v>
      </c>
      <c r="B411" t="s">
        <v>879</v>
      </c>
      <c r="C411" s="1">
        <v>45171</v>
      </c>
      <c r="D411" s="1" t="str">
        <f>TEXT(Delivery_data[[#This Row],[Order date]], "MMMM")</f>
        <v>September</v>
      </c>
      <c r="E411" s="1" t="str">
        <f>TEXT(Delivery_data[[#This Row],[Order date]], "DDDD")</f>
        <v>Saturday</v>
      </c>
      <c r="F411" s="2">
        <v>0.63194444444444442</v>
      </c>
      <c r="G411" t="s">
        <v>48</v>
      </c>
      <c r="H411" t="str">
        <f>IF(Delivery_data[[#This Row],[Order Status]] = "In Progress", "Backlog", "Complete")</f>
        <v>Backlog</v>
      </c>
      <c r="I411" t="s">
        <v>167</v>
      </c>
      <c r="J411" t="s">
        <v>1631</v>
      </c>
      <c r="K411" t="s">
        <v>37</v>
      </c>
      <c r="L411">
        <v>169</v>
      </c>
      <c r="M411">
        <v>8</v>
      </c>
      <c r="N411" t="s">
        <v>32</v>
      </c>
      <c r="O411" t="s">
        <v>41</v>
      </c>
      <c r="P411" t="s">
        <v>45</v>
      </c>
      <c r="Q411" t="s">
        <v>28</v>
      </c>
      <c r="R411" s="2">
        <v>0.59444444444444444</v>
      </c>
    </row>
    <row r="412" spans="1:18" x14ac:dyDescent="0.25">
      <c r="A412" t="s">
        <v>2630</v>
      </c>
      <c r="B412" t="s">
        <v>1113</v>
      </c>
      <c r="C412" s="1">
        <v>45170</v>
      </c>
      <c r="D412" s="1" t="str">
        <f>TEXT(Delivery_data[[#This Row],[Order date]], "MMMM")</f>
        <v>September</v>
      </c>
      <c r="E412" s="1" t="str">
        <f>TEXT(Delivery_data[[#This Row],[Order date]], "DDDD")</f>
        <v>Friday</v>
      </c>
      <c r="F412" s="2">
        <v>0.52083333333333337</v>
      </c>
      <c r="G412" t="s">
        <v>48</v>
      </c>
      <c r="H412" t="str">
        <f>IF(Delivery_data[[#This Row],[Order Status]] = "In Progress", "Backlog", "Complete")</f>
        <v>Backlog</v>
      </c>
      <c r="I412" t="s">
        <v>167</v>
      </c>
      <c r="J412" t="s">
        <v>1633</v>
      </c>
      <c r="K412" t="s">
        <v>37</v>
      </c>
      <c r="L412">
        <v>159</v>
      </c>
      <c r="M412">
        <v>12</v>
      </c>
      <c r="N412" t="s">
        <v>32</v>
      </c>
      <c r="O412" t="s">
        <v>50</v>
      </c>
      <c r="P412" t="s">
        <v>27</v>
      </c>
      <c r="Q412" t="s">
        <v>46</v>
      </c>
      <c r="R412" s="2">
        <v>0.49722222222222223</v>
      </c>
    </row>
    <row r="413" spans="1:18" x14ac:dyDescent="0.25">
      <c r="A413" t="s">
        <v>2786</v>
      </c>
      <c r="B413" t="s">
        <v>1263</v>
      </c>
      <c r="C413" s="1">
        <v>45174</v>
      </c>
      <c r="D413" s="1" t="str">
        <f>TEXT(Delivery_data[[#This Row],[Order date]], "MMMM")</f>
        <v>September</v>
      </c>
      <c r="E413" s="1" t="str">
        <f>TEXT(Delivery_data[[#This Row],[Order date]], "DDDD")</f>
        <v>Tuesday</v>
      </c>
      <c r="F413" s="2">
        <v>0.64166666666666672</v>
      </c>
      <c r="G413" t="s">
        <v>22</v>
      </c>
      <c r="H413" t="str">
        <f>IF(Delivery_data[[#This Row],[Order Status]] = "In Progress", "Backlog", "Complete")</f>
        <v>Complete</v>
      </c>
      <c r="I413" t="s">
        <v>167</v>
      </c>
      <c r="J413" t="s">
        <v>1633</v>
      </c>
      <c r="K413" t="s">
        <v>37</v>
      </c>
      <c r="L413">
        <v>188</v>
      </c>
      <c r="M413">
        <v>26</v>
      </c>
      <c r="N413" t="s">
        <v>32</v>
      </c>
      <c r="O413" t="s">
        <v>33</v>
      </c>
      <c r="P413" t="s">
        <v>45</v>
      </c>
      <c r="Q413" t="s">
        <v>28</v>
      </c>
      <c r="R413" s="2">
        <v>0.44027777777777777</v>
      </c>
    </row>
    <row r="414" spans="1:18" x14ac:dyDescent="0.25">
      <c r="A414" t="s">
        <v>2818</v>
      </c>
      <c r="B414" t="s">
        <v>1295</v>
      </c>
      <c r="C414" s="1">
        <v>45174</v>
      </c>
      <c r="D414" s="1" t="str">
        <f>TEXT(Delivery_data[[#This Row],[Order date]], "MMMM")</f>
        <v>September</v>
      </c>
      <c r="E414" s="1" t="str">
        <f>TEXT(Delivery_data[[#This Row],[Order date]], "DDDD")</f>
        <v>Tuesday</v>
      </c>
      <c r="F414" s="2">
        <v>0.42291666666666666</v>
      </c>
      <c r="G414" t="s">
        <v>22</v>
      </c>
      <c r="H414" t="str">
        <f>IF(Delivery_data[[#This Row],[Order Status]] = "In Progress", "Backlog", "Complete")</f>
        <v>Complete</v>
      </c>
      <c r="I414" t="s">
        <v>167</v>
      </c>
      <c r="J414" t="s">
        <v>1637</v>
      </c>
      <c r="K414" t="s">
        <v>61</v>
      </c>
      <c r="L414">
        <v>105</v>
      </c>
      <c r="M414">
        <v>14</v>
      </c>
      <c r="N414" t="s">
        <v>32</v>
      </c>
      <c r="O414" t="s">
        <v>50</v>
      </c>
      <c r="P414" t="s">
        <v>27</v>
      </c>
      <c r="Q414" t="s">
        <v>46</v>
      </c>
      <c r="R414" s="2">
        <v>0.50972222222222219</v>
      </c>
    </row>
    <row r="415" spans="1:18" x14ac:dyDescent="0.25">
      <c r="A415" t="s">
        <v>2933</v>
      </c>
      <c r="B415" t="s">
        <v>1406</v>
      </c>
      <c r="C415" s="1">
        <v>45175</v>
      </c>
      <c r="D415" s="1" t="str">
        <f>TEXT(Delivery_data[[#This Row],[Order date]], "MMMM")</f>
        <v>September</v>
      </c>
      <c r="E415" s="1" t="str">
        <f>TEXT(Delivery_data[[#This Row],[Order date]], "DDDD")</f>
        <v>Wednesday</v>
      </c>
      <c r="F415" s="2">
        <v>0.52430555555555558</v>
      </c>
      <c r="G415" t="s">
        <v>22</v>
      </c>
      <c r="H415" t="str">
        <f>IF(Delivery_data[[#This Row],[Order Status]] = "In Progress", "Backlog", "Complete")</f>
        <v>Complete</v>
      </c>
      <c r="I415" t="s">
        <v>167</v>
      </c>
      <c r="J415" t="s">
        <v>1631</v>
      </c>
      <c r="K415" t="s">
        <v>31</v>
      </c>
      <c r="L415">
        <v>144</v>
      </c>
      <c r="M415">
        <v>23</v>
      </c>
      <c r="N415" t="s">
        <v>25</v>
      </c>
      <c r="O415" t="s">
        <v>54</v>
      </c>
      <c r="P415" t="s">
        <v>27</v>
      </c>
      <c r="Q415" t="s">
        <v>28</v>
      </c>
      <c r="R415" s="2">
        <v>0.47013888888888888</v>
      </c>
    </row>
    <row r="416" spans="1:18" x14ac:dyDescent="0.25">
      <c r="A416" t="s">
        <v>2952</v>
      </c>
      <c r="B416" t="s">
        <v>1425</v>
      </c>
      <c r="C416" s="1">
        <v>45171</v>
      </c>
      <c r="D416" s="1" t="str">
        <f>TEXT(Delivery_data[[#This Row],[Order date]], "MMMM")</f>
        <v>September</v>
      </c>
      <c r="E416" s="1" t="str">
        <f>TEXT(Delivery_data[[#This Row],[Order date]], "DDDD")</f>
        <v>Saturday</v>
      </c>
      <c r="F416" s="2">
        <v>0.56458333333333333</v>
      </c>
      <c r="G416" t="s">
        <v>48</v>
      </c>
      <c r="H416" t="str">
        <f>IF(Delivery_data[[#This Row],[Order Status]] = "In Progress", "Backlog", "Complete")</f>
        <v>Backlog</v>
      </c>
      <c r="I416" t="s">
        <v>167</v>
      </c>
      <c r="J416" t="s">
        <v>1631</v>
      </c>
      <c r="K416" t="s">
        <v>61</v>
      </c>
      <c r="L416">
        <v>73</v>
      </c>
      <c r="M416">
        <v>21</v>
      </c>
      <c r="N416" t="s">
        <v>25</v>
      </c>
      <c r="O416" t="s">
        <v>26</v>
      </c>
      <c r="P416" t="s">
        <v>34</v>
      </c>
      <c r="Q416" t="s">
        <v>51</v>
      </c>
      <c r="R416" s="2">
        <v>0.3923611111111111</v>
      </c>
    </row>
    <row r="417" spans="1:18" x14ac:dyDescent="0.25">
      <c r="A417" t="s">
        <v>2956</v>
      </c>
      <c r="B417" t="s">
        <v>1429</v>
      </c>
      <c r="C417" s="1">
        <v>45171</v>
      </c>
      <c r="D417" s="1" t="str">
        <f>TEXT(Delivery_data[[#This Row],[Order date]], "MMMM")</f>
        <v>September</v>
      </c>
      <c r="E417" s="1" t="str">
        <f>TEXT(Delivery_data[[#This Row],[Order date]], "DDDD")</f>
        <v>Saturday</v>
      </c>
      <c r="F417" s="2">
        <v>0.63611111111111107</v>
      </c>
      <c r="G417" t="s">
        <v>48</v>
      </c>
      <c r="H417" t="str">
        <f>IF(Delivery_data[[#This Row],[Order Status]] = "In Progress", "Backlog", "Complete")</f>
        <v>Backlog</v>
      </c>
      <c r="I417" t="s">
        <v>167</v>
      </c>
      <c r="J417" t="s">
        <v>1637</v>
      </c>
      <c r="K417" t="s">
        <v>44</v>
      </c>
      <c r="L417">
        <v>160</v>
      </c>
      <c r="M417">
        <v>7</v>
      </c>
      <c r="N417" t="s">
        <v>32</v>
      </c>
      <c r="O417" t="s">
        <v>50</v>
      </c>
      <c r="P417" t="s">
        <v>27</v>
      </c>
      <c r="Q417" t="s">
        <v>28</v>
      </c>
      <c r="R417" s="2">
        <v>0.67569444444444449</v>
      </c>
    </row>
    <row r="418" spans="1:18" x14ac:dyDescent="0.25">
      <c r="A418" t="s">
        <v>2995</v>
      </c>
      <c r="B418" t="s">
        <v>1467</v>
      </c>
      <c r="C418" s="1">
        <v>45173</v>
      </c>
      <c r="D418" s="1" t="str">
        <f>TEXT(Delivery_data[[#This Row],[Order date]], "MMMM")</f>
        <v>September</v>
      </c>
      <c r="E418" s="1" t="str">
        <f>TEXT(Delivery_data[[#This Row],[Order date]], "DDDD")</f>
        <v>Monday</v>
      </c>
      <c r="F418" s="2">
        <v>0.41249999999999998</v>
      </c>
      <c r="G418" t="s">
        <v>48</v>
      </c>
      <c r="H418" t="str">
        <f>IF(Delivery_data[[#This Row],[Order Status]] = "In Progress", "Backlog", "Complete")</f>
        <v>Backlog</v>
      </c>
      <c r="I418" t="s">
        <v>167</v>
      </c>
      <c r="J418" t="s">
        <v>1633</v>
      </c>
      <c r="K418" t="s">
        <v>31</v>
      </c>
      <c r="L418">
        <v>123</v>
      </c>
      <c r="M418">
        <v>25</v>
      </c>
      <c r="N418" t="s">
        <v>25</v>
      </c>
      <c r="O418" t="s">
        <v>54</v>
      </c>
      <c r="P418" t="s">
        <v>27</v>
      </c>
      <c r="Q418" t="s">
        <v>46</v>
      </c>
      <c r="R418" s="2">
        <v>0.54583333333333328</v>
      </c>
    </row>
    <row r="419" spans="1:18" x14ac:dyDescent="0.25">
      <c r="A419" t="s">
        <v>3015</v>
      </c>
      <c r="B419" t="s">
        <v>1486</v>
      </c>
      <c r="C419" s="1">
        <v>45171</v>
      </c>
      <c r="D419" s="1" t="str">
        <f>TEXT(Delivery_data[[#This Row],[Order date]], "MMMM")</f>
        <v>September</v>
      </c>
      <c r="E419" s="1" t="str">
        <f>TEXT(Delivery_data[[#This Row],[Order date]], "DDDD")</f>
        <v>Saturday</v>
      </c>
      <c r="F419" s="2">
        <v>0.56874999999999998</v>
      </c>
      <c r="G419" t="s">
        <v>22</v>
      </c>
      <c r="H419" t="str">
        <f>IF(Delivery_data[[#This Row],[Order Status]] = "In Progress", "Backlog", "Complete")</f>
        <v>Complete</v>
      </c>
      <c r="I419" t="s">
        <v>167</v>
      </c>
      <c r="J419" t="s">
        <v>1633</v>
      </c>
      <c r="K419" t="s">
        <v>61</v>
      </c>
      <c r="L419">
        <v>228</v>
      </c>
      <c r="M419">
        <v>20</v>
      </c>
      <c r="N419" t="s">
        <v>32</v>
      </c>
      <c r="O419" t="s">
        <v>50</v>
      </c>
      <c r="P419" t="s">
        <v>34</v>
      </c>
      <c r="Q419" t="s">
        <v>51</v>
      </c>
      <c r="R419" s="2">
        <v>0.39444444444444443</v>
      </c>
    </row>
    <row r="420" spans="1:18" x14ac:dyDescent="0.25">
      <c r="A420" t="s">
        <v>3054</v>
      </c>
      <c r="B420" t="s">
        <v>1522</v>
      </c>
      <c r="C420" s="1">
        <v>45176</v>
      </c>
      <c r="D420" s="1" t="str">
        <f>TEXT(Delivery_data[[#This Row],[Order date]], "MMMM")</f>
        <v>September</v>
      </c>
      <c r="E420" s="1" t="str">
        <f>TEXT(Delivery_data[[#This Row],[Order date]], "DDDD")</f>
        <v>Thursday</v>
      </c>
      <c r="F420" s="2">
        <v>0.49444444444444446</v>
      </c>
      <c r="G420" t="s">
        <v>22</v>
      </c>
      <c r="H420" t="str">
        <f>IF(Delivery_data[[#This Row],[Order Status]] = "In Progress", "Backlog", "Complete")</f>
        <v>Complete</v>
      </c>
      <c r="I420" t="s">
        <v>167</v>
      </c>
      <c r="J420" t="s">
        <v>1637</v>
      </c>
      <c r="K420" t="s">
        <v>61</v>
      </c>
      <c r="L420">
        <v>97</v>
      </c>
      <c r="M420">
        <v>0</v>
      </c>
      <c r="N420" t="s">
        <v>25</v>
      </c>
      <c r="O420" t="s">
        <v>26</v>
      </c>
      <c r="P420" t="s">
        <v>45</v>
      </c>
      <c r="Q420" t="s">
        <v>51</v>
      </c>
      <c r="R420" s="2">
        <v>0.46458333333333335</v>
      </c>
    </row>
    <row r="421" spans="1:18" x14ac:dyDescent="0.25">
      <c r="A421" t="s">
        <v>3064</v>
      </c>
      <c r="B421" t="s">
        <v>1532</v>
      </c>
      <c r="C421" s="1">
        <v>45176</v>
      </c>
      <c r="D421" s="1" t="str">
        <f>TEXT(Delivery_data[[#This Row],[Order date]], "MMMM")</f>
        <v>September</v>
      </c>
      <c r="E421" s="1" t="str">
        <f>TEXT(Delivery_data[[#This Row],[Order date]], "DDDD")</f>
        <v>Thursday</v>
      </c>
      <c r="F421" s="2">
        <v>0.39861111111111114</v>
      </c>
      <c r="G421" t="s">
        <v>22</v>
      </c>
      <c r="H421" t="str">
        <f>IF(Delivery_data[[#This Row],[Order Status]] = "In Progress", "Backlog", "Complete")</f>
        <v>Complete</v>
      </c>
      <c r="I421" t="s">
        <v>167</v>
      </c>
      <c r="J421" t="s">
        <v>1633</v>
      </c>
      <c r="K421" t="s">
        <v>44</v>
      </c>
      <c r="L421">
        <v>151</v>
      </c>
      <c r="M421">
        <v>3</v>
      </c>
      <c r="N421" t="s">
        <v>25</v>
      </c>
      <c r="O421" t="s">
        <v>41</v>
      </c>
      <c r="P421" t="s">
        <v>34</v>
      </c>
      <c r="Q421" t="s">
        <v>46</v>
      </c>
      <c r="R421" s="2">
        <v>0.59930555555555554</v>
      </c>
    </row>
    <row r="422" spans="1:18" x14ac:dyDescent="0.25">
      <c r="A422" t="s">
        <v>1741</v>
      </c>
      <c r="B422" t="s">
        <v>219</v>
      </c>
      <c r="C422" s="1">
        <v>45175</v>
      </c>
      <c r="D422" s="1" t="str">
        <f>TEXT(Delivery_data[[#This Row],[Order date]], "MMMM")</f>
        <v>September</v>
      </c>
      <c r="E422" s="1" t="str">
        <f>TEXT(Delivery_data[[#This Row],[Order date]], "DDDD")</f>
        <v>Wednesday</v>
      </c>
      <c r="F422" s="2">
        <v>0.55277777777777781</v>
      </c>
      <c r="G422" t="s">
        <v>22</v>
      </c>
      <c r="H422" t="str">
        <f>IF(Delivery_data[[#This Row],[Order Status]] = "In Progress", "Backlog", "Complete")</f>
        <v>Complete</v>
      </c>
      <c r="I422" t="s">
        <v>220</v>
      </c>
      <c r="J422" t="s">
        <v>1637</v>
      </c>
      <c r="K422" t="s">
        <v>61</v>
      </c>
      <c r="L422">
        <v>219</v>
      </c>
      <c r="M422">
        <v>19</v>
      </c>
      <c r="N422" t="s">
        <v>25</v>
      </c>
      <c r="O422" t="s">
        <v>33</v>
      </c>
      <c r="P422" t="s">
        <v>34</v>
      </c>
      <c r="Q422" t="s">
        <v>46</v>
      </c>
      <c r="R422" s="2">
        <v>0.54513888888888884</v>
      </c>
    </row>
    <row r="423" spans="1:18" x14ac:dyDescent="0.25">
      <c r="A423" t="s">
        <v>1854</v>
      </c>
      <c r="B423" t="s">
        <v>353</v>
      </c>
      <c r="C423" s="1">
        <v>45174</v>
      </c>
      <c r="D423" s="1" t="str">
        <f>TEXT(Delivery_data[[#This Row],[Order date]], "MMMM")</f>
        <v>September</v>
      </c>
      <c r="E423" s="1" t="str">
        <f>TEXT(Delivery_data[[#This Row],[Order date]], "DDDD")</f>
        <v>Tuesday</v>
      </c>
      <c r="F423" s="2">
        <v>0.48888888888888887</v>
      </c>
      <c r="G423" t="s">
        <v>22</v>
      </c>
      <c r="H423" t="str">
        <f>IF(Delivery_data[[#This Row],[Order Status]] = "In Progress", "Backlog", "Complete")</f>
        <v>Complete</v>
      </c>
      <c r="I423" t="s">
        <v>220</v>
      </c>
      <c r="J423" t="s">
        <v>1637</v>
      </c>
      <c r="K423" t="s">
        <v>37</v>
      </c>
      <c r="L423">
        <v>194</v>
      </c>
      <c r="M423">
        <v>24</v>
      </c>
      <c r="N423" t="s">
        <v>32</v>
      </c>
      <c r="O423" t="s">
        <v>41</v>
      </c>
      <c r="P423" t="s">
        <v>45</v>
      </c>
      <c r="Q423" t="s">
        <v>51</v>
      </c>
      <c r="R423" s="2">
        <v>0.48541666666666666</v>
      </c>
    </row>
    <row r="424" spans="1:18" x14ac:dyDescent="0.25">
      <c r="A424" t="s">
        <v>1935</v>
      </c>
      <c r="B424" t="s">
        <v>438</v>
      </c>
      <c r="C424" s="1">
        <v>45170</v>
      </c>
      <c r="D424" s="1" t="str">
        <f>TEXT(Delivery_data[[#This Row],[Order date]], "MMMM")</f>
        <v>September</v>
      </c>
      <c r="E424" s="1" t="str">
        <f>TEXT(Delivery_data[[#This Row],[Order date]], "DDDD")</f>
        <v>Friday</v>
      </c>
      <c r="F424" s="2">
        <v>0.39444444444444443</v>
      </c>
      <c r="G424" t="s">
        <v>48</v>
      </c>
      <c r="H424" t="str">
        <f>IF(Delivery_data[[#This Row],[Order Status]] = "In Progress", "Backlog", "Complete")</f>
        <v>Backlog</v>
      </c>
      <c r="I424" t="s">
        <v>220</v>
      </c>
      <c r="J424" t="s">
        <v>1637</v>
      </c>
      <c r="K424" t="s">
        <v>24</v>
      </c>
      <c r="L424">
        <v>115</v>
      </c>
      <c r="M424">
        <v>17</v>
      </c>
      <c r="N424" t="s">
        <v>38</v>
      </c>
      <c r="O424" t="s">
        <v>26</v>
      </c>
      <c r="P424" t="s">
        <v>45</v>
      </c>
      <c r="Q424" t="s">
        <v>28</v>
      </c>
      <c r="R424" s="2">
        <v>0.64722222222222225</v>
      </c>
    </row>
    <row r="425" spans="1:18" x14ac:dyDescent="0.25">
      <c r="A425" t="s">
        <v>2216</v>
      </c>
      <c r="B425" t="s">
        <v>717</v>
      </c>
      <c r="C425" s="1">
        <v>45170</v>
      </c>
      <c r="D425" s="1" t="str">
        <f>TEXT(Delivery_data[[#This Row],[Order date]], "MMMM")</f>
        <v>September</v>
      </c>
      <c r="E425" s="1" t="str">
        <f>TEXT(Delivery_data[[#This Row],[Order date]], "DDDD")</f>
        <v>Friday</v>
      </c>
      <c r="F425" s="2">
        <v>0.66180555555555554</v>
      </c>
      <c r="G425" t="s">
        <v>48</v>
      </c>
      <c r="H425" t="str">
        <f>IF(Delivery_data[[#This Row],[Order Status]] = "In Progress", "Backlog", "Complete")</f>
        <v>Backlog</v>
      </c>
      <c r="I425" t="s">
        <v>220</v>
      </c>
      <c r="J425" t="s">
        <v>1637</v>
      </c>
      <c r="K425" t="s">
        <v>61</v>
      </c>
      <c r="L425">
        <v>239</v>
      </c>
      <c r="M425">
        <v>22</v>
      </c>
      <c r="N425" t="s">
        <v>32</v>
      </c>
      <c r="O425" t="s">
        <v>26</v>
      </c>
      <c r="P425" t="s">
        <v>45</v>
      </c>
      <c r="Q425" t="s">
        <v>51</v>
      </c>
      <c r="R425" s="2">
        <v>0.36736111111111114</v>
      </c>
    </row>
    <row r="426" spans="1:18" x14ac:dyDescent="0.25">
      <c r="A426" t="s">
        <v>2243</v>
      </c>
      <c r="B426" t="s">
        <v>743</v>
      </c>
      <c r="C426" s="1">
        <v>45170</v>
      </c>
      <c r="D426" s="1" t="str">
        <f>TEXT(Delivery_data[[#This Row],[Order date]], "MMMM")</f>
        <v>September</v>
      </c>
      <c r="E426" s="1" t="str">
        <f>TEXT(Delivery_data[[#This Row],[Order date]], "DDDD")</f>
        <v>Friday</v>
      </c>
      <c r="F426" s="2">
        <v>0.57152777777777775</v>
      </c>
      <c r="G426" t="s">
        <v>22</v>
      </c>
      <c r="H426" t="str">
        <f>IF(Delivery_data[[#This Row],[Order Status]] = "In Progress", "Backlog", "Complete")</f>
        <v>Complete</v>
      </c>
      <c r="I426" t="s">
        <v>220</v>
      </c>
      <c r="J426" t="s">
        <v>1633</v>
      </c>
      <c r="K426" t="s">
        <v>44</v>
      </c>
      <c r="L426">
        <v>180</v>
      </c>
      <c r="M426">
        <v>5</v>
      </c>
      <c r="N426" t="s">
        <v>32</v>
      </c>
      <c r="O426" t="s">
        <v>26</v>
      </c>
      <c r="P426" t="s">
        <v>45</v>
      </c>
      <c r="Q426" t="s">
        <v>51</v>
      </c>
      <c r="R426" s="2">
        <v>0.68472222222222223</v>
      </c>
    </row>
    <row r="427" spans="1:18" x14ac:dyDescent="0.25">
      <c r="A427" t="s">
        <v>2322</v>
      </c>
      <c r="B427" t="s">
        <v>820</v>
      </c>
      <c r="C427" s="1">
        <v>45173</v>
      </c>
      <c r="D427" s="1" t="str">
        <f>TEXT(Delivery_data[[#This Row],[Order date]], "MMMM")</f>
        <v>September</v>
      </c>
      <c r="E427" s="1" t="str">
        <f>TEXT(Delivery_data[[#This Row],[Order date]], "DDDD")</f>
        <v>Monday</v>
      </c>
      <c r="F427" s="2">
        <v>0.57499999999999996</v>
      </c>
      <c r="G427" t="s">
        <v>22</v>
      </c>
      <c r="H427" t="str">
        <f>IF(Delivery_data[[#This Row],[Order Status]] = "In Progress", "Backlog", "Complete")</f>
        <v>Complete</v>
      </c>
      <c r="I427" t="s">
        <v>220</v>
      </c>
      <c r="J427" t="s">
        <v>1631</v>
      </c>
      <c r="K427" t="s">
        <v>44</v>
      </c>
      <c r="L427">
        <v>90</v>
      </c>
      <c r="M427">
        <v>4</v>
      </c>
      <c r="N427" t="s">
        <v>38</v>
      </c>
      <c r="O427" t="s">
        <v>50</v>
      </c>
      <c r="P427" t="s">
        <v>27</v>
      </c>
      <c r="Q427" t="s">
        <v>51</v>
      </c>
      <c r="R427" s="2">
        <v>0.57499999999999996</v>
      </c>
    </row>
    <row r="428" spans="1:18" x14ac:dyDescent="0.25">
      <c r="A428" t="s">
        <v>2495</v>
      </c>
      <c r="B428" t="s">
        <v>147</v>
      </c>
      <c r="C428" s="1">
        <v>45171</v>
      </c>
      <c r="D428" s="1" t="str">
        <f>TEXT(Delivery_data[[#This Row],[Order date]], "MMMM")</f>
        <v>September</v>
      </c>
      <c r="E428" s="1" t="str">
        <f>TEXT(Delivery_data[[#This Row],[Order date]], "DDDD")</f>
        <v>Saturday</v>
      </c>
      <c r="F428" s="2">
        <v>0.61944444444444446</v>
      </c>
      <c r="G428" t="s">
        <v>22</v>
      </c>
      <c r="H428" t="str">
        <f>IF(Delivery_data[[#This Row],[Order Status]] = "In Progress", "Backlog", "Complete")</f>
        <v>Complete</v>
      </c>
      <c r="I428" t="s">
        <v>220</v>
      </c>
      <c r="J428" t="s">
        <v>1637</v>
      </c>
      <c r="K428" t="s">
        <v>24</v>
      </c>
      <c r="L428">
        <v>108</v>
      </c>
      <c r="M428">
        <v>12</v>
      </c>
      <c r="N428" t="s">
        <v>38</v>
      </c>
      <c r="O428" t="s">
        <v>54</v>
      </c>
      <c r="P428" t="s">
        <v>34</v>
      </c>
      <c r="Q428" t="s">
        <v>46</v>
      </c>
      <c r="R428" s="2">
        <v>0.67291666666666672</v>
      </c>
    </row>
    <row r="429" spans="1:18" x14ac:dyDescent="0.25">
      <c r="A429" t="s">
        <v>2508</v>
      </c>
      <c r="B429" t="s">
        <v>997</v>
      </c>
      <c r="C429" s="1">
        <v>45177</v>
      </c>
      <c r="D429" s="1" t="str">
        <f>TEXT(Delivery_data[[#This Row],[Order date]], "MMMM")</f>
        <v>September</v>
      </c>
      <c r="E429" s="1" t="str">
        <f>TEXT(Delivery_data[[#This Row],[Order date]], "DDDD")</f>
        <v>Friday</v>
      </c>
      <c r="F429" s="2">
        <v>0.43541666666666667</v>
      </c>
      <c r="G429" t="s">
        <v>48</v>
      </c>
      <c r="H429" t="str">
        <f>IF(Delivery_data[[#This Row],[Order Status]] = "In Progress", "Backlog", "Complete")</f>
        <v>Backlog</v>
      </c>
      <c r="I429" t="s">
        <v>220</v>
      </c>
      <c r="J429" t="s">
        <v>1633</v>
      </c>
      <c r="K429" t="s">
        <v>37</v>
      </c>
      <c r="L429">
        <v>192</v>
      </c>
      <c r="M429">
        <v>15</v>
      </c>
      <c r="N429" t="s">
        <v>25</v>
      </c>
      <c r="O429" t="s">
        <v>54</v>
      </c>
      <c r="P429" t="s">
        <v>45</v>
      </c>
      <c r="Q429" t="s">
        <v>46</v>
      </c>
      <c r="R429" s="2">
        <v>0.69791666666666663</v>
      </c>
    </row>
    <row r="430" spans="1:18" x14ac:dyDescent="0.25">
      <c r="A430" t="s">
        <v>2573</v>
      </c>
      <c r="B430" t="s">
        <v>1057</v>
      </c>
      <c r="C430" s="1">
        <v>45175</v>
      </c>
      <c r="D430" s="1" t="str">
        <f>TEXT(Delivery_data[[#This Row],[Order date]], "MMMM")</f>
        <v>September</v>
      </c>
      <c r="E430" s="1" t="str">
        <f>TEXT(Delivery_data[[#This Row],[Order date]], "DDDD")</f>
        <v>Wednesday</v>
      </c>
      <c r="F430" s="2">
        <v>0.42430555555555555</v>
      </c>
      <c r="G430" t="s">
        <v>22</v>
      </c>
      <c r="H430" t="str">
        <f>IF(Delivery_data[[#This Row],[Order Status]] = "In Progress", "Backlog", "Complete")</f>
        <v>Complete</v>
      </c>
      <c r="I430" t="s">
        <v>220</v>
      </c>
      <c r="J430" t="s">
        <v>1637</v>
      </c>
      <c r="K430" t="s">
        <v>44</v>
      </c>
      <c r="L430">
        <v>115</v>
      </c>
      <c r="M430">
        <v>16</v>
      </c>
      <c r="N430" t="s">
        <v>32</v>
      </c>
      <c r="O430" t="s">
        <v>41</v>
      </c>
      <c r="P430" t="s">
        <v>27</v>
      </c>
      <c r="Q430" t="s">
        <v>51</v>
      </c>
      <c r="R430" s="2">
        <v>0.36736111111111114</v>
      </c>
    </row>
    <row r="431" spans="1:18" x14ac:dyDescent="0.25">
      <c r="A431" t="s">
        <v>2682</v>
      </c>
      <c r="B431" t="s">
        <v>1164</v>
      </c>
      <c r="C431" s="1">
        <v>45177</v>
      </c>
      <c r="D431" s="1" t="str">
        <f>TEXT(Delivery_data[[#This Row],[Order date]], "MMMM")</f>
        <v>September</v>
      </c>
      <c r="E431" s="1" t="str">
        <f>TEXT(Delivery_data[[#This Row],[Order date]], "DDDD")</f>
        <v>Friday</v>
      </c>
      <c r="F431" s="2">
        <v>0.55625000000000002</v>
      </c>
      <c r="G431" t="s">
        <v>48</v>
      </c>
      <c r="H431" t="str">
        <f>IF(Delivery_data[[#This Row],[Order Status]] = "In Progress", "Backlog", "Complete")</f>
        <v>Backlog</v>
      </c>
      <c r="I431" t="s">
        <v>220</v>
      </c>
      <c r="J431" t="s">
        <v>1637</v>
      </c>
      <c r="K431" t="s">
        <v>31</v>
      </c>
      <c r="L431">
        <v>123</v>
      </c>
      <c r="M431">
        <v>26</v>
      </c>
      <c r="N431" t="s">
        <v>25</v>
      </c>
      <c r="O431" t="s">
        <v>33</v>
      </c>
      <c r="P431" t="s">
        <v>34</v>
      </c>
      <c r="Q431" t="s">
        <v>51</v>
      </c>
      <c r="R431" s="2">
        <v>0.52013888888888893</v>
      </c>
    </row>
    <row r="432" spans="1:18" x14ac:dyDescent="0.25">
      <c r="A432" t="s">
        <v>2715</v>
      </c>
      <c r="B432" t="s">
        <v>1196</v>
      </c>
      <c r="C432" s="1">
        <v>45170</v>
      </c>
      <c r="D432" s="1" t="str">
        <f>TEXT(Delivery_data[[#This Row],[Order date]], "MMMM")</f>
        <v>September</v>
      </c>
      <c r="E432" s="1" t="str">
        <f>TEXT(Delivery_data[[#This Row],[Order date]], "DDDD")</f>
        <v>Friday</v>
      </c>
      <c r="F432" s="2">
        <v>0.70347222222222228</v>
      </c>
      <c r="G432" t="s">
        <v>22</v>
      </c>
      <c r="H432" t="str">
        <f>IF(Delivery_data[[#This Row],[Order Status]] = "In Progress", "Backlog", "Complete")</f>
        <v>Complete</v>
      </c>
      <c r="I432" t="s">
        <v>220</v>
      </c>
      <c r="J432" t="s">
        <v>1633</v>
      </c>
      <c r="K432" t="s">
        <v>24</v>
      </c>
      <c r="L432">
        <v>86</v>
      </c>
      <c r="M432">
        <v>15</v>
      </c>
      <c r="N432" t="s">
        <v>38</v>
      </c>
      <c r="O432" t="s">
        <v>54</v>
      </c>
      <c r="P432" t="s">
        <v>34</v>
      </c>
      <c r="Q432" t="s">
        <v>28</v>
      </c>
      <c r="R432" s="2">
        <v>0.61597222222222225</v>
      </c>
    </row>
    <row r="433" spans="1:18" x14ac:dyDescent="0.25">
      <c r="A433" t="s">
        <v>1645</v>
      </c>
      <c r="B433" t="s">
        <v>66</v>
      </c>
      <c r="C433" s="1">
        <v>45172</v>
      </c>
      <c r="D433" s="1" t="str">
        <f>TEXT(Delivery_data[[#This Row],[Order date]], "MMMM")</f>
        <v>September</v>
      </c>
      <c r="E433" s="1" t="str">
        <f>TEXT(Delivery_data[[#This Row],[Order date]], "DDDD")</f>
        <v>Sunday</v>
      </c>
      <c r="F433" s="2">
        <v>0.51111111111111107</v>
      </c>
      <c r="G433" t="s">
        <v>22</v>
      </c>
      <c r="H433" t="str">
        <f>IF(Delivery_data[[#This Row],[Order Status]] = "In Progress", "Backlog", "Complete")</f>
        <v>Complete</v>
      </c>
      <c r="I433" t="s">
        <v>67</v>
      </c>
      <c r="J433" t="s">
        <v>1631</v>
      </c>
      <c r="K433" t="s">
        <v>44</v>
      </c>
      <c r="L433">
        <v>127</v>
      </c>
      <c r="M433">
        <v>17</v>
      </c>
      <c r="N433" t="s">
        <v>38</v>
      </c>
      <c r="O433" t="s">
        <v>54</v>
      </c>
      <c r="P433" t="s">
        <v>45</v>
      </c>
      <c r="Q433" t="s">
        <v>46</v>
      </c>
      <c r="R433" s="2">
        <v>0.72499999999999998</v>
      </c>
    </row>
    <row r="434" spans="1:18" x14ac:dyDescent="0.25">
      <c r="A434" t="s">
        <v>1958</v>
      </c>
      <c r="B434" t="s">
        <v>462</v>
      </c>
      <c r="C434" s="1">
        <v>45175</v>
      </c>
      <c r="D434" s="1" t="str">
        <f>TEXT(Delivery_data[[#This Row],[Order date]], "MMMM")</f>
        <v>September</v>
      </c>
      <c r="E434" s="1" t="str">
        <f>TEXT(Delivery_data[[#This Row],[Order date]], "DDDD")</f>
        <v>Wednesday</v>
      </c>
      <c r="F434" s="2">
        <v>0.50138888888888888</v>
      </c>
      <c r="G434" t="s">
        <v>22</v>
      </c>
      <c r="H434" t="str">
        <f>IF(Delivery_data[[#This Row],[Order Status]] = "In Progress", "Backlog", "Complete")</f>
        <v>Complete</v>
      </c>
      <c r="I434" t="s">
        <v>67</v>
      </c>
      <c r="J434" t="s">
        <v>1637</v>
      </c>
      <c r="K434" t="s">
        <v>61</v>
      </c>
      <c r="L434">
        <v>122</v>
      </c>
      <c r="M434">
        <v>8</v>
      </c>
      <c r="N434" t="s">
        <v>38</v>
      </c>
      <c r="O434" t="s">
        <v>26</v>
      </c>
      <c r="P434" t="s">
        <v>34</v>
      </c>
      <c r="Q434" t="s">
        <v>51</v>
      </c>
      <c r="R434" s="2">
        <v>0.4909722222222222</v>
      </c>
    </row>
    <row r="435" spans="1:18" x14ac:dyDescent="0.25">
      <c r="A435" t="s">
        <v>2014</v>
      </c>
      <c r="B435" t="s">
        <v>519</v>
      </c>
      <c r="C435" s="1">
        <v>45176</v>
      </c>
      <c r="D435" s="1" t="str">
        <f>TEXT(Delivery_data[[#This Row],[Order date]], "MMMM")</f>
        <v>September</v>
      </c>
      <c r="E435" s="1" t="str">
        <f>TEXT(Delivery_data[[#This Row],[Order date]], "DDDD")</f>
        <v>Thursday</v>
      </c>
      <c r="F435" s="2">
        <v>0.45694444444444443</v>
      </c>
      <c r="G435" t="s">
        <v>22</v>
      </c>
      <c r="H435" t="str">
        <f>IF(Delivery_data[[#This Row],[Order Status]] = "In Progress", "Backlog", "Complete")</f>
        <v>Complete</v>
      </c>
      <c r="I435" t="s">
        <v>67</v>
      </c>
      <c r="J435" t="s">
        <v>1637</v>
      </c>
      <c r="K435" t="s">
        <v>31</v>
      </c>
      <c r="L435">
        <v>90</v>
      </c>
      <c r="M435">
        <v>3</v>
      </c>
      <c r="N435" t="s">
        <v>32</v>
      </c>
      <c r="O435" t="s">
        <v>33</v>
      </c>
      <c r="P435" t="s">
        <v>34</v>
      </c>
      <c r="Q435" t="s">
        <v>51</v>
      </c>
      <c r="R435" s="2">
        <v>0.72916666666666663</v>
      </c>
    </row>
    <row r="436" spans="1:18" x14ac:dyDescent="0.25">
      <c r="A436" t="s">
        <v>2210</v>
      </c>
      <c r="B436" t="s">
        <v>711</v>
      </c>
      <c r="C436" s="1">
        <v>45172</v>
      </c>
      <c r="D436" s="1" t="str">
        <f>TEXT(Delivery_data[[#This Row],[Order date]], "MMMM")</f>
        <v>September</v>
      </c>
      <c r="E436" s="1" t="str">
        <f>TEXT(Delivery_data[[#This Row],[Order date]], "DDDD")</f>
        <v>Sunday</v>
      </c>
      <c r="F436" s="2">
        <v>0.55347222222222225</v>
      </c>
      <c r="G436" t="s">
        <v>22</v>
      </c>
      <c r="H436" t="str">
        <f>IF(Delivery_data[[#This Row],[Order Status]] = "In Progress", "Backlog", "Complete")</f>
        <v>Complete</v>
      </c>
      <c r="I436" t="s">
        <v>67</v>
      </c>
      <c r="J436" t="s">
        <v>1633</v>
      </c>
      <c r="K436" t="s">
        <v>37</v>
      </c>
      <c r="L436">
        <v>77</v>
      </c>
      <c r="M436">
        <v>21</v>
      </c>
      <c r="N436" t="s">
        <v>32</v>
      </c>
      <c r="O436" t="s">
        <v>41</v>
      </c>
      <c r="P436" t="s">
        <v>45</v>
      </c>
      <c r="Q436" t="s">
        <v>51</v>
      </c>
      <c r="R436" s="2">
        <v>0.53611111111111109</v>
      </c>
    </row>
    <row r="437" spans="1:18" x14ac:dyDescent="0.25">
      <c r="A437" t="s">
        <v>2274</v>
      </c>
      <c r="B437" t="s">
        <v>774</v>
      </c>
      <c r="C437" s="1">
        <v>45175</v>
      </c>
      <c r="D437" s="1" t="str">
        <f>TEXT(Delivery_data[[#This Row],[Order date]], "MMMM")</f>
        <v>September</v>
      </c>
      <c r="E437" s="1" t="str">
        <f>TEXT(Delivery_data[[#This Row],[Order date]], "DDDD")</f>
        <v>Wednesday</v>
      </c>
      <c r="F437" s="2">
        <v>0.66874999999999996</v>
      </c>
      <c r="G437" t="s">
        <v>48</v>
      </c>
      <c r="H437" t="str">
        <f>IF(Delivery_data[[#This Row],[Order Status]] = "In Progress", "Backlog", "Complete")</f>
        <v>Backlog</v>
      </c>
      <c r="I437" t="s">
        <v>67</v>
      </c>
      <c r="J437" t="s">
        <v>1631</v>
      </c>
      <c r="K437" t="s">
        <v>37</v>
      </c>
      <c r="L437">
        <v>73</v>
      </c>
      <c r="M437">
        <v>8</v>
      </c>
      <c r="N437" t="s">
        <v>25</v>
      </c>
      <c r="O437" t="s">
        <v>26</v>
      </c>
      <c r="P437" t="s">
        <v>34</v>
      </c>
      <c r="Q437" t="s">
        <v>51</v>
      </c>
      <c r="R437" s="2">
        <v>0.50277777777777777</v>
      </c>
    </row>
    <row r="438" spans="1:18" x14ac:dyDescent="0.25">
      <c r="A438" t="s">
        <v>2284</v>
      </c>
      <c r="B438" t="s">
        <v>783</v>
      </c>
      <c r="C438" s="1">
        <v>45174</v>
      </c>
      <c r="D438" s="1" t="str">
        <f>TEXT(Delivery_data[[#This Row],[Order date]], "MMMM")</f>
        <v>September</v>
      </c>
      <c r="E438" s="1" t="str">
        <f>TEXT(Delivery_data[[#This Row],[Order date]], "DDDD")</f>
        <v>Tuesday</v>
      </c>
      <c r="F438" s="2">
        <v>0.65277777777777779</v>
      </c>
      <c r="G438" t="s">
        <v>22</v>
      </c>
      <c r="H438" t="str">
        <f>IF(Delivery_data[[#This Row],[Order Status]] = "In Progress", "Backlog", "Complete")</f>
        <v>Complete</v>
      </c>
      <c r="I438" t="s">
        <v>67</v>
      </c>
      <c r="J438" t="s">
        <v>1631</v>
      </c>
      <c r="K438" t="s">
        <v>24</v>
      </c>
      <c r="L438">
        <v>110</v>
      </c>
      <c r="M438">
        <v>10</v>
      </c>
      <c r="N438" t="s">
        <v>32</v>
      </c>
      <c r="O438" t="s">
        <v>41</v>
      </c>
      <c r="P438" t="s">
        <v>27</v>
      </c>
      <c r="Q438" t="s">
        <v>28</v>
      </c>
      <c r="R438" s="2">
        <v>0.39305555555555555</v>
      </c>
    </row>
    <row r="439" spans="1:18" x14ac:dyDescent="0.25">
      <c r="A439" t="s">
        <v>2289</v>
      </c>
      <c r="B439" t="s">
        <v>788</v>
      </c>
      <c r="C439" s="1">
        <v>45174</v>
      </c>
      <c r="D439" s="1" t="str">
        <f>TEXT(Delivery_data[[#This Row],[Order date]], "MMMM")</f>
        <v>September</v>
      </c>
      <c r="E439" s="1" t="str">
        <f>TEXT(Delivery_data[[#This Row],[Order date]], "DDDD")</f>
        <v>Tuesday</v>
      </c>
      <c r="F439" s="2">
        <v>0.43125000000000002</v>
      </c>
      <c r="G439" t="s">
        <v>48</v>
      </c>
      <c r="H439" t="str">
        <f>IF(Delivery_data[[#This Row],[Order Status]] = "In Progress", "Backlog", "Complete")</f>
        <v>Backlog</v>
      </c>
      <c r="I439" t="s">
        <v>67</v>
      </c>
      <c r="J439" t="s">
        <v>1631</v>
      </c>
      <c r="K439" t="s">
        <v>44</v>
      </c>
      <c r="L439">
        <v>110</v>
      </c>
      <c r="M439">
        <v>4</v>
      </c>
      <c r="N439" t="s">
        <v>32</v>
      </c>
      <c r="O439" t="s">
        <v>26</v>
      </c>
      <c r="P439" t="s">
        <v>34</v>
      </c>
      <c r="Q439" t="s">
        <v>51</v>
      </c>
      <c r="R439" s="2">
        <v>0.62569444444444444</v>
      </c>
    </row>
    <row r="440" spans="1:18" x14ac:dyDescent="0.25">
      <c r="A440" t="s">
        <v>2438</v>
      </c>
      <c r="B440" t="s">
        <v>931</v>
      </c>
      <c r="C440" s="1">
        <v>45174</v>
      </c>
      <c r="D440" s="1" t="str">
        <f>TEXT(Delivery_data[[#This Row],[Order date]], "MMMM")</f>
        <v>September</v>
      </c>
      <c r="E440" s="1" t="str">
        <f>TEXT(Delivery_data[[#This Row],[Order date]], "DDDD")</f>
        <v>Tuesday</v>
      </c>
      <c r="F440" s="2">
        <v>0.52569444444444446</v>
      </c>
      <c r="G440" t="s">
        <v>48</v>
      </c>
      <c r="H440" t="str">
        <f>IF(Delivery_data[[#This Row],[Order Status]] = "In Progress", "Backlog", "Complete")</f>
        <v>Backlog</v>
      </c>
      <c r="I440" t="s">
        <v>67</v>
      </c>
      <c r="J440" t="s">
        <v>1633</v>
      </c>
      <c r="K440" t="s">
        <v>61</v>
      </c>
      <c r="L440">
        <v>110</v>
      </c>
      <c r="M440">
        <v>22</v>
      </c>
      <c r="N440" t="s">
        <v>38</v>
      </c>
      <c r="O440" t="s">
        <v>54</v>
      </c>
      <c r="P440" t="s">
        <v>27</v>
      </c>
      <c r="Q440" t="s">
        <v>28</v>
      </c>
      <c r="R440" s="2">
        <v>0.51944444444444449</v>
      </c>
    </row>
    <row r="441" spans="1:18" x14ac:dyDescent="0.25">
      <c r="A441" t="s">
        <v>2626</v>
      </c>
      <c r="B441" t="s">
        <v>1109</v>
      </c>
      <c r="C441" s="1">
        <v>45171</v>
      </c>
      <c r="D441" s="1" t="str">
        <f>TEXT(Delivery_data[[#This Row],[Order date]], "MMMM")</f>
        <v>September</v>
      </c>
      <c r="E441" s="1" t="str">
        <f>TEXT(Delivery_data[[#This Row],[Order date]], "DDDD")</f>
        <v>Saturday</v>
      </c>
      <c r="F441" s="2">
        <v>0.40069444444444446</v>
      </c>
      <c r="G441" t="s">
        <v>22</v>
      </c>
      <c r="H441" t="str">
        <f>IF(Delivery_data[[#This Row],[Order Status]] = "In Progress", "Backlog", "Complete")</f>
        <v>Complete</v>
      </c>
      <c r="I441" t="s">
        <v>67</v>
      </c>
      <c r="J441" t="s">
        <v>1633</v>
      </c>
      <c r="K441" t="s">
        <v>31</v>
      </c>
      <c r="L441">
        <v>162</v>
      </c>
      <c r="M441">
        <v>25</v>
      </c>
      <c r="N441" t="s">
        <v>38</v>
      </c>
      <c r="O441" t="s">
        <v>54</v>
      </c>
      <c r="P441" t="s">
        <v>45</v>
      </c>
      <c r="Q441" t="s">
        <v>46</v>
      </c>
      <c r="R441" s="2">
        <v>0.5493055555555556</v>
      </c>
    </row>
    <row r="442" spans="1:18" x14ac:dyDescent="0.25">
      <c r="A442" t="s">
        <v>2670</v>
      </c>
      <c r="B442" t="s">
        <v>1153</v>
      </c>
      <c r="C442" s="1">
        <v>45172</v>
      </c>
      <c r="D442" s="1" t="str">
        <f>TEXT(Delivery_data[[#This Row],[Order date]], "MMMM")</f>
        <v>September</v>
      </c>
      <c r="E442" s="1" t="str">
        <f>TEXT(Delivery_data[[#This Row],[Order date]], "DDDD")</f>
        <v>Sunday</v>
      </c>
      <c r="F442" s="2">
        <v>0.7</v>
      </c>
      <c r="G442" t="s">
        <v>22</v>
      </c>
      <c r="H442" t="str">
        <f>IF(Delivery_data[[#This Row],[Order Status]] = "In Progress", "Backlog", "Complete")</f>
        <v>Complete</v>
      </c>
      <c r="I442" t="s">
        <v>67</v>
      </c>
      <c r="J442" t="s">
        <v>1631</v>
      </c>
      <c r="K442" t="s">
        <v>44</v>
      </c>
      <c r="L442">
        <v>173</v>
      </c>
      <c r="M442">
        <v>21</v>
      </c>
      <c r="N442" t="s">
        <v>38</v>
      </c>
      <c r="O442" t="s">
        <v>26</v>
      </c>
      <c r="P442" t="s">
        <v>45</v>
      </c>
      <c r="Q442" t="s">
        <v>51</v>
      </c>
      <c r="R442" s="2">
        <v>0.41319444444444442</v>
      </c>
    </row>
    <row r="443" spans="1:18" x14ac:dyDescent="0.25">
      <c r="A443" t="s">
        <v>2878</v>
      </c>
      <c r="B443" t="s">
        <v>1352</v>
      </c>
      <c r="C443" s="1">
        <v>45172</v>
      </c>
      <c r="D443" s="1" t="str">
        <f>TEXT(Delivery_data[[#This Row],[Order date]], "MMMM")</f>
        <v>September</v>
      </c>
      <c r="E443" s="1" t="str">
        <f>TEXT(Delivery_data[[#This Row],[Order date]], "DDDD")</f>
        <v>Sunday</v>
      </c>
      <c r="F443" s="2">
        <v>0.34722222222222221</v>
      </c>
      <c r="G443" t="s">
        <v>48</v>
      </c>
      <c r="H443" t="str">
        <f>IF(Delivery_data[[#This Row],[Order Status]] = "In Progress", "Backlog", "Complete")</f>
        <v>Backlog</v>
      </c>
      <c r="I443" t="s">
        <v>67</v>
      </c>
      <c r="J443" t="s">
        <v>1633</v>
      </c>
      <c r="K443" t="s">
        <v>61</v>
      </c>
      <c r="L443">
        <v>223</v>
      </c>
      <c r="M443">
        <v>27</v>
      </c>
      <c r="N443" t="s">
        <v>32</v>
      </c>
      <c r="O443" t="s">
        <v>26</v>
      </c>
      <c r="P443" t="s">
        <v>27</v>
      </c>
      <c r="Q443" t="s">
        <v>51</v>
      </c>
      <c r="R443" s="2">
        <v>0.38124999999999998</v>
      </c>
    </row>
    <row r="444" spans="1:18" x14ac:dyDescent="0.25">
      <c r="A444" t="s">
        <v>2951</v>
      </c>
      <c r="B444" t="s">
        <v>1424</v>
      </c>
      <c r="C444" s="1">
        <v>45174</v>
      </c>
      <c r="D444" s="1" t="str">
        <f>TEXT(Delivery_data[[#This Row],[Order date]], "MMMM")</f>
        <v>September</v>
      </c>
      <c r="E444" s="1" t="str">
        <f>TEXT(Delivery_data[[#This Row],[Order date]], "DDDD")</f>
        <v>Tuesday</v>
      </c>
      <c r="F444" s="2">
        <v>0.52361111111111114</v>
      </c>
      <c r="G444" t="s">
        <v>22</v>
      </c>
      <c r="H444" t="str">
        <f>IF(Delivery_data[[#This Row],[Order Status]] = "In Progress", "Backlog", "Complete")</f>
        <v>Complete</v>
      </c>
      <c r="I444" t="s">
        <v>67</v>
      </c>
      <c r="J444" t="s">
        <v>1633</v>
      </c>
      <c r="K444" t="s">
        <v>24</v>
      </c>
      <c r="L444">
        <v>71</v>
      </c>
      <c r="M444">
        <v>1</v>
      </c>
      <c r="N444" t="s">
        <v>25</v>
      </c>
      <c r="O444" t="s">
        <v>41</v>
      </c>
      <c r="P444" t="s">
        <v>45</v>
      </c>
      <c r="Q444" t="s">
        <v>28</v>
      </c>
      <c r="R444" s="2">
        <v>0.36666666666666664</v>
      </c>
    </row>
    <row r="445" spans="1:18" x14ac:dyDescent="0.25">
      <c r="A445" t="s">
        <v>2979</v>
      </c>
      <c r="B445" t="s">
        <v>1452</v>
      </c>
      <c r="C445" s="1">
        <v>45176</v>
      </c>
      <c r="D445" s="1" t="str">
        <f>TEXT(Delivery_data[[#This Row],[Order date]], "MMMM")</f>
        <v>September</v>
      </c>
      <c r="E445" s="1" t="str">
        <f>TEXT(Delivery_data[[#This Row],[Order date]], "DDDD")</f>
        <v>Thursday</v>
      </c>
      <c r="F445" s="2">
        <v>0.56041666666666667</v>
      </c>
      <c r="G445" t="s">
        <v>22</v>
      </c>
      <c r="H445" t="str">
        <f>IF(Delivery_data[[#This Row],[Order Status]] = "In Progress", "Backlog", "Complete")</f>
        <v>Complete</v>
      </c>
      <c r="I445" t="s">
        <v>67</v>
      </c>
      <c r="J445" t="s">
        <v>1633</v>
      </c>
      <c r="K445" t="s">
        <v>44</v>
      </c>
      <c r="L445">
        <v>102</v>
      </c>
      <c r="M445">
        <v>23</v>
      </c>
      <c r="N445" t="s">
        <v>32</v>
      </c>
      <c r="O445" t="s">
        <v>50</v>
      </c>
      <c r="P445" t="s">
        <v>34</v>
      </c>
      <c r="Q445" t="s">
        <v>51</v>
      </c>
      <c r="R445" s="2">
        <v>0.64583333333333337</v>
      </c>
    </row>
    <row r="446" spans="1:18" x14ac:dyDescent="0.25">
      <c r="A446" t="s">
        <v>1651</v>
      </c>
      <c r="B446" t="s">
        <v>77</v>
      </c>
      <c r="C446" s="1">
        <v>45173</v>
      </c>
      <c r="D446" s="1" t="str">
        <f>TEXT(Delivery_data[[#This Row],[Order date]], "MMMM")</f>
        <v>September</v>
      </c>
      <c r="E446" s="1" t="str">
        <f>TEXT(Delivery_data[[#This Row],[Order date]], "DDDD")</f>
        <v>Monday</v>
      </c>
      <c r="F446" s="2">
        <v>0.62013888888888891</v>
      </c>
      <c r="G446" t="s">
        <v>48</v>
      </c>
      <c r="H446" t="str">
        <f>IF(Delivery_data[[#This Row],[Order Status]] = "In Progress", "Backlog", "Complete")</f>
        <v>Backlog</v>
      </c>
      <c r="I446" t="s">
        <v>78</v>
      </c>
      <c r="J446" t="s">
        <v>1631</v>
      </c>
      <c r="K446" t="s">
        <v>31</v>
      </c>
      <c r="L446">
        <v>219</v>
      </c>
      <c r="M446">
        <v>13</v>
      </c>
      <c r="N446" t="s">
        <v>32</v>
      </c>
      <c r="O446" t="s">
        <v>33</v>
      </c>
      <c r="P446" t="s">
        <v>34</v>
      </c>
      <c r="Q446" t="s">
        <v>46</v>
      </c>
      <c r="R446" s="2">
        <v>0.38680555555555557</v>
      </c>
    </row>
    <row r="447" spans="1:18" x14ac:dyDescent="0.25">
      <c r="A447" t="s">
        <v>1652</v>
      </c>
      <c r="B447" t="s">
        <v>79</v>
      </c>
      <c r="C447" s="1">
        <v>45171</v>
      </c>
      <c r="D447" s="1" t="str">
        <f>TEXT(Delivery_data[[#This Row],[Order date]], "MMMM")</f>
        <v>September</v>
      </c>
      <c r="E447" s="1" t="str">
        <f>TEXT(Delivery_data[[#This Row],[Order date]], "DDDD")</f>
        <v>Saturday</v>
      </c>
      <c r="F447" s="2">
        <v>0.48194444444444445</v>
      </c>
      <c r="G447" t="s">
        <v>48</v>
      </c>
      <c r="H447" t="str">
        <f>IF(Delivery_data[[#This Row],[Order Status]] = "In Progress", "Backlog", "Complete")</f>
        <v>Backlog</v>
      </c>
      <c r="I447" t="s">
        <v>78</v>
      </c>
      <c r="J447" t="s">
        <v>1631</v>
      </c>
      <c r="K447" t="s">
        <v>24</v>
      </c>
      <c r="L447">
        <v>213</v>
      </c>
      <c r="M447">
        <v>24</v>
      </c>
      <c r="N447" t="s">
        <v>25</v>
      </c>
      <c r="O447" t="s">
        <v>50</v>
      </c>
      <c r="P447" t="s">
        <v>34</v>
      </c>
      <c r="Q447" t="s">
        <v>28</v>
      </c>
      <c r="R447" s="2">
        <v>0.46875</v>
      </c>
    </row>
    <row r="448" spans="1:18" x14ac:dyDescent="0.25">
      <c r="A448" t="s">
        <v>1795</v>
      </c>
      <c r="B448" t="s">
        <v>288</v>
      </c>
      <c r="C448" s="1">
        <v>45171</v>
      </c>
      <c r="D448" s="1" t="str">
        <f>TEXT(Delivery_data[[#This Row],[Order date]], "MMMM")</f>
        <v>September</v>
      </c>
      <c r="E448" s="1" t="str">
        <f>TEXT(Delivery_data[[#This Row],[Order date]], "DDDD")</f>
        <v>Saturday</v>
      </c>
      <c r="F448" s="2">
        <v>0.49652777777777779</v>
      </c>
      <c r="G448" t="s">
        <v>48</v>
      </c>
      <c r="H448" t="str">
        <f>IF(Delivery_data[[#This Row],[Order Status]] = "In Progress", "Backlog", "Complete")</f>
        <v>Backlog</v>
      </c>
      <c r="I448" t="s">
        <v>78</v>
      </c>
      <c r="J448" t="s">
        <v>1631</v>
      </c>
      <c r="K448" t="s">
        <v>24</v>
      </c>
      <c r="L448">
        <v>78</v>
      </c>
      <c r="M448">
        <v>0</v>
      </c>
      <c r="N448" t="s">
        <v>32</v>
      </c>
      <c r="O448" t="s">
        <v>26</v>
      </c>
      <c r="P448" t="s">
        <v>34</v>
      </c>
      <c r="Q448" t="s">
        <v>46</v>
      </c>
      <c r="R448" s="2">
        <v>0.49583333333333335</v>
      </c>
    </row>
    <row r="449" spans="1:18" x14ac:dyDescent="0.25">
      <c r="A449" t="s">
        <v>1881</v>
      </c>
      <c r="B449" t="s">
        <v>382</v>
      </c>
      <c r="C449" s="1">
        <v>45170</v>
      </c>
      <c r="D449" s="1" t="str">
        <f>TEXT(Delivery_data[[#This Row],[Order date]], "MMMM")</f>
        <v>September</v>
      </c>
      <c r="E449" s="1" t="str">
        <f>TEXT(Delivery_data[[#This Row],[Order date]], "DDDD")</f>
        <v>Friday</v>
      </c>
      <c r="F449" s="2">
        <v>0.54513888888888884</v>
      </c>
      <c r="G449" t="s">
        <v>48</v>
      </c>
      <c r="H449" t="str">
        <f>IF(Delivery_data[[#This Row],[Order Status]] = "In Progress", "Backlog", "Complete")</f>
        <v>Backlog</v>
      </c>
      <c r="I449" t="s">
        <v>78</v>
      </c>
      <c r="J449" t="s">
        <v>1631</v>
      </c>
      <c r="K449" t="s">
        <v>24</v>
      </c>
      <c r="L449">
        <v>180</v>
      </c>
      <c r="M449">
        <v>25</v>
      </c>
      <c r="N449" t="s">
        <v>25</v>
      </c>
      <c r="O449" t="s">
        <v>41</v>
      </c>
      <c r="P449" t="s">
        <v>27</v>
      </c>
      <c r="Q449" t="s">
        <v>51</v>
      </c>
      <c r="R449" s="2">
        <v>0.53472222222222221</v>
      </c>
    </row>
    <row r="450" spans="1:18" x14ac:dyDescent="0.25">
      <c r="A450" t="s">
        <v>1995</v>
      </c>
      <c r="B450" t="s">
        <v>500</v>
      </c>
      <c r="C450" s="1">
        <v>45174</v>
      </c>
      <c r="D450" s="1" t="str">
        <f>TEXT(Delivery_data[[#This Row],[Order date]], "MMMM")</f>
        <v>September</v>
      </c>
      <c r="E450" s="1" t="str">
        <f>TEXT(Delivery_data[[#This Row],[Order date]], "DDDD")</f>
        <v>Tuesday</v>
      </c>
      <c r="F450" s="2">
        <v>0.4597222222222222</v>
      </c>
      <c r="G450" t="s">
        <v>22</v>
      </c>
      <c r="H450" t="str">
        <f>IF(Delivery_data[[#This Row],[Order Status]] = "In Progress", "Backlog", "Complete")</f>
        <v>Complete</v>
      </c>
      <c r="I450" t="s">
        <v>78</v>
      </c>
      <c r="J450" t="s">
        <v>1637</v>
      </c>
      <c r="K450" t="s">
        <v>61</v>
      </c>
      <c r="L450">
        <v>67</v>
      </c>
      <c r="M450">
        <v>20</v>
      </c>
      <c r="N450" t="s">
        <v>38</v>
      </c>
      <c r="O450" t="s">
        <v>54</v>
      </c>
      <c r="P450" t="s">
        <v>45</v>
      </c>
      <c r="Q450" t="s">
        <v>51</v>
      </c>
      <c r="R450" s="2">
        <v>0.50486111111111109</v>
      </c>
    </row>
    <row r="451" spans="1:18" x14ac:dyDescent="0.25">
      <c r="A451" t="s">
        <v>2012</v>
      </c>
      <c r="B451" t="s">
        <v>517</v>
      </c>
      <c r="C451" s="1">
        <v>45171</v>
      </c>
      <c r="D451" s="1" t="str">
        <f>TEXT(Delivery_data[[#This Row],[Order date]], "MMMM")</f>
        <v>September</v>
      </c>
      <c r="E451" s="1" t="str">
        <f>TEXT(Delivery_data[[#This Row],[Order date]], "DDDD")</f>
        <v>Saturday</v>
      </c>
      <c r="F451" s="2">
        <v>0.70416666666666672</v>
      </c>
      <c r="G451" t="s">
        <v>48</v>
      </c>
      <c r="H451" t="str">
        <f>IF(Delivery_data[[#This Row],[Order Status]] = "In Progress", "Backlog", "Complete")</f>
        <v>Backlog</v>
      </c>
      <c r="I451" t="s">
        <v>78</v>
      </c>
      <c r="J451" t="s">
        <v>1637</v>
      </c>
      <c r="K451" t="s">
        <v>61</v>
      </c>
      <c r="L451">
        <v>162</v>
      </c>
      <c r="M451">
        <v>28</v>
      </c>
      <c r="N451" t="s">
        <v>25</v>
      </c>
      <c r="O451" t="s">
        <v>54</v>
      </c>
      <c r="P451" t="s">
        <v>27</v>
      </c>
      <c r="Q451" t="s">
        <v>46</v>
      </c>
      <c r="R451" s="2">
        <v>0.59236111111111112</v>
      </c>
    </row>
    <row r="452" spans="1:18" x14ac:dyDescent="0.25">
      <c r="A452" t="s">
        <v>2107</v>
      </c>
      <c r="B452" t="s">
        <v>611</v>
      </c>
      <c r="C452" s="1">
        <v>45173</v>
      </c>
      <c r="D452" s="1" t="str">
        <f>TEXT(Delivery_data[[#This Row],[Order date]], "MMMM")</f>
        <v>September</v>
      </c>
      <c r="E452" s="1" t="str">
        <f>TEXT(Delivery_data[[#This Row],[Order date]], "DDDD")</f>
        <v>Monday</v>
      </c>
      <c r="F452" s="2">
        <v>0.35</v>
      </c>
      <c r="G452" t="s">
        <v>22</v>
      </c>
      <c r="H452" t="str">
        <f>IF(Delivery_data[[#This Row],[Order Status]] = "In Progress", "Backlog", "Complete")</f>
        <v>Complete</v>
      </c>
      <c r="I452" t="s">
        <v>78</v>
      </c>
      <c r="J452" t="s">
        <v>1631</v>
      </c>
      <c r="K452" t="s">
        <v>61</v>
      </c>
      <c r="L452">
        <v>79</v>
      </c>
      <c r="M452">
        <v>10</v>
      </c>
      <c r="N452" t="s">
        <v>25</v>
      </c>
      <c r="O452" t="s">
        <v>33</v>
      </c>
      <c r="P452" t="s">
        <v>45</v>
      </c>
      <c r="Q452" t="s">
        <v>28</v>
      </c>
      <c r="R452" s="2">
        <v>0.53402777777777777</v>
      </c>
    </row>
    <row r="453" spans="1:18" x14ac:dyDescent="0.25">
      <c r="A453" t="s">
        <v>2230</v>
      </c>
      <c r="B453" t="s">
        <v>730</v>
      </c>
      <c r="C453" s="1">
        <v>45175</v>
      </c>
      <c r="D453" s="1" t="str">
        <f>TEXT(Delivery_data[[#This Row],[Order date]], "MMMM")</f>
        <v>September</v>
      </c>
      <c r="E453" s="1" t="str">
        <f>TEXT(Delivery_data[[#This Row],[Order date]], "DDDD")</f>
        <v>Wednesday</v>
      </c>
      <c r="F453" s="2">
        <v>0.62430555555555556</v>
      </c>
      <c r="G453" t="s">
        <v>48</v>
      </c>
      <c r="H453" t="str">
        <f>IF(Delivery_data[[#This Row],[Order Status]] = "In Progress", "Backlog", "Complete")</f>
        <v>Backlog</v>
      </c>
      <c r="I453" t="s">
        <v>78</v>
      </c>
      <c r="J453" t="s">
        <v>1633</v>
      </c>
      <c r="K453" t="s">
        <v>37</v>
      </c>
      <c r="L453">
        <v>173</v>
      </c>
      <c r="M453">
        <v>16</v>
      </c>
      <c r="N453" t="s">
        <v>25</v>
      </c>
      <c r="O453" t="s">
        <v>33</v>
      </c>
      <c r="P453" t="s">
        <v>34</v>
      </c>
      <c r="Q453" t="s">
        <v>28</v>
      </c>
      <c r="R453" s="2">
        <v>0.67500000000000004</v>
      </c>
    </row>
    <row r="454" spans="1:18" x14ac:dyDescent="0.25">
      <c r="A454" t="s">
        <v>2333</v>
      </c>
      <c r="B454" t="s">
        <v>831</v>
      </c>
      <c r="C454" s="1">
        <v>45173</v>
      </c>
      <c r="D454" s="1" t="str">
        <f>TEXT(Delivery_data[[#This Row],[Order date]], "MMMM")</f>
        <v>September</v>
      </c>
      <c r="E454" s="1" t="str">
        <f>TEXT(Delivery_data[[#This Row],[Order date]], "DDDD")</f>
        <v>Monday</v>
      </c>
      <c r="F454" s="2">
        <v>0.44791666666666669</v>
      </c>
      <c r="G454" t="s">
        <v>48</v>
      </c>
      <c r="H454" t="str">
        <f>IF(Delivery_data[[#This Row],[Order Status]] = "In Progress", "Backlog", "Complete")</f>
        <v>Backlog</v>
      </c>
      <c r="I454" t="s">
        <v>78</v>
      </c>
      <c r="J454" t="s">
        <v>1637</v>
      </c>
      <c r="K454" t="s">
        <v>31</v>
      </c>
      <c r="L454">
        <v>201</v>
      </c>
      <c r="M454">
        <v>3</v>
      </c>
      <c r="N454" t="s">
        <v>25</v>
      </c>
      <c r="O454" t="s">
        <v>54</v>
      </c>
      <c r="P454" t="s">
        <v>27</v>
      </c>
      <c r="Q454" t="s">
        <v>51</v>
      </c>
      <c r="R454" s="2">
        <v>0.5625</v>
      </c>
    </row>
    <row r="455" spans="1:18" x14ac:dyDescent="0.25">
      <c r="A455" t="s">
        <v>2593</v>
      </c>
      <c r="B455" t="s">
        <v>1077</v>
      </c>
      <c r="C455" s="1">
        <v>45171</v>
      </c>
      <c r="D455" s="1" t="str">
        <f>TEXT(Delivery_data[[#This Row],[Order date]], "MMMM")</f>
        <v>September</v>
      </c>
      <c r="E455" s="1" t="str">
        <f>TEXT(Delivery_data[[#This Row],[Order date]], "DDDD")</f>
        <v>Saturday</v>
      </c>
      <c r="F455" s="2">
        <v>0.55277777777777781</v>
      </c>
      <c r="G455" t="s">
        <v>22</v>
      </c>
      <c r="H455" t="str">
        <f>IF(Delivery_data[[#This Row],[Order Status]] = "In Progress", "Backlog", "Complete")</f>
        <v>Complete</v>
      </c>
      <c r="I455" t="s">
        <v>78</v>
      </c>
      <c r="J455" t="s">
        <v>1637</v>
      </c>
      <c r="K455" t="s">
        <v>24</v>
      </c>
      <c r="L455">
        <v>208</v>
      </c>
      <c r="M455">
        <v>20</v>
      </c>
      <c r="N455" t="s">
        <v>38</v>
      </c>
      <c r="O455" t="s">
        <v>50</v>
      </c>
      <c r="P455" t="s">
        <v>27</v>
      </c>
      <c r="Q455" t="s">
        <v>28</v>
      </c>
      <c r="R455" s="2">
        <v>0.3576388888888889</v>
      </c>
    </row>
    <row r="456" spans="1:18" x14ac:dyDescent="0.25">
      <c r="A456" t="s">
        <v>2600</v>
      </c>
      <c r="B456" t="s">
        <v>1084</v>
      </c>
      <c r="C456" s="1">
        <v>45177</v>
      </c>
      <c r="D456" s="1" t="str">
        <f>TEXT(Delivery_data[[#This Row],[Order date]], "MMMM")</f>
        <v>September</v>
      </c>
      <c r="E456" s="1" t="str">
        <f>TEXT(Delivery_data[[#This Row],[Order date]], "DDDD")</f>
        <v>Friday</v>
      </c>
      <c r="F456" s="2">
        <v>0.56111111111111112</v>
      </c>
      <c r="G456" t="s">
        <v>22</v>
      </c>
      <c r="H456" t="str">
        <f>IF(Delivery_data[[#This Row],[Order Status]] = "In Progress", "Backlog", "Complete")</f>
        <v>Complete</v>
      </c>
      <c r="I456" t="s">
        <v>78</v>
      </c>
      <c r="J456" t="s">
        <v>1637</v>
      </c>
      <c r="K456" t="s">
        <v>61</v>
      </c>
      <c r="L456">
        <v>141</v>
      </c>
      <c r="M456">
        <v>2</v>
      </c>
      <c r="N456" t="s">
        <v>25</v>
      </c>
      <c r="O456" t="s">
        <v>33</v>
      </c>
      <c r="P456" t="s">
        <v>27</v>
      </c>
      <c r="Q456" t="s">
        <v>51</v>
      </c>
      <c r="R456" s="2">
        <v>0.59791666666666665</v>
      </c>
    </row>
    <row r="457" spans="1:18" x14ac:dyDescent="0.25">
      <c r="A457" t="s">
        <v>2809</v>
      </c>
      <c r="B457" t="s">
        <v>1286</v>
      </c>
      <c r="C457" s="1">
        <v>45174</v>
      </c>
      <c r="D457" s="1" t="str">
        <f>TEXT(Delivery_data[[#This Row],[Order date]], "MMMM")</f>
        <v>September</v>
      </c>
      <c r="E457" s="1" t="str">
        <f>TEXT(Delivery_data[[#This Row],[Order date]], "DDDD")</f>
        <v>Tuesday</v>
      </c>
      <c r="F457" s="2">
        <v>0.59305555555555556</v>
      </c>
      <c r="G457" t="s">
        <v>22</v>
      </c>
      <c r="H457" t="str">
        <f>IF(Delivery_data[[#This Row],[Order Status]] = "In Progress", "Backlog", "Complete")</f>
        <v>Complete</v>
      </c>
      <c r="I457" t="s">
        <v>78</v>
      </c>
      <c r="J457" t="s">
        <v>1631</v>
      </c>
      <c r="K457" t="s">
        <v>61</v>
      </c>
      <c r="L457">
        <v>107</v>
      </c>
      <c r="M457">
        <v>28</v>
      </c>
      <c r="N457" t="s">
        <v>25</v>
      </c>
      <c r="O457" t="s">
        <v>41</v>
      </c>
      <c r="P457" t="s">
        <v>27</v>
      </c>
      <c r="Q457" t="s">
        <v>28</v>
      </c>
      <c r="R457" s="2">
        <v>0.64722222222222225</v>
      </c>
    </row>
    <row r="458" spans="1:18" x14ac:dyDescent="0.25">
      <c r="A458" t="s">
        <v>2841</v>
      </c>
      <c r="B458" t="s">
        <v>1317</v>
      </c>
      <c r="C458" s="1">
        <v>45170</v>
      </c>
      <c r="D458" s="1" t="str">
        <f>TEXT(Delivery_data[[#This Row],[Order date]], "MMMM")</f>
        <v>September</v>
      </c>
      <c r="E458" s="1" t="str">
        <f>TEXT(Delivery_data[[#This Row],[Order date]], "DDDD")</f>
        <v>Friday</v>
      </c>
      <c r="F458" s="2">
        <v>0.5395833333333333</v>
      </c>
      <c r="G458" t="s">
        <v>22</v>
      </c>
      <c r="H458" t="str">
        <f>IF(Delivery_data[[#This Row],[Order Status]] = "In Progress", "Backlog", "Complete")</f>
        <v>Complete</v>
      </c>
      <c r="I458" t="s">
        <v>78</v>
      </c>
      <c r="J458" t="s">
        <v>1637</v>
      </c>
      <c r="K458" t="s">
        <v>24</v>
      </c>
      <c r="L458">
        <v>176</v>
      </c>
      <c r="M458">
        <v>2</v>
      </c>
      <c r="N458" t="s">
        <v>38</v>
      </c>
      <c r="O458" t="s">
        <v>26</v>
      </c>
      <c r="P458" t="s">
        <v>27</v>
      </c>
      <c r="Q458" t="s">
        <v>46</v>
      </c>
      <c r="R458" s="2">
        <v>0.66388888888888886</v>
      </c>
    </row>
    <row r="459" spans="1:18" x14ac:dyDescent="0.25">
      <c r="A459" t="s">
        <v>3102</v>
      </c>
      <c r="B459" t="s">
        <v>1568</v>
      </c>
      <c r="C459" s="1">
        <v>45173</v>
      </c>
      <c r="D459" s="1" t="str">
        <f>TEXT(Delivery_data[[#This Row],[Order date]], "MMMM")</f>
        <v>September</v>
      </c>
      <c r="E459" s="1" t="str">
        <f>TEXT(Delivery_data[[#This Row],[Order date]], "DDDD")</f>
        <v>Monday</v>
      </c>
      <c r="F459" s="2">
        <v>0.375</v>
      </c>
      <c r="G459" t="s">
        <v>48</v>
      </c>
      <c r="H459" t="str">
        <f>IF(Delivery_data[[#This Row],[Order Status]] = "In Progress", "Backlog", "Complete")</f>
        <v>Backlog</v>
      </c>
      <c r="I459" t="s">
        <v>78</v>
      </c>
      <c r="J459" t="s">
        <v>1637</v>
      </c>
      <c r="K459" t="s">
        <v>24</v>
      </c>
      <c r="L459">
        <v>128</v>
      </c>
      <c r="M459">
        <v>2</v>
      </c>
      <c r="N459" t="s">
        <v>38</v>
      </c>
      <c r="O459" t="s">
        <v>26</v>
      </c>
      <c r="P459" t="s">
        <v>34</v>
      </c>
      <c r="Q459" t="s">
        <v>51</v>
      </c>
      <c r="R459" s="2">
        <v>0.48472222222222222</v>
      </c>
    </row>
    <row r="460" spans="1:18" x14ac:dyDescent="0.25">
      <c r="A460" t="s">
        <v>1671</v>
      </c>
      <c r="B460" t="s">
        <v>113</v>
      </c>
      <c r="C460" s="1">
        <v>45170</v>
      </c>
      <c r="D460" s="1" t="str">
        <f>TEXT(Delivery_data[[#This Row],[Order date]], "MMMM")</f>
        <v>September</v>
      </c>
      <c r="E460" s="1" t="str">
        <f>TEXT(Delivery_data[[#This Row],[Order date]], "DDDD")</f>
        <v>Friday</v>
      </c>
      <c r="F460" s="2">
        <v>0.63194444444444442</v>
      </c>
      <c r="G460" t="s">
        <v>22</v>
      </c>
      <c r="H460" t="str">
        <f>IF(Delivery_data[[#This Row],[Order Status]] = "In Progress", "Backlog", "Complete")</f>
        <v>Complete</v>
      </c>
      <c r="I460" t="s">
        <v>114</v>
      </c>
      <c r="J460" t="s">
        <v>1631</v>
      </c>
      <c r="K460" t="s">
        <v>31</v>
      </c>
      <c r="L460">
        <v>110</v>
      </c>
      <c r="M460">
        <v>7</v>
      </c>
      <c r="N460" t="s">
        <v>25</v>
      </c>
      <c r="O460" t="s">
        <v>50</v>
      </c>
      <c r="P460" t="s">
        <v>45</v>
      </c>
      <c r="Q460" t="s">
        <v>51</v>
      </c>
      <c r="R460" s="2">
        <v>0.43819444444444444</v>
      </c>
    </row>
    <row r="461" spans="1:18" x14ac:dyDescent="0.25">
      <c r="A461" t="s">
        <v>1685</v>
      </c>
      <c r="B461" t="s">
        <v>138</v>
      </c>
      <c r="C461" s="1">
        <v>45171</v>
      </c>
      <c r="D461" s="1" t="str">
        <f>TEXT(Delivery_data[[#This Row],[Order date]], "MMMM")</f>
        <v>September</v>
      </c>
      <c r="E461" s="1" t="str">
        <f>TEXT(Delivery_data[[#This Row],[Order date]], "DDDD")</f>
        <v>Saturday</v>
      </c>
      <c r="F461" s="2">
        <v>0.44722222222222224</v>
      </c>
      <c r="G461" t="s">
        <v>48</v>
      </c>
      <c r="H461" t="str">
        <f>IF(Delivery_data[[#This Row],[Order Status]] = "In Progress", "Backlog", "Complete")</f>
        <v>Backlog</v>
      </c>
      <c r="I461" t="s">
        <v>114</v>
      </c>
      <c r="J461" t="s">
        <v>1633</v>
      </c>
      <c r="K461" t="s">
        <v>61</v>
      </c>
      <c r="L461">
        <v>66</v>
      </c>
      <c r="M461">
        <v>13</v>
      </c>
      <c r="N461" t="s">
        <v>25</v>
      </c>
      <c r="O461" t="s">
        <v>50</v>
      </c>
      <c r="P461" t="s">
        <v>27</v>
      </c>
      <c r="Q461" t="s">
        <v>46</v>
      </c>
      <c r="R461" s="2">
        <v>0.38263888888888886</v>
      </c>
    </row>
    <row r="462" spans="1:18" x14ac:dyDescent="0.25">
      <c r="A462" t="s">
        <v>1694</v>
      </c>
      <c r="B462" t="s">
        <v>150</v>
      </c>
      <c r="C462" s="1">
        <v>45172</v>
      </c>
      <c r="D462" s="1" t="str">
        <f>TEXT(Delivery_data[[#This Row],[Order date]], "MMMM")</f>
        <v>September</v>
      </c>
      <c r="E462" s="1" t="str">
        <f>TEXT(Delivery_data[[#This Row],[Order date]], "DDDD")</f>
        <v>Sunday</v>
      </c>
      <c r="F462" s="2">
        <v>0.59027777777777779</v>
      </c>
      <c r="G462" t="s">
        <v>48</v>
      </c>
      <c r="H462" t="str">
        <f>IF(Delivery_data[[#This Row],[Order Status]] = "In Progress", "Backlog", "Complete")</f>
        <v>Backlog</v>
      </c>
      <c r="I462" t="s">
        <v>114</v>
      </c>
      <c r="J462" t="s">
        <v>1637</v>
      </c>
      <c r="K462" t="s">
        <v>37</v>
      </c>
      <c r="L462">
        <v>76</v>
      </c>
      <c r="M462">
        <v>4</v>
      </c>
      <c r="N462" t="s">
        <v>25</v>
      </c>
      <c r="O462" t="s">
        <v>54</v>
      </c>
      <c r="P462" t="s">
        <v>34</v>
      </c>
      <c r="Q462" t="s">
        <v>51</v>
      </c>
      <c r="R462" s="2">
        <v>0.63194444444444442</v>
      </c>
    </row>
    <row r="463" spans="1:18" x14ac:dyDescent="0.25">
      <c r="A463" t="s">
        <v>1696</v>
      </c>
      <c r="B463" t="s">
        <v>152</v>
      </c>
      <c r="C463" s="1">
        <v>45175</v>
      </c>
      <c r="D463" s="1" t="str">
        <f>TEXT(Delivery_data[[#This Row],[Order date]], "MMMM")</f>
        <v>September</v>
      </c>
      <c r="E463" s="1" t="str">
        <f>TEXT(Delivery_data[[#This Row],[Order date]], "DDDD")</f>
        <v>Wednesday</v>
      </c>
      <c r="F463" s="2">
        <v>0.5854166666666667</v>
      </c>
      <c r="G463" t="s">
        <v>22</v>
      </c>
      <c r="H463" t="str">
        <f>IF(Delivery_data[[#This Row],[Order Status]] = "In Progress", "Backlog", "Complete")</f>
        <v>Complete</v>
      </c>
      <c r="I463" t="s">
        <v>114</v>
      </c>
      <c r="J463" t="s">
        <v>1637</v>
      </c>
      <c r="K463" t="s">
        <v>61</v>
      </c>
      <c r="L463">
        <v>129</v>
      </c>
      <c r="M463">
        <v>2</v>
      </c>
      <c r="N463" t="s">
        <v>25</v>
      </c>
      <c r="O463" t="s">
        <v>26</v>
      </c>
      <c r="P463" t="s">
        <v>27</v>
      </c>
      <c r="Q463" t="s">
        <v>28</v>
      </c>
      <c r="R463" s="2">
        <v>0.41319444444444442</v>
      </c>
    </row>
    <row r="464" spans="1:18" x14ac:dyDescent="0.25">
      <c r="A464" t="s">
        <v>1716</v>
      </c>
      <c r="B464" t="s">
        <v>185</v>
      </c>
      <c r="C464" s="1">
        <v>45173</v>
      </c>
      <c r="D464" s="1" t="str">
        <f>TEXT(Delivery_data[[#This Row],[Order date]], "MMMM")</f>
        <v>September</v>
      </c>
      <c r="E464" s="1" t="str">
        <f>TEXT(Delivery_data[[#This Row],[Order date]], "DDDD")</f>
        <v>Monday</v>
      </c>
      <c r="F464" s="2">
        <v>0.35625000000000001</v>
      </c>
      <c r="G464" t="s">
        <v>48</v>
      </c>
      <c r="H464" t="str">
        <f>IF(Delivery_data[[#This Row],[Order Status]] = "In Progress", "Backlog", "Complete")</f>
        <v>Backlog</v>
      </c>
      <c r="I464" t="s">
        <v>114</v>
      </c>
      <c r="J464" t="s">
        <v>1637</v>
      </c>
      <c r="K464" t="s">
        <v>44</v>
      </c>
      <c r="L464">
        <v>179</v>
      </c>
      <c r="M464">
        <v>23</v>
      </c>
      <c r="N464" t="s">
        <v>25</v>
      </c>
      <c r="O464" t="s">
        <v>50</v>
      </c>
      <c r="P464" t="s">
        <v>27</v>
      </c>
      <c r="Q464" t="s">
        <v>46</v>
      </c>
      <c r="R464" s="2">
        <v>0.55694444444444446</v>
      </c>
    </row>
    <row r="465" spans="1:18" x14ac:dyDescent="0.25">
      <c r="A465" t="s">
        <v>1816</v>
      </c>
      <c r="B465" t="s">
        <v>314</v>
      </c>
      <c r="C465" s="1">
        <v>45173</v>
      </c>
      <c r="D465" s="1" t="str">
        <f>TEXT(Delivery_data[[#This Row],[Order date]], "MMMM")</f>
        <v>September</v>
      </c>
      <c r="E465" s="1" t="str">
        <f>TEXT(Delivery_data[[#This Row],[Order date]], "DDDD")</f>
        <v>Monday</v>
      </c>
      <c r="F465" s="2">
        <v>0.46666666666666667</v>
      </c>
      <c r="G465" t="s">
        <v>22</v>
      </c>
      <c r="H465" t="str">
        <f>IF(Delivery_data[[#This Row],[Order Status]] = "In Progress", "Backlog", "Complete")</f>
        <v>Complete</v>
      </c>
      <c r="I465" t="s">
        <v>114</v>
      </c>
      <c r="J465" t="s">
        <v>1631</v>
      </c>
      <c r="K465" t="s">
        <v>61</v>
      </c>
      <c r="L465">
        <v>171</v>
      </c>
      <c r="M465">
        <v>4</v>
      </c>
      <c r="N465" t="s">
        <v>32</v>
      </c>
      <c r="O465" t="s">
        <v>50</v>
      </c>
      <c r="P465" t="s">
        <v>34</v>
      </c>
      <c r="Q465" t="s">
        <v>46</v>
      </c>
      <c r="R465" s="2">
        <v>0.49722222222222223</v>
      </c>
    </row>
    <row r="466" spans="1:18" x14ac:dyDescent="0.25">
      <c r="A466" t="s">
        <v>1819</v>
      </c>
      <c r="B466" t="s">
        <v>318</v>
      </c>
      <c r="C466" s="1">
        <v>45170</v>
      </c>
      <c r="D466" s="1" t="str">
        <f>TEXT(Delivery_data[[#This Row],[Order date]], "MMMM")</f>
        <v>September</v>
      </c>
      <c r="E466" s="1" t="str">
        <f>TEXT(Delivery_data[[#This Row],[Order date]], "DDDD")</f>
        <v>Friday</v>
      </c>
      <c r="F466" s="2">
        <v>0.48194444444444445</v>
      </c>
      <c r="G466" t="s">
        <v>48</v>
      </c>
      <c r="H466" t="str">
        <f>IF(Delivery_data[[#This Row],[Order Status]] = "In Progress", "Backlog", "Complete")</f>
        <v>Backlog</v>
      </c>
      <c r="I466" t="s">
        <v>114</v>
      </c>
      <c r="J466" t="s">
        <v>1637</v>
      </c>
      <c r="K466" t="s">
        <v>61</v>
      </c>
      <c r="L466">
        <v>219</v>
      </c>
      <c r="M466">
        <v>25</v>
      </c>
      <c r="N466" t="s">
        <v>32</v>
      </c>
      <c r="O466" t="s">
        <v>33</v>
      </c>
      <c r="P466" t="s">
        <v>27</v>
      </c>
      <c r="Q466" t="s">
        <v>51</v>
      </c>
      <c r="R466" s="2">
        <v>0.46250000000000002</v>
      </c>
    </row>
    <row r="467" spans="1:18" x14ac:dyDescent="0.25">
      <c r="A467" t="s">
        <v>1895</v>
      </c>
      <c r="B467" t="s">
        <v>396</v>
      </c>
      <c r="C467" s="1">
        <v>45171</v>
      </c>
      <c r="D467" s="1" t="str">
        <f>TEXT(Delivery_data[[#This Row],[Order date]], "MMMM")</f>
        <v>September</v>
      </c>
      <c r="E467" s="1" t="str">
        <f>TEXT(Delivery_data[[#This Row],[Order date]], "DDDD")</f>
        <v>Saturday</v>
      </c>
      <c r="F467" s="2">
        <v>0.39027777777777778</v>
      </c>
      <c r="G467" t="s">
        <v>48</v>
      </c>
      <c r="H467" t="str">
        <f>IF(Delivery_data[[#This Row],[Order Status]] = "In Progress", "Backlog", "Complete")</f>
        <v>Backlog</v>
      </c>
      <c r="I467" t="s">
        <v>114</v>
      </c>
      <c r="J467" t="s">
        <v>1631</v>
      </c>
      <c r="K467" t="s">
        <v>61</v>
      </c>
      <c r="L467">
        <v>75</v>
      </c>
      <c r="M467">
        <v>15</v>
      </c>
      <c r="N467" t="s">
        <v>38</v>
      </c>
      <c r="O467" t="s">
        <v>26</v>
      </c>
      <c r="P467" t="s">
        <v>45</v>
      </c>
      <c r="Q467" t="s">
        <v>51</v>
      </c>
      <c r="R467" s="2">
        <v>0.55347222222222225</v>
      </c>
    </row>
    <row r="468" spans="1:18" x14ac:dyDescent="0.25">
      <c r="A468" t="s">
        <v>2125</v>
      </c>
      <c r="B468" t="s">
        <v>629</v>
      </c>
      <c r="C468" s="1">
        <v>45174</v>
      </c>
      <c r="D468" s="1" t="str">
        <f>TEXT(Delivery_data[[#This Row],[Order date]], "MMMM")</f>
        <v>September</v>
      </c>
      <c r="E468" s="1" t="str">
        <f>TEXT(Delivery_data[[#This Row],[Order date]], "DDDD")</f>
        <v>Tuesday</v>
      </c>
      <c r="F468" s="2">
        <v>0.68888888888888888</v>
      </c>
      <c r="G468" t="s">
        <v>22</v>
      </c>
      <c r="H468" t="str">
        <f>IF(Delivery_data[[#This Row],[Order Status]] = "In Progress", "Backlog", "Complete")</f>
        <v>Complete</v>
      </c>
      <c r="I468" t="s">
        <v>114</v>
      </c>
      <c r="J468" t="s">
        <v>1631</v>
      </c>
      <c r="K468" t="s">
        <v>44</v>
      </c>
      <c r="L468">
        <v>218</v>
      </c>
      <c r="M468">
        <v>4</v>
      </c>
      <c r="N468" t="s">
        <v>32</v>
      </c>
      <c r="O468" t="s">
        <v>41</v>
      </c>
      <c r="P468" t="s">
        <v>34</v>
      </c>
      <c r="Q468" t="s">
        <v>46</v>
      </c>
      <c r="R468" s="2">
        <v>0.4909722222222222</v>
      </c>
    </row>
    <row r="469" spans="1:18" x14ac:dyDescent="0.25">
      <c r="A469" t="s">
        <v>2272</v>
      </c>
      <c r="B469" t="s">
        <v>772</v>
      </c>
      <c r="C469" s="1">
        <v>45174</v>
      </c>
      <c r="D469" s="1" t="str">
        <f>TEXT(Delivery_data[[#This Row],[Order date]], "MMMM")</f>
        <v>September</v>
      </c>
      <c r="E469" s="1" t="str">
        <f>TEXT(Delivery_data[[#This Row],[Order date]], "DDDD")</f>
        <v>Tuesday</v>
      </c>
      <c r="F469" s="2">
        <v>0.62361111111111112</v>
      </c>
      <c r="G469" t="s">
        <v>48</v>
      </c>
      <c r="H469" t="str">
        <f>IF(Delivery_data[[#This Row],[Order Status]] = "In Progress", "Backlog", "Complete")</f>
        <v>Backlog</v>
      </c>
      <c r="I469" t="s">
        <v>114</v>
      </c>
      <c r="J469" t="s">
        <v>1633</v>
      </c>
      <c r="K469" t="s">
        <v>61</v>
      </c>
      <c r="L469">
        <v>213</v>
      </c>
      <c r="M469">
        <v>21</v>
      </c>
      <c r="N469" t="s">
        <v>32</v>
      </c>
      <c r="O469" t="s">
        <v>33</v>
      </c>
      <c r="P469" t="s">
        <v>45</v>
      </c>
      <c r="Q469" t="s">
        <v>46</v>
      </c>
      <c r="R469" s="2">
        <v>0.67847222222222225</v>
      </c>
    </row>
    <row r="470" spans="1:18" x14ac:dyDescent="0.25">
      <c r="A470" t="s">
        <v>2303</v>
      </c>
      <c r="B470" t="s">
        <v>801</v>
      </c>
      <c r="C470" s="1">
        <v>45174</v>
      </c>
      <c r="D470" s="1" t="str">
        <f>TEXT(Delivery_data[[#This Row],[Order date]], "MMMM")</f>
        <v>September</v>
      </c>
      <c r="E470" s="1" t="str">
        <f>TEXT(Delivery_data[[#This Row],[Order date]], "DDDD")</f>
        <v>Tuesday</v>
      </c>
      <c r="F470" s="2">
        <v>0.57708333333333328</v>
      </c>
      <c r="G470" t="s">
        <v>22</v>
      </c>
      <c r="H470" t="str">
        <f>IF(Delivery_data[[#This Row],[Order Status]] = "In Progress", "Backlog", "Complete")</f>
        <v>Complete</v>
      </c>
      <c r="I470" t="s">
        <v>114</v>
      </c>
      <c r="J470" t="s">
        <v>1633</v>
      </c>
      <c r="K470" t="s">
        <v>24</v>
      </c>
      <c r="L470">
        <v>230</v>
      </c>
      <c r="M470">
        <v>24</v>
      </c>
      <c r="N470" t="s">
        <v>25</v>
      </c>
      <c r="O470" t="s">
        <v>33</v>
      </c>
      <c r="P470" t="s">
        <v>27</v>
      </c>
      <c r="Q470" t="s">
        <v>28</v>
      </c>
      <c r="R470" s="2">
        <v>0.72222222222222221</v>
      </c>
    </row>
    <row r="471" spans="1:18" x14ac:dyDescent="0.25">
      <c r="A471" t="s">
        <v>2314</v>
      </c>
      <c r="B471" t="s">
        <v>812</v>
      </c>
      <c r="C471" s="1">
        <v>45170</v>
      </c>
      <c r="D471" s="1" t="str">
        <f>TEXT(Delivery_data[[#This Row],[Order date]], "MMMM")</f>
        <v>September</v>
      </c>
      <c r="E471" s="1" t="str">
        <f>TEXT(Delivery_data[[#This Row],[Order date]], "DDDD")</f>
        <v>Friday</v>
      </c>
      <c r="F471" s="2">
        <v>0.53402777777777777</v>
      </c>
      <c r="G471" t="s">
        <v>48</v>
      </c>
      <c r="H471" t="str">
        <f>IF(Delivery_data[[#This Row],[Order Status]] = "In Progress", "Backlog", "Complete")</f>
        <v>Backlog</v>
      </c>
      <c r="I471" t="s">
        <v>114</v>
      </c>
      <c r="J471" t="s">
        <v>1637</v>
      </c>
      <c r="K471" t="s">
        <v>37</v>
      </c>
      <c r="L471">
        <v>197</v>
      </c>
      <c r="M471">
        <v>3</v>
      </c>
      <c r="N471" t="s">
        <v>38</v>
      </c>
      <c r="O471" t="s">
        <v>26</v>
      </c>
      <c r="P471" t="s">
        <v>45</v>
      </c>
      <c r="Q471" t="s">
        <v>51</v>
      </c>
      <c r="R471" s="2">
        <v>0.61458333333333337</v>
      </c>
    </row>
    <row r="472" spans="1:18" x14ac:dyDescent="0.25">
      <c r="A472" t="s">
        <v>2378</v>
      </c>
      <c r="B472" t="s">
        <v>875</v>
      </c>
      <c r="C472" s="1">
        <v>45171</v>
      </c>
      <c r="D472" s="1" t="str">
        <f>TEXT(Delivery_data[[#This Row],[Order date]], "MMMM")</f>
        <v>September</v>
      </c>
      <c r="E472" s="1" t="str">
        <f>TEXT(Delivery_data[[#This Row],[Order date]], "DDDD")</f>
        <v>Saturday</v>
      </c>
      <c r="F472" s="2">
        <v>0.39374999999999999</v>
      </c>
      <c r="G472" t="s">
        <v>22</v>
      </c>
      <c r="H472" t="str">
        <f>IF(Delivery_data[[#This Row],[Order Status]] = "In Progress", "Backlog", "Complete")</f>
        <v>Complete</v>
      </c>
      <c r="I472" t="s">
        <v>114</v>
      </c>
      <c r="J472" t="s">
        <v>1637</v>
      </c>
      <c r="K472" t="s">
        <v>31</v>
      </c>
      <c r="L472">
        <v>233</v>
      </c>
      <c r="M472">
        <v>10</v>
      </c>
      <c r="N472" t="s">
        <v>38</v>
      </c>
      <c r="O472" t="s">
        <v>50</v>
      </c>
      <c r="P472" t="s">
        <v>34</v>
      </c>
      <c r="Q472" t="s">
        <v>28</v>
      </c>
      <c r="R472" s="2">
        <v>0.63263888888888886</v>
      </c>
    </row>
    <row r="473" spans="1:18" x14ac:dyDescent="0.25">
      <c r="A473" t="s">
        <v>2430</v>
      </c>
      <c r="B473" t="s">
        <v>923</v>
      </c>
      <c r="C473" s="1">
        <v>45177</v>
      </c>
      <c r="D473" s="1" t="str">
        <f>TEXT(Delivery_data[[#This Row],[Order date]], "MMMM")</f>
        <v>September</v>
      </c>
      <c r="E473" s="1" t="str">
        <f>TEXT(Delivery_data[[#This Row],[Order date]], "DDDD")</f>
        <v>Friday</v>
      </c>
      <c r="F473" s="2">
        <v>0.39305555555555555</v>
      </c>
      <c r="G473" t="s">
        <v>48</v>
      </c>
      <c r="H473" t="str">
        <f>IF(Delivery_data[[#This Row],[Order Status]] = "In Progress", "Backlog", "Complete")</f>
        <v>Backlog</v>
      </c>
      <c r="I473" t="s">
        <v>114</v>
      </c>
      <c r="J473" t="s">
        <v>1633</v>
      </c>
      <c r="K473" t="s">
        <v>44</v>
      </c>
      <c r="L473">
        <v>201</v>
      </c>
      <c r="M473">
        <v>10</v>
      </c>
      <c r="N473" t="s">
        <v>38</v>
      </c>
      <c r="O473" t="s">
        <v>33</v>
      </c>
      <c r="P473" t="s">
        <v>45</v>
      </c>
      <c r="Q473" t="s">
        <v>28</v>
      </c>
      <c r="R473" s="2">
        <v>0.57847222222222228</v>
      </c>
    </row>
    <row r="474" spans="1:18" x14ac:dyDescent="0.25">
      <c r="A474" t="s">
        <v>2460</v>
      </c>
      <c r="B474" t="s">
        <v>952</v>
      </c>
      <c r="C474" s="1">
        <v>45172</v>
      </c>
      <c r="D474" s="1" t="str">
        <f>TEXT(Delivery_data[[#This Row],[Order date]], "MMMM")</f>
        <v>September</v>
      </c>
      <c r="E474" s="1" t="str">
        <f>TEXT(Delivery_data[[#This Row],[Order date]], "DDDD")</f>
        <v>Sunday</v>
      </c>
      <c r="F474" s="2">
        <v>0.49722222222222223</v>
      </c>
      <c r="G474" t="s">
        <v>22</v>
      </c>
      <c r="H474" t="str">
        <f>IF(Delivery_data[[#This Row],[Order Status]] = "In Progress", "Backlog", "Complete")</f>
        <v>Complete</v>
      </c>
      <c r="I474" t="s">
        <v>114</v>
      </c>
      <c r="J474" t="s">
        <v>1633</v>
      </c>
      <c r="K474" t="s">
        <v>37</v>
      </c>
      <c r="L474">
        <v>68</v>
      </c>
      <c r="M474">
        <v>4</v>
      </c>
      <c r="N474" t="s">
        <v>38</v>
      </c>
      <c r="O474" t="s">
        <v>54</v>
      </c>
      <c r="P474" t="s">
        <v>45</v>
      </c>
      <c r="Q474" t="s">
        <v>28</v>
      </c>
      <c r="R474" s="2">
        <v>0.56319444444444444</v>
      </c>
    </row>
    <row r="475" spans="1:18" x14ac:dyDescent="0.25">
      <c r="A475" t="s">
        <v>2475</v>
      </c>
      <c r="B475" t="s">
        <v>966</v>
      </c>
      <c r="C475" s="1">
        <v>45174</v>
      </c>
      <c r="D475" s="1" t="str">
        <f>TEXT(Delivery_data[[#This Row],[Order date]], "MMMM")</f>
        <v>September</v>
      </c>
      <c r="E475" s="1" t="str">
        <f>TEXT(Delivery_data[[#This Row],[Order date]], "DDDD")</f>
        <v>Tuesday</v>
      </c>
      <c r="F475" s="2">
        <v>0.66249999999999998</v>
      </c>
      <c r="G475" t="s">
        <v>22</v>
      </c>
      <c r="H475" t="str">
        <f>IF(Delivery_data[[#This Row],[Order Status]] = "In Progress", "Backlog", "Complete")</f>
        <v>Complete</v>
      </c>
      <c r="I475" t="s">
        <v>114</v>
      </c>
      <c r="J475" t="s">
        <v>1631</v>
      </c>
      <c r="K475" t="s">
        <v>24</v>
      </c>
      <c r="L475">
        <v>131</v>
      </c>
      <c r="M475">
        <v>22</v>
      </c>
      <c r="N475" t="s">
        <v>32</v>
      </c>
      <c r="O475" t="s">
        <v>54</v>
      </c>
      <c r="P475" t="s">
        <v>34</v>
      </c>
      <c r="Q475" t="s">
        <v>51</v>
      </c>
      <c r="R475" s="2">
        <v>0.59791666666666665</v>
      </c>
    </row>
    <row r="476" spans="1:18" x14ac:dyDescent="0.25">
      <c r="A476" t="s">
        <v>2507</v>
      </c>
      <c r="B476" t="s">
        <v>996</v>
      </c>
      <c r="C476" s="1">
        <v>45174</v>
      </c>
      <c r="D476" s="1" t="str">
        <f>TEXT(Delivery_data[[#This Row],[Order date]], "MMMM")</f>
        <v>September</v>
      </c>
      <c r="E476" s="1" t="str">
        <f>TEXT(Delivery_data[[#This Row],[Order date]], "DDDD")</f>
        <v>Tuesday</v>
      </c>
      <c r="F476" s="2">
        <v>0.57777777777777772</v>
      </c>
      <c r="G476" t="s">
        <v>48</v>
      </c>
      <c r="H476" t="str">
        <f>IF(Delivery_data[[#This Row],[Order Status]] = "In Progress", "Backlog", "Complete")</f>
        <v>Backlog</v>
      </c>
      <c r="I476" t="s">
        <v>114</v>
      </c>
      <c r="J476" t="s">
        <v>1637</v>
      </c>
      <c r="K476" t="s">
        <v>31</v>
      </c>
      <c r="L476">
        <v>188</v>
      </c>
      <c r="M476">
        <v>8</v>
      </c>
      <c r="N476" t="s">
        <v>32</v>
      </c>
      <c r="O476" t="s">
        <v>41</v>
      </c>
      <c r="P476" t="s">
        <v>27</v>
      </c>
      <c r="Q476" t="s">
        <v>51</v>
      </c>
      <c r="R476" s="2">
        <v>0.50486111111111109</v>
      </c>
    </row>
    <row r="477" spans="1:18" x14ac:dyDescent="0.25">
      <c r="A477" t="s">
        <v>2651</v>
      </c>
      <c r="B477" t="s">
        <v>1134</v>
      </c>
      <c r="C477" s="1">
        <v>45175</v>
      </c>
      <c r="D477" s="1" t="str">
        <f>TEXT(Delivery_data[[#This Row],[Order date]], "MMMM")</f>
        <v>September</v>
      </c>
      <c r="E477" s="1" t="str">
        <f>TEXT(Delivery_data[[#This Row],[Order date]], "DDDD")</f>
        <v>Wednesday</v>
      </c>
      <c r="F477" s="2">
        <v>0.36388888888888887</v>
      </c>
      <c r="G477" t="s">
        <v>22</v>
      </c>
      <c r="H477" t="str">
        <f>IF(Delivery_data[[#This Row],[Order Status]] = "In Progress", "Backlog", "Complete")</f>
        <v>Complete</v>
      </c>
      <c r="I477" t="s">
        <v>114</v>
      </c>
      <c r="J477" t="s">
        <v>1637</v>
      </c>
      <c r="K477" t="s">
        <v>37</v>
      </c>
      <c r="L477">
        <v>84</v>
      </c>
      <c r="M477">
        <v>13</v>
      </c>
      <c r="N477" t="s">
        <v>38</v>
      </c>
      <c r="O477" t="s">
        <v>50</v>
      </c>
      <c r="P477" t="s">
        <v>45</v>
      </c>
      <c r="Q477" t="s">
        <v>28</v>
      </c>
      <c r="R477" s="2">
        <v>0.53125</v>
      </c>
    </row>
    <row r="478" spans="1:18" x14ac:dyDescent="0.25">
      <c r="A478" t="s">
        <v>2745</v>
      </c>
      <c r="B478" t="s">
        <v>1225</v>
      </c>
      <c r="C478" s="1">
        <v>45175</v>
      </c>
      <c r="D478" s="1" t="str">
        <f>TEXT(Delivery_data[[#This Row],[Order date]], "MMMM")</f>
        <v>September</v>
      </c>
      <c r="E478" s="1" t="str">
        <f>TEXT(Delivery_data[[#This Row],[Order date]], "DDDD")</f>
        <v>Wednesday</v>
      </c>
      <c r="F478" s="2">
        <v>0.4284722222222222</v>
      </c>
      <c r="G478" t="s">
        <v>48</v>
      </c>
      <c r="H478" t="str">
        <f>IF(Delivery_data[[#This Row],[Order Status]] = "In Progress", "Backlog", "Complete")</f>
        <v>Backlog</v>
      </c>
      <c r="I478" t="s">
        <v>114</v>
      </c>
      <c r="J478" t="s">
        <v>1631</v>
      </c>
      <c r="K478" t="s">
        <v>61</v>
      </c>
      <c r="L478">
        <v>110</v>
      </c>
      <c r="M478">
        <v>14</v>
      </c>
      <c r="N478" t="s">
        <v>32</v>
      </c>
      <c r="O478" t="s">
        <v>54</v>
      </c>
      <c r="P478" t="s">
        <v>27</v>
      </c>
      <c r="Q478" t="s">
        <v>51</v>
      </c>
      <c r="R478" s="2">
        <v>0.70138888888888884</v>
      </c>
    </row>
    <row r="479" spans="1:18" x14ac:dyDescent="0.25">
      <c r="A479" t="s">
        <v>2863</v>
      </c>
      <c r="B479" t="s">
        <v>1337</v>
      </c>
      <c r="C479" s="1">
        <v>45177</v>
      </c>
      <c r="D479" s="1" t="str">
        <f>TEXT(Delivery_data[[#This Row],[Order date]], "MMMM")</f>
        <v>September</v>
      </c>
      <c r="E479" s="1" t="str">
        <f>TEXT(Delivery_data[[#This Row],[Order date]], "DDDD")</f>
        <v>Friday</v>
      </c>
      <c r="F479" s="2">
        <v>0.53194444444444444</v>
      </c>
      <c r="G479" t="s">
        <v>48</v>
      </c>
      <c r="H479" t="str">
        <f>IF(Delivery_data[[#This Row],[Order Status]] = "In Progress", "Backlog", "Complete")</f>
        <v>Backlog</v>
      </c>
      <c r="I479" t="s">
        <v>114</v>
      </c>
      <c r="J479" t="s">
        <v>1637</v>
      </c>
      <c r="K479" t="s">
        <v>24</v>
      </c>
      <c r="L479">
        <v>75</v>
      </c>
      <c r="M479">
        <v>24</v>
      </c>
      <c r="N479" t="s">
        <v>25</v>
      </c>
      <c r="O479" t="s">
        <v>54</v>
      </c>
      <c r="P479" t="s">
        <v>27</v>
      </c>
      <c r="Q479" t="s">
        <v>28</v>
      </c>
      <c r="R479" s="2">
        <v>0.38124999999999998</v>
      </c>
    </row>
    <row r="480" spans="1:18" x14ac:dyDescent="0.25">
      <c r="A480" t="s">
        <v>2904</v>
      </c>
      <c r="B480" t="s">
        <v>1377</v>
      </c>
      <c r="C480" s="1">
        <v>45171</v>
      </c>
      <c r="D480" s="1" t="str">
        <f>TEXT(Delivery_data[[#This Row],[Order date]], "MMMM")</f>
        <v>September</v>
      </c>
      <c r="E480" s="1" t="str">
        <f>TEXT(Delivery_data[[#This Row],[Order date]], "DDDD")</f>
        <v>Saturday</v>
      </c>
      <c r="F480" s="2">
        <v>0.64166666666666672</v>
      </c>
      <c r="G480" t="s">
        <v>48</v>
      </c>
      <c r="H480" t="str">
        <f>IF(Delivery_data[[#This Row],[Order Status]] = "In Progress", "Backlog", "Complete")</f>
        <v>Backlog</v>
      </c>
      <c r="I480" t="s">
        <v>114</v>
      </c>
      <c r="J480" t="s">
        <v>1633</v>
      </c>
      <c r="K480" t="s">
        <v>24</v>
      </c>
      <c r="L480">
        <v>238</v>
      </c>
      <c r="M480">
        <v>21</v>
      </c>
      <c r="N480" t="s">
        <v>38</v>
      </c>
      <c r="O480" t="s">
        <v>33</v>
      </c>
      <c r="P480" t="s">
        <v>27</v>
      </c>
      <c r="Q480" t="s">
        <v>28</v>
      </c>
      <c r="R480" s="2">
        <v>0.41875000000000001</v>
      </c>
    </row>
    <row r="481" spans="1:18" x14ac:dyDescent="0.25">
      <c r="A481" t="s">
        <v>2969</v>
      </c>
      <c r="B481" t="s">
        <v>1442</v>
      </c>
      <c r="C481" s="1">
        <v>45177</v>
      </c>
      <c r="D481" s="1" t="str">
        <f>TEXT(Delivery_data[[#This Row],[Order date]], "MMMM")</f>
        <v>September</v>
      </c>
      <c r="E481" s="1" t="str">
        <f>TEXT(Delivery_data[[#This Row],[Order date]], "DDDD")</f>
        <v>Friday</v>
      </c>
      <c r="F481" s="2">
        <v>0.7</v>
      </c>
      <c r="G481" t="s">
        <v>22</v>
      </c>
      <c r="H481" t="str">
        <f>IF(Delivery_data[[#This Row],[Order Status]] = "In Progress", "Backlog", "Complete")</f>
        <v>Complete</v>
      </c>
      <c r="I481" t="s">
        <v>114</v>
      </c>
      <c r="J481" t="s">
        <v>1631</v>
      </c>
      <c r="K481" t="s">
        <v>61</v>
      </c>
      <c r="L481">
        <v>78</v>
      </c>
      <c r="M481">
        <v>23</v>
      </c>
      <c r="N481" t="s">
        <v>25</v>
      </c>
      <c r="O481" t="s">
        <v>33</v>
      </c>
      <c r="P481" t="s">
        <v>45</v>
      </c>
      <c r="Q481" t="s">
        <v>28</v>
      </c>
      <c r="R481" s="2">
        <v>0.38611111111111113</v>
      </c>
    </row>
    <row r="482" spans="1:18" x14ac:dyDescent="0.25">
      <c r="A482" t="s">
        <v>3005</v>
      </c>
      <c r="B482" t="s">
        <v>1476</v>
      </c>
      <c r="C482" s="1">
        <v>45172</v>
      </c>
      <c r="D482" s="1" t="str">
        <f>TEXT(Delivery_data[[#This Row],[Order date]], "MMMM")</f>
        <v>September</v>
      </c>
      <c r="E482" s="1" t="str">
        <f>TEXT(Delivery_data[[#This Row],[Order date]], "DDDD")</f>
        <v>Sunday</v>
      </c>
      <c r="F482" s="2">
        <v>0.64652777777777781</v>
      </c>
      <c r="G482" t="s">
        <v>48</v>
      </c>
      <c r="H482" t="str">
        <f>IF(Delivery_data[[#This Row],[Order Status]] = "In Progress", "Backlog", "Complete")</f>
        <v>Backlog</v>
      </c>
      <c r="I482" t="s">
        <v>114</v>
      </c>
      <c r="J482" t="s">
        <v>1633</v>
      </c>
      <c r="K482" t="s">
        <v>61</v>
      </c>
      <c r="L482">
        <v>207</v>
      </c>
      <c r="M482">
        <v>22</v>
      </c>
      <c r="N482" t="s">
        <v>25</v>
      </c>
      <c r="O482" t="s">
        <v>41</v>
      </c>
      <c r="P482" t="s">
        <v>45</v>
      </c>
      <c r="Q482" t="s">
        <v>28</v>
      </c>
      <c r="R482" s="2">
        <v>0.55625000000000002</v>
      </c>
    </row>
    <row r="483" spans="1:18" x14ac:dyDescent="0.25">
      <c r="A483" t="s">
        <v>3047</v>
      </c>
      <c r="B483" t="s">
        <v>1517</v>
      </c>
      <c r="C483" s="1">
        <v>45171</v>
      </c>
      <c r="D483" s="1" t="str">
        <f>TEXT(Delivery_data[[#This Row],[Order date]], "MMMM")</f>
        <v>September</v>
      </c>
      <c r="E483" s="1" t="str">
        <f>TEXT(Delivery_data[[#This Row],[Order date]], "DDDD")</f>
        <v>Saturday</v>
      </c>
      <c r="F483" s="2">
        <v>0.3972222222222222</v>
      </c>
      <c r="G483" t="s">
        <v>48</v>
      </c>
      <c r="H483" t="str">
        <f>IF(Delivery_data[[#This Row],[Order Status]] = "In Progress", "Backlog", "Complete")</f>
        <v>Backlog</v>
      </c>
      <c r="I483" t="s">
        <v>114</v>
      </c>
      <c r="J483" t="s">
        <v>1631</v>
      </c>
      <c r="K483" t="s">
        <v>31</v>
      </c>
      <c r="L483">
        <v>198</v>
      </c>
      <c r="M483">
        <v>20</v>
      </c>
      <c r="N483" t="s">
        <v>25</v>
      </c>
      <c r="O483" t="s">
        <v>41</v>
      </c>
      <c r="P483" t="s">
        <v>27</v>
      </c>
      <c r="Q483" t="s">
        <v>46</v>
      </c>
      <c r="R483" s="2">
        <v>0.55555555555555558</v>
      </c>
    </row>
    <row r="484" spans="1:18" x14ac:dyDescent="0.25">
      <c r="A484" t="s">
        <v>3085</v>
      </c>
      <c r="B484" t="s">
        <v>1551</v>
      </c>
      <c r="C484" s="1">
        <v>45171</v>
      </c>
      <c r="D484" s="1" t="str">
        <f>TEXT(Delivery_data[[#This Row],[Order date]], "MMMM")</f>
        <v>September</v>
      </c>
      <c r="E484" s="1" t="str">
        <f>TEXT(Delivery_data[[#This Row],[Order date]], "DDDD")</f>
        <v>Saturday</v>
      </c>
      <c r="F484" s="2">
        <v>0.62083333333333335</v>
      </c>
      <c r="G484" t="s">
        <v>48</v>
      </c>
      <c r="H484" t="str">
        <f>IF(Delivery_data[[#This Row],[Order Status]] = "In Progress", "Backlog", "Complete")</f>
        <v>Backlog</v>
      </c>
      <c r="I484" t="s">
        <v>114</v>
      </c>
      <c r="J484" t="s">
        <v>1637</v>
      </c>
      <c r="K484" t="s">
        <v>24</v>
      </c>
      <c r="L484">
        <v>77</v>
      </c>
      <c r="M484">
        <v>12</v>
      </c>
      <c r="N484" t="s">
        <v>38</v>
      </c>
      <c r="O484" t="s">
        <v>41</v>
      </c>
      <c r="P484" t="s">
        <v>34</v>
      </c>
      <c r="Q484" t="s">
        <v>28</v>
      </c>
      <c r="R484" s="2">
        <v>0.66180555555555554</v>
      </c>
    </row>
    <row r="485" spans="1:18" x14ac:dyDescent="0.25">
      <c r="A485" t="s">
        <v>1698</v>
      </c>
      <c r="B485" t="s">
        <v>155</v>
      </c>
      <c r="C485" s="1">
        <v>45174</v>
      </c>
      <c r="D485" s="1" t="str">
        <f>TEXT(Delivery_data[[#This Row],[Order date]], "MMMM")</f>
        <v>September</v>
      </c>
      <c r="E485" s="1" t="str">
        <f>TEXT(Delivery_data[[#This Row],[Order date]], "DDDD")</f>
        <v>Tuesday</v>
      </c>
      <c r="F485" s="2">
        <v>0.68611111111111112</v>
      </c>
      <c r="G485" t="s">
        <v>48</v>
      </c>
      <c r="H485" t="str">
        <f>IF(Delivery_data[[#This Row],[Order Status]] = "In Progress", "Backlog", "Complete")</f>
        <v>Backlog</v>
      </c>
      <c r="I485" t="s">
        <v>156</v>
      </c>
      <c r="J485" t="s">
        <v>1637</v>
      </c>
      <c r="K485" t="s">
        <v>61</v>
      </c>
      <c r="L485">
        <v>203</v>
      </c>
      <c r="M485">
        <v>20</v>
      </c>
      <c r="N485" t="s">
        <v>32</v>
      </c>
      <c r="O485" t="s">
        <v>50</v>
      </c>
      <c r="P485" t="s">
        <v>27</v>
      </c>
      <c r="Q485" t="s">
        <v>28</v>
      </c>
      <c r="R485" s="2">
        <v>0.3840277777777778</v>
      </c>
    </row>
    <row r="486" spans="1:18" x14ac:dyDescent="0.25">
      <c r="A486" t="s">
        <v>1735</v>
      </c>
      <c r="B486" t="s">
        <v>212</v>
      </c>
      <c r="C486" s="1">
        <v>45172</v>
      </c>
      <c r="D486" s="1" t="str">
        <f>TEXT(Delivery_data[[#This Row],[Order date]], "MMMM")</f>
        <v>September</v>
      </c>
      <c r="E486" s="1" t="str">
        <f>TEXT(Delivery_data[[#This Row],[Order date]], "DDDD")</f>
        <v>Sunday</v>
      </c>
      <c r="F486" s="2">
        <v>0.52152777777777781</v>
      </c>
      <c r="G486" t="s">
        <v>22</v>
      </c>
      <c r="H486" t="str">
        <f>IF(Delivery_data[[#This Row],[Order Status]] = "In Progress", "Backlog", "Complete")</f>
        <v>Complete</v>
      </c>
      <c r="I486" t="s">
        <v>156</v>
      </c>
      <c r="J486" t="s">
        <v>1637</v>
      </c>
      <c r="K486" t="s">
        <v>31</v>
      </c>
      <c r="L486">
        <v>173</v>
      </c>
      <c r="M486">
        <v>4</v>
      </c>
      <c r="N486" t="s">
        <v>38</v>
      </c>
      <c r="O486" t="s">
        <v>26</v>
      </c>
      <c r="P486" t="s">
        <v>45</v>
      </c>
      <c r="Q486" t="s">
        <v>28</v>
      </c>
      <c r="R486" s="2">
        <v>0.60347222222222219</v>
      </c>
    </row>
    <row r="487" spans="1:18" x14ac:dyDescent="0.25">
      <c r="A487" t="s">
        <v>1751</v>
      </c>
      <c r="B487" t="s">
        <v>231</v>
      </c>
      <c r="C487" s="1">
        <v>45177</v>
      </c>
      <c r="D487" s="1" t="str">
        <f>TEXT(Delivery_data[[#This Row],[Order date]], "MMMM")</f>
        <v>September</v>
      </c>
      <c r="E487" s="1" t="str">
        <f>TEXT(Delivery_data[[#This Row],[Order date]], "DDDD")</f>
        <v>Friday</v>
      </c>
      <c r="F487" s="2">
        <v>0.41944444444444445</v>
      </c>
      <c r="G487" t="s">
        <v>22</v>
      </c>
      <c r="H487" t="str">
        <f>IF(Delivery_data[[#This Row],[Order Status]] = "In Progress", "Backlog", "Complete")</f>
        <v>Complete</v>
      </c>
      <c r="I487" t="s">
        <v>156</v>
      </c>
      <c r="J487" t="s">
        <v>1633</v>
      </c>
      <c r="K487" t="s">
        <v>37</v>
      </c>
      <c r="L487">
        <v>149</v>
      </c>
      <c r="M487">
        <v>17</v>
      </c>
      <c r="N487" t="s">
        <v>38</v>
      </c>
      <c r="O487" t="s">
        <v>41</v>
      </c>
      <c r="P487" t="s">
        <v>34</v>
      </c>
      <c r="Q487" t="s">
        <v>46</v>
      </c>
      <c r="R487" s="2">
        <v>0.49444444444444446</v>
      </c>
    </row>
    <row r="488" spans="1:18" x14ac:dyDescent="0.25">
      <c r="A488" t="s">
        <v>1762</v>
      </c>
      <c r="B488" t="s">
        <v>246</v>
      </c>
      <c r="C488" s="1">
        <v>45173</v>
      </c>
      <c r="D488" s="1" t="str">
        <f>TEXT(Delivery_data[[#This Row],[Order date]], "MMMM")</f>
        <v>September</v>
      </c>
      <c r="E488" s="1" t="str">
        <f>TEXT(Delivery_data[[#This Row],[Order date]], "DDDD")</f>
        <v>Monday</v>
      </c>
      <c r="F488" s="2">
        <v>0.49305555555555558</v>
      </c>
      <c r="G488" t="s">
        <v>22</v>
      </c>
      <c r="H488" t="str">
        <f>IF(Delivery_data[[#This Row],[Order Status]] = "In Progress", "Backlog", "Complete")</f>
        <v>Complete</v>
      </c>
      <c r="I488" t="s">
        <v>156</v>
      </c>
      <c r="J488" t="s">
        <v>1637</v>
      </c>
      <c r="K488" t="s">
        <v>31</v>
      </c>
      <c r="L488">
        <v>93</v>
      </c>
      <c r="M488">
        <v>20</v>
      </c>
      <c r="N488" t="s">
        <v>38</v>
      </c>
      <c r="O488" t="s">
        <v>54</v>
      </c>
      <c r="P488" t="s">
        <v>27</v>
      </c>
      <c r="Q488" t="s">
        <v>46</v>
      </c>
      <c r="R488" s="2">
        <v>0.70277777777777772</v>
      </c>
    </row>
    <row r="489" spans="1:18" x14ac:dyDescent="0.25">
      <c r="A489" t="s">
        <v>1834</v>
      </c>
      <c r="B489" t="s">
        <v>332</v>
      </c>
      <c r="C489" s="1">
        <v>45171</v>
      </c>
      <c r="D489" s="1" t="str">
        <f>TEXT(Delivery_data[[#This Row],[Order date]], "MMMM")</f>
        <v>September</v>
      </c>
      <c r="E489" s="1" t="str">
        <f>TEXT(Delivery_data[[#This Row],[Order date]], "DDDD")</f>
        <v>Saturday</v>
      </c>
      <c r="F489" s="2">
        <v>0.36736111111111114</v>
      </c>
      <c r="G489" t="s">
        <v>48</v>
      </c>
      <c r="H489" t="str">
        <f>IF(Delivery_data[[#This Row],[Order Status]] = "In Progress", "Backlog", "Complete")</f>
        <v>Backlog</v>
      </c>
      <c r="I489" t="s">
        <v>156</v>
      </c>
      <c r="J489" t="s">
        <v>1631</v>
      </c>
      <c r="K489" t="s">
        <v>37</v>
      </c>
      <c r="L489">
        <v>63</v>
      </c>
      <c r="M489">
        <v>0</v>
      </c>
      <c r="N489" t="s">
        <v>32</v>
      </c>
      <c r="O489" t="s">
        <v>50</v>
      </c>
      <c r="P489" t="s">
        <v>27</v>
      </c>
      <c r="Q489" t="s">
        <v>51</v>
      </c>
      <c r="R489" s="2">
        <v>0.44305555555555554</v>
      </c>
    </row>
    <row r="490" spans="1:18" x14ac:dyDescent="0.25">
      <c r="A490" t="s">
        <v>1846</v>
      </c>
      <c r="B490" t="s">
        <v>345</v>
      </c>
      <c r="C490" s="1">
        <v>45172</v>
      </c>
      <c r="D490" s="1" t="str">
        <f>TEXT(Delivery_data[[#This Row],[Order date]], "MMMM")</f>
        <v>September</v>
      </c>
      <c r="E490" s="1" t="str">
        <f>TEXT(Delivery_data[[#This Row],[Order date]], "DDDD")</f>
        <v>Sunday</v>
      </c>
      <c r="F490" s="2">
        <v>0.50208333333333333</v>
      </c>
      <c r="G490" t="s">
        <v>22</v>
      </c>
      <c r="H490" t="str">
        <f>IF(Delivery_data[[#This Row],[Order Status]] = "In Progress", "Backlog", "Complete")</f>
        <v>Complete</v>
      </c>
      <c r="I490" t="s">
        <v>156</v>
      </c>
      <c r="J490" t="s">
        <v>1637</v>
      </c>
      <c r="K490" t="s">
        <v>24</v>
      </c>
      <c r="L490">
        <v>168</v>
      </c>
      <c r="M490">
        <v>12</v>
      </c>
      <c r="N490" t="s">
        <v>38</v>
      </c>
      <c r="O490" t="s">
        <v>26</v>
      </c>
      <c r="P490" t="s">
        <v>45</v>
      </c>
      <c r="Q490" t="s">
        <v>46</v>
      </c>
      <c r="R490" s="2">
        <v>0.50694444444444442</v>
      </c>
    </row>
    <row r="491" spans="1:18" x14ac:dyDescent="0.25">
      <c r="A491" t="s">
        <v>1851</v>
      </c>
      <c r="B491" t="s">
        <v>350</v>
      </c>
      <c r="C491" s="1">
        <v>45171</v>
      </c>
      <c r="D491" s="1" t="str">
        <f>TEXT(Delivery_data[[#This Row],[Order date]], "MMMM")</f>
        <v>September</v>
      </c>
      <c r="E491" s="1" t="str">
        <f>TEXT(Delivery_data[[#This Row],[Order date]], "DDDD")</f>
        <v>Saturday</v>
      </c>
      <c r="F491" s="2">
        <v>0.69513888888888886</v>
      </c>
      <c r="G491" t="s">
        <v>22</v>
      </c>
      <c r="H491" t="str">
        <f>IF(Delivery_data[[#This Row],[Order Status]] = "In Progress", "Backlog", "Complete")</f>
        <v>Complete</v>
      </c>
      <c r="I491" t="s">
        <v>156</v>
      </c>
      <c r="J491" t="s">
        <v>1631</v>
      </c>
      <c r="K491" t="s">
        <v>31</v>
      </c>
      <c r="L491">
        <v>223</v>
      </c>
      <c r="M491">
        <v>13</v>
      </c>
      <c r="N491" t="s">
        <v>32</v>
      </c>
      <c r="O491" t="s">
        <v>54</v>
      </c>
      <c r="P491" t="s">
        <v>27</v>
      </c>
      <c r="Q491" t="s">
        <v>46</v>
      </c>
      <c r="R491" s="2">
        <v>0.41249999999999998</v>
      </c>
    </row>
    <row r="492" spans="1:18" x14ac:dyDescent="0.25">
      <c r="A492" t="s">
        <v>2035</v>
      </c>
      <c r="B492" t="s">
        <v>540</v>
      </c>
      <c r="C492" s="1">
        <v>45174</v>
      </c>
      <c r="D492" s="1" t="str">
        <f>TEXT(Delivery_data[[#This Row],[Order date]], "MMMM")</f>
        <v>September</v>
      </c>
      <c r="E492" s="1" t="str">
        <f>TEXT(Delivery_data[[#This Row],[Order date]], "DDDD")</f>
        <v>Tuesday</v>
      </c>
      <c r="F492" s="2">
        <v>0.42986111111111114</v>
      </c>
      <c r="G492" t="s">
        <v>48</v>
      </c>
      <c r="H492" t="str">
        <f>IF(Delivery_data[[#This Row],[Order Status]] = "In Progress", "Backlog", "Complete")</f>
        <v>Backlog</v>
      </c>
      <c r="I492" t="s">
        <v>156</v>
      </c>
      <c r="J492" t="s">
        <v>1633</v>
      </c>
      <c r="K492" t="s">
        <v>44</v>
      </c>
      <c r="L492">
        <v>186</v>
      </c>
      <c r="M492">
        <v>26</v>
      </c>
      <c r="N492" t="s">
        <v>25</v>
      </c>
      <c r="O492" t="s">
        <v>54</v>
      </c>
      <c r="P492" t="s">
        <v>34</v>
      </c>
      <c r="Q492" t="s">
        <v>51</v>
      </c>
      <c r="R492" s="2">
        <v>0.71736111111111112</v>
      </c>
    </row>
    <row r="493" spans="1:18" x14ac:dyDescent="0.25">
      <c r="A493" t="s">
        <v>2044</v>
      </c>
      <c r="B493" t="s">
        <v>549</v>
      </c>
      <c r="C493" s="1">
        <v>45170</v>
      </c>
      <c r="D493" s="1" t="str">
        <f>TEXT(Delivery_data[[#This Row],[Order date]], "MMMM")</f>
        <v>September</v>
      </c>
      <c r="E493" s="1" t="str">
        <f>TEXT(Delivery_data[[#This Row],[Order date]], "DDDD")</f>
        <v>Friday</v>
      </c>
      <c r="F493" s="2">
        <v>0.56527777777777777</v>
      </c>
      <c r="G493" t="s">
        <v>22</v>
      </c>
      <c r="H493" t="str">
        <f>IF(Delivery_data[[#This Row],[Order Status]] = "In Progress", "Backlog", "Complete")</f>
        <v>Complete</v>
      </c>
      <c r="I493" t="s">
        <v>156</v>
      </c>
      <c r="J493" t="s">
        <v>1637</v>
      </c>
      <c r="K493" t="s">
        <v>24</v>
      </c>
      <c r="L493">
        <v>183</v>
      </c>
      <c r="M493">
        <v>21</v>
      </c>
      <c r="N493" t="s">
        <v>32</v>
      </c>
      <c r="O493" t="s">
        <v>26</v>
      </c>
      <c r="P493" t="s">
        <v>34</v>
      </c>
      <c r="Q493" t="s">
        <v>51</v>
      </c>
      <c r="R493" s="2">
        <v>0.54652777777777772</v>
      </c>
    </row>
    <row r="494" spans="1:18" x14ac:dyDescent="0.25">
      <c r="A494" t="s">
        <v>2076</v>
      </c>
      <c r="B494" t="s">
        <v>581</v>
      </c>
      <c r="C494" s="1">
        <v>45176</v>
      </c>
      <c r="D494" s="1" t="str">
        <f>TEXT(Delivery_data[[#This Row],[Order date]], "MMMM")</f>
        <v>September</v>
      </c>
      <c r="E494" s="1" t="str">
        <f>TEXT(Delivery_data[[#This Row],[Order date]], "DDDD")</f>
        <v>Thursday</v>
      </c>
      <c r="F494" s="2">
        <v>0.44444444444444442</v>
      </c>
      <c r="G494" t="s">
        <v>22</v>
      </c>
      <c r="H494" t="str">
        <f>IF(Delivery_data[[#This Row],[Order Status]] = "In Progress", "Backlog", "Complete")</f>
        <v>Complete</v>
      </c>
      <c r="I494" t="s">
        <v>156</v>
      </c>
      <c r="J494" t="s">
        <v>1633</v>
      </c>
      <c r="K494" t="s">
        <v>37</v>
      </c>
      <c r="L494">
        <v>167</v>
      </c>
      <c r="M494">
        <v>8</v>
      </c>
      <c r="N494" t="s">
        <v>25</v>
      </c>
      <c r="O494" t="s">
        <v>54</v>
      </c>
      <c r="P494" t="s">
        <v>45</v>
      </c>
      <c r="Q494" t="s">
        <v>51</v>
      </c>
      <c r="R494" s="2">
        <v>0.48125000000000001</v>
      </c>
    </row>
    <row r="495" spans="1:18" x14ac:dyDescent="0.25">
      <c r="A495" t="s">
        <v>2122</v>
      </c>
      <c r="B495" t="s">
        <v>626</v>
      </c>
      <c r="C495" s="1">
        <v>45175</v>
      </c>
      <c r="D495" s="1" t="str">
        <f>TEXT(Delivery_data[[#This Row],[Order date]], "MMMM")</f>
        <v>September</v>
      </c>
      <c r="E495" s="1" t="str">
        <f>TEXT(Delivery_data[[#This Row],[Order date]], "DDDD")</f>
        <v>Wednesday</v>
      </c>
      <c r="F495" s="2">
        <v>0.36180555555555555</v>
      </c>
      <c r="G495" t="s">
        <v>22</v>
      </c>
      <c r="H495" t="str">
        <f>IF(Delivery_data[[#This Row],[Order Status]] = "In Progress", "Backlog", "Complete")</f>
        <v>Complete</v>
      </c>
      <c r="I495" t="s">
        <v>156</v>
      </c>
      <c r="J495" t="s">
        <v>1637</v>
      </c>
      <c r="K495" t="s">
        <v>44</v>
      </c>
      <c r="L495">
        <v>190</v>
      </c>
      <c r="M495">
        <v>12</v>
      </c>
      <c r="N495" t="s">
        <v>32</v>
      </c>
      <c r="O495" t="s">
        <v>41</v>
      </c>
      <c r="P495" t="s">
        <v>27</v>
      </c>
      <c r="Q495" t="s">
        <v>51</v>
      </c>
      <c r="R495" s="2">
        <v>0.46527777777777779</v>
      </c>
    </row>
    <row r="496" spans="1:18" x14ac:dyDescent="0.25">
      <c r="A496" t="s">
        <v>2166</v>
      </c>
      <c r="B496" t="s">
        <v>667</v>
      </c>
      <c r="C496" s="1">
        <v>45175</v>
      </c>
      <c r="D496" s="1" t="str">
        <f>TEXT(Delivery_data[[#This Row],[Order date]], "MMMM")</f>
        <v>September</v>
      </c>
      <c r="E496" s="1" t="str">
        <f>TEXT(Delivery_data[[#This Row],[Order date]], "DDDD")</f>
        <v>Wednesday</v>
      </c>
      <c r="F496" s="2">
        <v>0.41666666666666669</v>
      </c>
      <c r="G496" t="s">
        <v>22</v>
      </c>
      <c r="H496" t="str">
        <f>IF(Delivery_data[[#This Row],[Order Status]] = "In Progress", "Backlog", "Complete")</f>
        <v>Complete</v>
      </c>
      <c r="I496" t="s">
        <v>156</v>
      </c>
      <c r="J496" t="s">
        <v>1631</v>
      </c>
      <c r="K496" t="s">
        <v>24</v>
      </c>
      <c r="L496">
        <v>205</v>
      </c>
      <c r="M496">
        <v>12</v>
      </c>
      <c r="N496" t="s">
        <v>25</v>
      </c>
      <c r="O496" t="s">
        <v>26</v>
      </c>
      <c r="P496" t="s">
        <v>45</v>
      </c>
      <c r="Q496" t="s">
        <v>28</v>
      </c>
      <c r="R496" s="2">
        <v>0.65069444444444446</v>
      </c>
    </row>
    <row r="497" spans="1:18" x14ac:dyDescent="0.25">
      <c r="A497" t="s">
        <v>2169</v>
      </c>
      <c r="B497" t="s">
        <v>670</v>
      </c>
      <c r="C497" s="1">
        <v>45170</v>
      </c>
      <c r="D497" s="1" t="str">
        <f>TEXT(Delivery_data[[#This Row],[Order date]], "MMMM")</f>
        <v>September</v>
      </c>
      <c r="E497" s="1" t="str">
        <f>TEXT(Delivery_data[[#This Row],[Order date]], "DDDD")</f>
        <v>Friday</v>
      </c>
      <c r="F497" s="2">
        <v>0.54236111111111107</v>
      </c>
      <c r="G497" t="s">
        <v>22</v>
      </c>
      <c r="H497" t="str">
        <f>IF(Delivery_data[[#This Row],[Order Status]] = "In Progress", "Backlog", "Complete")</f>
        <v>Complete</v>
      </c>
      <c r="I497" t="s">
        <v>156</v>
      </c>
      <c r="J497" t="s">
        <v>1637</v>
      </c>
      <c r="K497" t="s">
        <v>61</v>
      </c>
      <c r="L497">
        <v>195</v>
      </c>
      <c r="M497">
        <v>23</v>
      </c>
      <c r="N497" t="s">
        <v>25</v>
      </c>
      <c r="O497" t="s">
        <v>41</v>
      </c>
      <c r="P497" t="s">
        <v>27</v>
      </c>
      <c r="Q497" t="s">
        <v>28</v>
      </c>
      <c r="R497" s="2">
        <v>0.65</v>
      </c>
    </row>
    <row r="498" spans="1:18" x14ac:dyDescent="0.25">
      <c r="A498" t="s">
        <v>2337</v>
      </c>
      <c r="B498" t="s">
        <v>835</v>
      </c>
      <c r="C498" s="1">
        <v>45177</v>
      </c>
      <c r="D498" s="1" t="str">
        <f>TEXT(Delivery_data[[#This Row],[Order date]], "MMMM")</f>
        <v>September</v>
      </c>
      <c r="E498" s="1" t="str">
        <f>TEXT(Delivery_data[[#This Row],[Order date]], "DDDD")</f>
        <v>Friday</v>
      </c>
      <c r="F498" s="2">
        <v>0.60486111111111107</v>
      </c>
      <c r="G498" t="s">
        <v>22</v>
      </c>
      <c r="H498" t="str">
        <f>IF(Delivery_data[[#This Row],[Order Status]] = "In Progress", "Backlog", "Complete")</f>
        <v>Complete</v>
      </c>
      <c r="I498" t="s">
        <v>156</v>
      </c>
      <c r="J498" t="s">
        <v>1631</v>
      </c>
      <c r="K498" t="s">
        <v>24</v>
      </c>
      <c r="L498">
        <v>181</v>
      </c>
      <c r="M498">
        <v>25</v>
      </c>
      <c r="N498" t="s">
        <v>32</v>
      </c>
      <c r="O498" t="s">
        <v>50</v>
      </c>
      <c r="P498" t="s">
        <v>45</v>
      </c>
      <c r="Q498" t="s">
        <v>51</v>
      </c>
      <c r="R498" s="2">
        <v>0.38611111111111113</v>
      </c>
    </row>
    <row r="499" spans="1:18" x14ac:dyDescent="0.25">
      <c r="A499" t="s">
        <v>2348</v>
      </c>
      <c r="B499" t="s">
        <v>846</v>
      </c>
      <c r="C499" s="1">
        <v>45173</v>
      </c>
      <c r="D499" s="1" t="str">
        <f>TEXT(Delivery_data[[#This Row],[Order date]], "MMMM")</f>
        <v>September</v>
      </c>
      <c r="E499" s="1" t="str">
        <f>TEXT(Delivery_data[[#This Row],[Order date]], "DDDD")</f>
        <v>Monday</v>
      </c>
      <c r="F499" s="2">
        <v>0.49305555555555558</v>
      </c>
      <c r="G499" t="s">
        <v>22</v>
      </c>
      <c r="H499" t="str">
        <f>IF(Delivery_data[[#This Row],[Order Status]] = "In Progress", "Backlog", "Complete")</f>
        <v>Complete</v>
      </c>
      <c r="I499" t="s">
        <v>156</v>
      </c>
      <c r="J499" t="s">
        <v>1633</v>
      </c>
      <c r="K499" t="s">
        <v>61</v>
      </c>
      <c r="L499">
        <v>218</v>
      </c>
      <c r="M499">
        <v>2</v>
      </c>
      <c r="N499" t="s">
        <v>32</v>
      </c>
      <c r="O499" t="s">
        <v>33</v>
      </c>
      <c r="P499" t="s">
        <v>27</v>
      </c>
      <c r="Q499" t="s">
        <v>51</v>
      </c>
      <c r="R499" s="2">
        <v>0.62916666666666665</v>
      </c>
    </row>
    <row r="500" spans="1:18" x14ac:dyDescent="0.25">
      <c r="A500" t="s">
        <v>2548</v>
      </c>
      <c r="B500" t="s">
        <v>1034</v>
      </c>
      <c r="C500" s="1">
        <v>45172</v>
      </c>
      <c r="D500" s="1" t="str">
        <f>TEXT(Delivery_data[[#This Row],[Order date]], "MMMM")</f>
        <v>September</v>
      </c>
      <c r="E500" s="1" t="str">
        <f>TEXT(Delivery_data[[#This Row],[Order date]], "DDDD")</f>
        <v>Sunday</v>
      </c>
      <c r="F500" s="2">
        <v>0.55138888888888893</v>
      </c>
      <c r="G500" t="s">
        <v>48</v>
      </c>
      <c r="H500" t="str">
        <f>IF(Delivery_data[[#This Row],[Order Status]] = "In Progress", "Backlog", "Complete")</f>
        <v>Backlog</v>
      </c>
      <c r="I500" t="s">
        <v>156</v>
      </c>
      <c r="J500" t="s">
        <v>1637</v>
      </c>
      <c r="K500" t="s">
        <v>31</v>
      </c>
      <c r="L500">
        <v>194</v>
      </c>
      <c r="M500">
        <v>12</v>
      </c>
      <c r="N500" t="s">
        <v>32</v>
      </c>
      <c r="O500" t="s">
        <v>54</v>
      </c>
      <c r="P500" t="s">
        <v>27</v>
      </c>
      <c r="Q500" t="s">
        <v>28</v>
      </c>
      <c r="R500" s="2">
        <v>0.38333333333333336</v>
      </c>
    </row>
    <row r="501" spans="1:18" x14ac:dyDescent="0.25">
      <c r="A501" t="s">
        <v>2575</v>
      </c>
      <c r="B501" t="s">
        <v>1059</v>
      </c>
      <c r="C501" s="1">
        <v>45175</v>
      </c>
      <c r="D501" s="1" t="str">
        <f>TEXT(Delivery_data[[#This Row],[Order date]], "MMMM")</f>
        <v>September</v>
      </c>
      <c r="E501" s="1" t="str">
        <f>TEXT(Delivery_data[[#This Row],[Order date]], "DDDD")</f>
        <v>Wednesday</v>
      </c>
      <c r="F501" s="2">
        <v>0.45277777777777778</v>
      </c>
      <c r="G501" t="s">
        <v>22</v>
      </c>
      <c r="H501" t="str">
        <f>IF(Delivery_data[[#This Row],[Order Status]] = "In Progress", "Backlog", "Complete")</f>
        <v>Complete</v>
      </c>
      <c r="I501" t="s">
        <v>156</v>
      </c>
      <c r="J501" t="s">
        <v>1633</v>
      </c>
      <c r="K501" t="s">
        <v>24</v>
      </c>
      <c r="L501">
        <v>200</v>
      </c>
      <c r="M501">
        <v>21</v>
      </c>
      <c r="N501" t="s">
        <v>38</v>
      </c>
      <c r="O501" t="s">
        <v>50</v>
      </c>
      <c r="P501" t="s">
        <v>27</v>
      </c>
      <c r="Q501" t="s">
        <v>51</v>
      </c>
      <c r="R501" s="2">
        <v>0.63749999999999996</v>
      </c>
    </row>
    <row r="502" spans="1:18" x14ac:dyDescent="0.25">
      <c r="A502" t="s">
        <v>1730</v>
      </c>
      <c r="B502" t="s">
        <v>206</v>
      </c>
      <c r="C502" s="1">
        <v>45172</v>
      </c>
      <c r="D502" s="1" t="str">
        <f>TEXT(Delivery_data[[#This Row],[Order date]], "MMMM")</f>
        <v>September</v>
      </c>
      <c r="E502" s="1" t="str">
        <f>TEXT(Delivery_data[[#This Row],[Order date]], "DDDD")</f>
        <v>Sunday</v>
      </c>
      <c r="F502" s="2">
        <v>0.42499999999999999</v>
      </c>
      <c r="G502" t="s">
        <v>48</v>
      </c>
      <c r="H502" t="str">
        <f>IF(Delivery_data[[#This Row],[Order Status]] = "In Progress", "Backlog", "Complete")</f>
        <v>Backlog</v>
      </c>
      <c r="I502" t="s">
        <v>207</v>
      </c>
      <c r="J502" t="s">
        <v>1637</v>
      </c>
      <c r="K502" t="s">
        <v>44</v>
      </c>
      <c r="L502">
        <v>194</v>
      </c>
      <c r="M502">
        <v>22</v>
      </c>
      <c r="N502" t="s">
        <v>32</v>
      </c>
      <c r="O502" t="s">
        <v>33</v>
      </c>
      <c r="P502" t="s">
        <v>27</v>
      </c>
      <c r="Q502" t="s">
        <v>28</v>
      </c>
      <c r="R502" s="2">
        <v>0.37777777777777777</v>
      </c>
    </row>
    <row r="503" spans="1:18" x14ac:dyDescent="0.25">
      <c r="A503" t="s">
        <v>1836</v>
      </c>
      <c r="B503" t="s">
        <v>334</v>
      </c>
      <c r="C503" s="1">
        <v>45173</v>
      </c>
      <c r="D503" s="1" t="str">
        <f>TEXT(Delivery_data[[#This Row],[Order date]], "MMMM")</f>
        <v>September</v>
      </c>
      <c r="E503" s="1" t="str">
        <f>TEXT(Delivery_data[[#This Row],[Order date]], "DDDD")</f>
        <v>Monday</v>
      </c>
      <c r="F503" s="2">
        <v>0.4284722222222222</v>
      </c>
      <c r="G503" t="s">
        <v>22</v>
      </c>
      <c r="H503" t="str">
        <f>IF(Delivery_data[[#This Row],[Order Status]] = "In Progress", "Backlog", "Complete")</f>
        <v>Complete</v>
      </c>
      <c r="I503" t="s">
        <v>207</v>
      </c>
      <c r="J503" t="s">
        <v>1633</v>
      </c>
      <c r="K503" t="s">
        <v>61</v>
      </c>
      <c r="L503">
        <v>101</v>
      </c>
      <c r="M503">
        <v>24</v>
      </c>
      <c r="N503" t="s">
        <v>32</v>
      </c>
      <c r="O503" t="s">
        <v>54</v>
      </c>
      <c r="P503" t="s">
        <v>27</v>
      </c>
      <c r="Q503" t="s">
        <v>46</v>
      </c>
      <c r="R503" s="2">
        <v>0.53402777777777777</v>
      </c>
    </row>
    <row r="504" spans="1:18" x14ac:dyDescent="0.25">
      <c r="A504" t="s">
        <v>1869</v>
      </c>
      <c r="B504" t="s">
        <v>368</v>
      </c>
      <c r="C504" s="1">
        <v>45176</v>
      </c>
      <c r="D504" s="1" t="str">
        <f>TEXT(Delivery_data[[#This Row],[Order date]], "MMMM")</f>
        <v>September</v>
      </c>
      <c r="E504" s="1" t="str">
        <f>TEXT(Delivery_data[[#This Row],[Order date]], "DDDD")</f>
        <v>Thursday</v>
      </c>
      <c r="F504" s="2">
        <v>0.39444444444444443</v>
      </c>
      <c r="G504" t="s">
        <v>48</v>
      </c>
      <c r="H504" t="str">
        <f>IF(Delivery_data[[#This Row],[Order Status]] = "In Progress", "Backlog", "Complete")</f>
        <v>Backlog</v>
      </c>
      <c r="I504" t="s">
        <v>207</v>
      </c>
      <c r="J504" t="s">
        <v>1637</v>
      </c>
      <c r="K504" t="s">
        <v>24</v>
      </c>
      <c r="L504">
        <v>79</v>
      </c>
      <c r="M504">
        <v>19</v>
      </c>
      <c r="N504" t="s">
        <v>32</v>
      </c>
      <c r="O504" t="s">
        <v>50</v>
      </c>
      <c r="P504" t="s">
        <v>34</v>
      </c>
      <c r="Q504" t="s">
        <v>28</v>
      </c>
      <c r="R504" s="2">
        <v>0.72361111111111109</v>
      </c>
    </row>
    <row r="505" spans="1:18" x14ac:dyDescent="0.25">
      <c r="A505" t="s">
        <v>1999</v>
      </c>
      <c r="B505" t="s">
        <v>504</v>
      </c>
      <c r="C505" s="1">
        <v>45172</v>
      </c>
      <c r="D505" s="1" t="str">
        <f>TEXT(Delivery_data[[#This Row],[Order date]], "MMMM")</f>
        <v>September</v>
      </c>
      <c r="E505" s="1" t="str">
        <f>TEXT(Delivery_data[[#This Row],[Order date]], "DDDD")</f>
        <v>Sunday</v>
      </c>
      <c r="F505" s="2">
        <v>0.52152777777777781</v>
      </c>
      <c r="G505" t="s">
        <v>22</v>
      </c>
      <c r="H505" t="str">
        <f>IF(Delivery_data[[#This Row],[Order Status]] = "In Progress", "Backlog", "Complete")</f>
        <v>Complete</v>
      </c>
      <c r="I505" t="s">
        <v>207</v>
      </c>
      <c r="J505" t="s">
        <v>1631</v>
      </c>
      <c r="K505" t="s">
        <v>44</v>
      </c>
      <c r="L505">
        <v>222</v>
      </c>
      <c r="M505">
        <v>5</v>
      </c>
      <c r="N505" t="s">
        <v>25</v>
      </c>
      <c r="O505" t="s">
        <v>50</v>
      </c>
      <c r="P505" t="s">
        <v>34</v>
      </c>
      <c r="Q505" t="s">
        <v>28</v>
      </c>
      <c r="R505" s="2">
        <v>0.52708333333333335</v>
      </c>
    </row>
    <row r="506" spans="1:18" x14ac:dyDescent="0.25">
      <c r="A506" t="s">
        <v>2164</v>
      </c>
      <c r="B506" t="s">
        <v>665</v>
      </c>
      <c r="C506" s="1">
        <v>45170</v>
      </c>
      <c r="D506" s="1" t="str">
        <f>TEXT(Delivery_data[[#This Row],[Order date]], "MMMM")</f>
        <v>September</v>
      </c>
      <c r="E506" s="1" t="str">
        <f>TEXT(Delivery_data[[#This Row],[Order date]], "DDDD")</f>
        <v>Friday</v>
      </c>
      <c r="F506" s="2">
        <v>0.49027777777777776</v>
      </c>
      <c r="G506" t="s">
        <v>48</v>
      </c>
      <c r="H506" t="str">
        <f>IF(Delivery_data[[#This Row],[Order Status]] = "In Progress", "Backlog", "Complete")</f>
        <v>Backlog</v>
      </c>
      <c r="I506" t="s">
        <v>207</v>
      </c>
      <c r="J506" t="s">
        <v>1637</v>
      </c>
      <c r="K506" t="s">
        <v>31</v>
      </c>
      <c r="L506">
        <v>78</v>
      </c>
      <c r="M506">
        <v>7</v>
      </c>
      <c r="N506" t="s">
        <v>32</v>
      </c>
      <c r="O506" t="s">
        <v>33</v>
      </c>
      <c r="P506" t="s">
        <v>27</v>
      </c>
      <c r="Q506" t="s">
        <v>51</v>
      </c>
      <c r="R506" s="2">
        <v>0.61527777777777781</v>
      </c>
    </row>
    <row r="507" spans="1:18" x14ac:dyDescent="0.25">
      <c r="A507" t="s">
        <v>2180</v>
      </c>
      <c r="B507" t="s">
        <v>681</v>
      </c>
      <c r="C507" s="1">
        <v>45173</v>
      </c>
      <c r="D507" s="1" t="str">
        <f>TEXT(Delivery_data[[#This Row],[Order date]], "MMMM")</f>
        <v>September</v>
      </c>
      <c r="E507" s="1" t="str">
        <f>TEXT(Delivery_data[[#This Row],[Order date]], "DDDD")</f>
        <v>Monday</v>
      </c>
      <c r="F507" s="2">
        <v>0.60138888888888886</v>
      </c>
      <c r="G507" t="s">
        <v>22</v>
      </c>
      <c r="H507" t="str">
        <f>IF(Delivery_data[[#This Row],[Order Status]] = "In Progress", "Backlog", "Complete")</f>
        <v>Complete</v>
      </c>
      <c r="I507" t="s">
        <v>207</v>
      </c>
      <c r="J507" t="s">
        <v>1637</v>
      </c>
      <c r="K507" t="s">
        <v>44</v>
      </c>
      <c r="L507">
        <v>62</v>
      </c>
      <c r="M507">
        <v>25</v>
      </c>
      <c r="N507" t="s">
        <v>38</v>
      </c>
      <c r="O507" t="s">
        <v>54</v>
      </c>
      <c r="P507" t="s">
        <v>34</v>
      </c>
      <c r="Q507" t="s">
        <v>51</v>
      </c>
      <c r="R507" s="2">
        <v>0.61736111111111114</v>
      </c>
    </row>
    <row r="508" spans="1:18" x14ac:dyDescent="0.25">
      <c r="A508" t="s">
        <v>2281</v>
      </c>
      <c r="B508" t="s">
        <v>780</v>
      </c>
      <c r="C508" s="1">
        <v>45170</v>
      </c>
      <c r="D508" s="1" t="str">
        <f>TEXT(Delivery_data[[#This Row],[Order date]], "MMMM")</f>
        <v>September</v>
      </c>
      <c r="E508" s="1" t="str">
        <f>TEXT(Delivery_data[[#This Row],[Order date]], "DDDD")</f>
        <v>Friday</v>
      </c>
      <c r="F508" s="2">
        <v>0.44861111111111113</v>
      </c>
      <c r="G508" t="s">
        <v>48</v>
      </c>
      <c r="H508" t="str">
        <f>IF(Delivery_data[[#This Row],[Order Status]] = "In Progress", "Backlog", "Complete")</f>
        <v>Backlog</v>
      </c>
      <c r="I508" t="s">
        <v>207</v>
      </c>
      <c r="J508" t="s">
        <v>1637</v>
      </c>
      <c r="K508" t="s">
        <v>37</v>
      </c>
      <c r="L508">
        <v>156</v>
      </c>
      <c r="M508">
        <v>22</v>
      </c>
      <c r="N508" t="s">
        <v>25</v>
      </c>
      <c r="O508" t="s">
        <v>50</v>
      </c>
      <c r="P508" t="s">
        <v>27</v>
      </c>
      <c r="Q508" t="s">
        <v>51</v>
      </c>
      <c r="R508" s="2">
        <v>0.41736111111111113</v>
      </c>
    </row>
    <row r="509" spans="1:18" x14ac:dyDescent="0.25">
      <c r="A509" t="s">
        <v>2323</v>
      </c>
      <c r="B509" t="s">
        <v>821</v>
      </c>
      <c r="C509" s="1">
        <v>45175</v>
      </c>
      <c r="D509" s="1" t="str">
        <f>TEXT(Delivery_data[[#This Row],[Order date]], "MMMM")</f>
        <v>September</v>
      </c>
      <c r="E509" s="1" t="str">
        <f>TEXT(Delivery_data[[#This Row],[Order date]], "DDDD")</f>
        <v>Wednesday</v>
      </c>
      <c r="F509" s="2">
        <v>0.57152777777777775</v>
      </c>
      <c r="G509" t="s">
        <v>22</v>
      </c>
      <c r="H509" t="str">
        <f>IF(Delivery_data[[#This Row],[Order Status]] = "In Progress", "Backlog", "Complete")</f>
        <v>Complete</v>
      </c>
      <c r="I509" t="s">
        <v>207</v>
      </c>
      <c r="J509" t="s">
        <v>1633</v>
      </c>
      <c r="K509" t="s">
        <v>44</v>
      </c>
      <c r="L509">
        <v>195</v>
      </c>
      <c r="M509">
        <v>10</v>
      </c>
      <c r="N509" t="s">
        <v>38</v>
      </c>
      <c r="O509" t="s">
        <v>33</v>
      </c>
      <c r="P509" t="s">
        <v>45</v>
      </c>
      <c r="Q509" t="s">
        <v>28</v>
      </c>
      <c r="R509" s="2">
        <v>0.62222222222222223</v>
      </c>
    </row>
    <row r="510" spans="1:18" x14ac:dyDescent="0.25">
      <c r="A510" t="s">
        <v>2540</v>
      </c>
      <c r="B510" t="s">
        <v>1028</v>
      </c>
      <c r="C510" s="1">
        <v>45172</v>
      </c>
      <c r="D510" s="1" t="str">
        <f>TEXT(Delivery_data[[#This Row],[Order date]], "MMMM")</f>
        <v>September</v>
      </c>
      <c r="E510" s="1" t="str">
        <f>TEXT(Delivery_data[[#This Row],[Order date]], "DDDD")</f>
        <v>Sunday</v>
      </c>
      <c r="F510" s="2">
        <v>0.47361111111111109</v>
      </c>
      <c r="G510" t="s">
        <v>22</v>
      </c>
      <c r="H510" t="str">
        <f>IF(Delivery_data[[#This Row],[Order Status]] = "In Progress", "Backlog", "Complete")</f>
        <v>Complete</v>
      </c>
      <c r="I510" t="s">
        <v>207</v>
      </c>
      <c r="J510" t="s">
        <v>1637</v>
      </c>
      <c r="K510" t="s">
        <v>31</v>
      </c>
      <c r="L510">
        <v>205</v>
      </c>
      <c r="M510">
        <v>2</v>
      </c>
      <c r="N510" t="s">
        <v>32</v>
      </c>
      <c r="O510" t="s">
        <v>26</v>
      </c>
      <c r="P510" t="s">
        <v>45</v>
      </c>
      <c r="Q510" t="s">
        <v>28</v>
      </c>
      <c r="R510" s="2">
        <v>0.68958333333333333</v>
      </c>
    </row>
    <row r="511" spans="1:18" x14ac:dyDescent="0.25">
      <c r="A511" t="s">
        <v>2607</v>
      </c>
      <c r="B511" t="s">
        <v>1091</v>
      </c>
      <c r="C511" s="1">
        <v>45171</v>
      </c>
      <c r="D511" s="1" t="str">
        <f>TEXT(Delivery_data[[#This Row],[Order date]], "MMMM")</f>
        <v>September</v>
      </c>
      <c r="E511" s="1" t="str">
        <f>TEXT(Delivery_data[[#This Row],[Order date]], "DDDD")</f>
        <v>Saturday</v>
      </c>
      <c r="F511" s="2">
        <v>0.42986111111111114</v>
      </c>
      <c r="G511" t="s">
        <v>22</v>
      </c>
      <c r="H511" t="str">
        <f>IF(Delivery_data[[#This Row],[Order Status]] = "In Progress", "Backlog", "Complete")</f>
        <v>Complete</v>
      </c>
      <c r="I511" t="s">
        <v>207</v>
      </c>
      <c r="J511" t="s">
        <v>1633</v>
      </c>
      <c r="K511" t="s">
        <v>37</v>
      </c>
      <c r="L511">
        <v>114</v>
      </c>
      <c r="M511">
        <v>17</v>
      </c>
      <c r="N511" t="s">
        <v>25</v>
      </c>
      <c r="O511" t="s">
        <v>50</v>
      </c>
      <c r="P511" t="s">
        <v>34</v>
      </c>
      <c r="Q511" t="s">
        <v>46</v>
      </c>
      <c r="R511" s="2">
        <v>0.46180555555555558</v>
      </c>
    </row>
    <row r="512" spans="1:18" x14ac:dyDescent="0.25">
      <c r="A512" t="s">
        <v>2644</v>
      </c>
      <c r="B512" t="s">
        <v>1127</v>
      </c>
      <c r="C512" s="1">
        <v>45173</v>
      </c>
      <c r="D512" s="1" t="str">
        <f>TEXT(Delivery_data[[#This Row],[Order date]], "MMMM")</f>
        <v>September</v>
      </c>
      <c r="E512" s="1" t="str">
        <f>TEXT(Delivery_data[[#This Row],[Order date]], "DDDD")</f>
        <v>Monday</v>
      </c>
      <c r="F512" s="2">
        <v>0.47916666666666669</v>
      </c>
      <c r="G512" t="s">
        <v>48</v>
      </c>
      <c r="H512" t="str">
        <f>IF(Delivery_data[[#This Row],[Order Status]] = "In Progress", "Backlog", "Complete")</f>
        <v>Backlog</v>
      </c>
      <c r="I512" t="s">
        <v>207</v>
      </c>
      <c r="J512" t="s">
        <v>1631</v>
      </c>
      <c r="K512" t="s">
        <v>24</v>
      </c>
      <c r="L512">
        <v>192</v>
      </c>
      <c r="M512">
        <v>8</v>
      </c>
      <c r="N512" t="s">
        <v>38</v>
      </c>
      <c r="O512" t="s">
        <v>54</v>
      </c>
      <c r="P512" t="s">
        <v>34</v>
      </c>
      <c r="Q512" t="s">
        <v>46</v>
      </c>
      <c r="R512" s="2">
        <v>0.42638888888888887</v>
      </c>
    </row>
    <row r="513" spans="1:18" x14ac:dyDescent="0.25">
      <c r="A513" t="s">
        <v>2666</v>
      </c>
      <c r="B513" t="s">
        <v>1149</v>
      </c>
      <c r="C513" s="1">
        <v>45174</v>
      </c>
      <c r="D513" s="1" t="str">
        <f>TEXT(Delivery_data[[#This Row],[Order date]], "MMMM")</f>
        <v>September</v>
      </c>
      <c r="E513" s="1" t="str">
        <f>TEXT(Delivery_data[[#This Row],[Order date]], "DDDD")</f>
        <v>Tuesday</v>
      </c>
      <c r="F513" s="2">
        <v>0.49513888888888891</v>
      </c>
      <c r="G513" t="s">
        <v>22</v>
      </c>
      <c r="H513" t="str">
        <f>IF(Delivery_data[[#This Row],[Order Status]] = "In Progress", "Backlog", "Complete")</f>
        <v>Complete</v>
      </c>
      <c r="I513" t="s">
        <v>207</v>
      </c>
      <c r="J513" t="s">
        <v>1637</v>
      </c>
      <c r="K513" t="s">
        <v>61</v>
      </c>
      <c r="L513">
        <v>91</v>
      </c>
      <c r="M513">
        <v>22</v>
      </c>
      <c r="N513" t="s">
        <v>32</v>
      </c>
      <c r="O513" t="s">
        <v>33</v>
      </c>
      <c r="P513" t="s">
        <v>45</v>
      </c>
      <c r="Q513" t="s">
        <v>46</v>
      </c>
      <c r="R513" s="2">
        <v>0.38055555555555554</v>
      </c>
    </row>
    <row r="514" spans="1:18" x14ac:dyDescent="0.25">
      <c r="A514" t="s">
        <v>2708</v>
      </c>
      <c r="B514" t="s">
        <v>1189</v>
      </c>
      <c r="C514" s="1">
        <v>45173</v>
      </c>
      <c r="D514" s="1" t="str">
        <f>TEXT(Delivery_data[[#This Row],[Order date]], "MMMM")</f>
        <v>September</v>
      </c>
      <c r="E514" s="1" t="str">
        <f>TEXT(Delivery_data[[#This Row],[Order date]], "DDDD")</f>
        <v>Monday</v>
      </c>
      <c r="F514" s="2">
        <v>0.37083333333333335</v>
      </c>
      <c r="G514" t="s">
        <v>48</v>
      </c>
      <c r="H514" t="str">
        <f>IF(Delivery_data[[#This Row],[Order Status]] = "In Progress", "Backlog", "Complete")</f>
        <v>Backlog</v>
      </c>
      <c r="I514" t="s">
        <v>207</v>
      </c>
      <c r="J514" t="s">
        <v>1637</v>
      </c>
      <c r="K514" t="s">
        <v>61</v>
      </c>
      <c r="L514">
        <v>209</v>
      </c>
      <c r="M514">
        <v>11</v>
      </c>
      <c r="N514" t="s">
        <v>25</v>
      </c>
      <c r="O514" t="s">
        <v>41</v>
      </c>
      <c r="P514" t="s">
        <v>34</v>
      </c>
      <c r="Q514" t="s">
        <v>51</v>
      </c>
      <c r="R514" s="2">
        <v>0.53541666666666665</v>
      </c>
    </row>
    <row r="515" spans="1:18" x14ac:dyDescent="0.25">
      <c r="A515" t="s">
        <v>2966</v>
      </c>
      <c r="B515" t="s">
        <v>1439</v>
      </c>
      <c r="C515" s="1">
        <v>45173</v>
      </c>
      <c r="D515" s="1" t="str">
        <f>TEXT(Delivery_data[[#This Row],[Order date]], "MMMM")</f>
        <v>September</v>
      </c>
      <c r="E515" s="1" t="str">
        <f>TEXT(Delivery_data[[#This Row],[Order date]], "DDDD")</f>
        <v>Monday</v>
      </c>
      <c r="F515" s="2">
        <v>0.67777777777777781</v>
      </c>
      <c r="G515" t="s">
        <v>48</v>
      </c>
      <c r="H515" t="str">
        <f>IF(Delivery_data[[#This Row],[Order Status]] = "In Progress", "Backlog", "Complete")</f>
        <v>Backlog</v>
      </c>
      <c r="I515" t="s">
        <v>207</v>
      </c>
      <c r="J515" t="s">
        <v>1637</v>
      </c>
      <c r="K515" t="s">
        <v>24</v>
      </c>
      <c r="L515">
        <v>73</v>
      </c>
      <c r="M515">
        <v>11</v>
      </c>
      <c r="N515" t="s">
        <v>38</v>
      </c>
      <c r="O515" t="s">
        <v>50</v>
      </c>
      <c r="P515" t="s">
        <v>34</v>
      </c>
      <c r="Q515" t="s">
        <v>51</v>
      </c>
      <c r="R515" s="2">
        <v>0.60763888888888884</v>
      </c>
    </row>
    <row r="516" spans="1:18" x14ac:dyDescent="0.25">
      <c r="A516" t="s">
        <v>3027</v>
      </c>
      <c r="B516" t="s">
        <v>1497</v>
      </c>
      <c r="C516" s="1">
        <v>45174</v>
      </c>
      <c r="D516" s="1" t="str">
        <f>TEXT(Delivery_data[[#This Row],[Order date]], "MMMM")</f>
        <v>September</v>
      </c>
      <c r="E516" s="1" t="str">
        <f>TEXT(Delivery_data[[#This Row],[Order date]], "DDDD")</f>
        <v>Tuesday</v>
      </c>
      <c r="F516" s="2">
        <v>0.6333333333333333</v>
      </c>
      <c r="G516" t="s">
        <v>22</v>
      </c>
      <c r="H516" t="str">
        <f>IF(Delivery_data[[#This Row],[Order Status]] = "In Progress", "Backlog", "Complete")</f>
        <v>Complete</v>
      </c>
      <c r="I516" t="s">
        <v>207</v>
      </c>
      <c r="J516" t="s">
        <v>1637</v>
      </c>
      <c r="K516" t="s">
        <v>24</v>
      </c>
      <c r="L516">
        <v>157</v>
      </c>
      <c r="M516">
        <v>9</v>
      </c>
      <c r="N516" t="s">
        <v>32</v>
      </c>
      <c r="O516" t="s">
        <v>33</v>
      </c>
      <c r="P516" t="s">
        <v>34</v>
      </c>
      <c r="Q516" t="s">
        <v>51</v>
      </c>
      <c r="R516" s="2">
        <v>0.70972222222222225</v>
      </c>
    </row>
    <row r="517" spans="1:18" x14ac:dyDescent="0.25">
      <c r="A517" t="s">
        <v>1790</v>
      </c>
      <c r="B517" t="s">
        <v>281</v>
      </c>
      <c r="C517" s="1">
        <v>45174</v>
      </c>
      <c r="D517" s="1" t="str">
        <f>TEXT(Delivery_data[[#This Row],[Order date]], "MMMM")</f>
        <v>September</v>
      </c>
      <c r="E517" s="1" t="str">
        <f>TEXT(Delivery_data[[#This Row],[Order date]], "DDDD")</f>
        <v>Tuesday</v>
      </c>
      <c r="F517" s="2">
        <v>0.45902777777777776</v>
      </c>
      <c r="G517" t="s">
        <v>48</v>
      </c>
      <c r="H517" t="str">
        <f>IF(Delivery_data[[#This Row],[Order Status]] = "In Progress", "Backlog", "Complete")</f>
        <v>Backlog</v>
      </c>
      <c r="I517" t="s">
        <v>282</v>
      </c>
      <c r="J517" t="s">
        <v>1633</v>
      </c>
      <c r="K517" t="s">
        <v>61</v>
      </c>
      <c r="L517">
        <v>83</v>
      </c>
      <c r="M517">
        <v>8</v>
      </c>
      <c r="N517" t="s">
        <v>32</v>
      </c>
      <c r="O517" t="s">
        <v>54</v>
      </c>
      <c r="P517" t="s">
        <v>45</v>
      </c>
      <c r="Q517" t="s">
        <v>46</v>
      </c>
      <c r="R517" s="2">
        <v>0.68611111111111112</v>
      </c>
    </row>
    <row r="518" spans="1:18" x14ac:dyDescent="0.25">
      <c r="A518" t="s">
        <v>2102</v>
      </c>
      <c r="B518" t="s">
        <v>607</v>
      </c>
      <c r="C518" s="1">
        <v>45171</v>
      </c>
      <c r="D518" s="1" t="str">
        <f>TEXT(Delivery_data[[#This Row],[Order date]], "MMMM")</f>
        <v>September</v>
      </c>
      <c r="E518" s="1" t="str">
        <f>TEXT(Delivery_data[[#This Row],[Order date]], "DDDD")</f>
        <v>Saturday</v>
      </c>
      <c r="F518" s="2">
        <v>0.45277777777777778</v>
      </c>
      <c r="G518" t="s">
        <v>22</v>
      </c>
      <c r="H518" t="str">
        <f>IF(Delivery_data[[#This Row],[Order Status]] = "In Progress", "Backlog", "Complete")</f>
        <v>Complete</v>
      </c>
      <c r="I518" t="s">
        <v>282</v>
      </c>
      <c r="J518" t="s">
        <v>1637</v>
      </c>
      <c r="K518" t="s">
        <v>44</v>
      </c>
      <c r="L518">
        <v>86</v>
      </c>
      <c r="M518">
        <v>18</v>
      </c>
      <c r="N518" t="s">
        <v>32</v>
      </c>
      <c r="O518" t="s">
        <v>50</v>
      </c>
      <c r="P518" t="s">
        <v>34</v>
      </c>
      <c r="Q518" t="s">
        <v>46</v>
      </c>
      <c r="R518" s="2">
        <v>0.70208333333333328</v>
      </c>
    </row>
    <row r="519" spans="1:18" x14ac:dyDescent="0.25">
      <c r="A519" t="s">
        <v>2334</v>
      </c>
      <c r="B519" t="s">
        <v>832</v>
      </c>
      <c r="C519" s="1">
        <v>45174</v>
      </c>
      <c r="D519" s="1" t="str">
        <f>TEXT(Delivery_data[[#This Row],[Order date]], "MMMM")</f>
        <v>September</v>
      </c>
      <c r="E519" s="1" t="str">
        <f>TEXT(Delivery_data[[#This Row],[Order date]], "DDDD")</f>
        <v>Tuesday</v>
      </c>
      <c r="F519" s="2">
        <v>0.48333333333333334</v>
      </c>
      <c r="G519" t="s">
        <v>22</v>
      </c>
      <c r="H519" t="str">
        <f>IF(Delivery_data[[#This Row],[Order Status]] = "In Progress", "Backlog", "Complete")</f>
        <v>Complete</v>
      </c>
      <c r="I519" t="s">
        <v>282</v>
      </c>
      <c r="J519" t="s">
        <v>1631</v>
      </c>
      <c r="K519" t="s">
        <v>61</v>
      </c>
      <c r="L519">
        <v>69</v>
      </c>
      <c r="M519">
        <v>2</v>
      </c>
      <c r="N519" t="s">
        <v>32</v>
      </c>
      <c r="O519" t="s">
        <v>41</v>
      </c>
      <c r="P519" t="s">
        <v>34</v>
      </c>
      <c r="Q519" t="s">
        <v>51</v>
      </c>
      <c r="R519" s="2">
        <v>0.54236111111111107</v>
      </c>
    </row>
    <row r="520" spans="1:18" x14ac:dyDescent="0.25">
      <c r="A520" t="s">
        <v>2367</v>
      </c>
      <c r="B520" t="s">
        <v>864</v>
      </c>
      <c r="C520" s="1">
        <v>45171</v>
      </c>
      <c r="D520" s="1" t="str">
        <f>TEXT(Delivery_data[[#This Row],[Order date]], "MMMM")</f>
        <v>September</v>
      </c>
      <c r="E520" s="1" t="str">
        <f>TEXT(Delivery_data[[#This Row],[Order date]], "DDDD")</f>
        <v>Saturday</v>
      </c>
      <c r="F520" s="2">
        <v>0.6743055555555556</v>
      </c>
      <c r="G520" t="s">
        <v>48</v>
      </c>
      <c r="H520" t="str">
        <f>IF(Delivery_data[[#This Row],[Order Status]] = "In Progress", "Backlog", "Complete")</f>
        <v>Backlog</v>
      </c>
      <c r="I520" t="s">
        <v>282</v>
      </c>
      <c r="J520" t="s">
        <v>1631</v>
      </c>
      <c r="K520" t="s">
        <v>44</v>
      </c>
      <c r="L520">
        <v>228</v>
      </c>
      <c r="M520">
        <v>1</v>
      </c>
      <c r="N520" t="s">
        <v>25</v>
      </c>
      <c r="O520" t="s">
        <v>33</v>
      </c>
      <c r="P520" t="s">
        <v>34</v>
      </c>
      <c r="Q520" t="s">
        <v>51</v>
      </c>
      <c r="R520" s="2">
        <v>0.54861111111111116</v>
      </c>
    </row>
    <row r="521" spans="1:18" x14ac:dyDescent="0.25">
      <c r="A521" t="s">
        <v>2419</v>
      </c>
      <c r="B521" t="s">
        <v>912</v>
      </c>
      <c r="C521" s="1">
        <v>45170</v>
      </c>
      <c r="D521" s="1" t="str">
        <f>TEXT(Delivery_data[[#This Row],[Order date]], "MMMM")</f>
        <v>September</v>
      </c>
      <c r="E521" s="1" t="str">
        <f>TEXT(Delivery_data[[#This Row],[Order date]], "DDDD")</f>
        <v>Friday</v>
      </c>
      <c r="F521" s="2">
        <v>0.40486111111111112</v>
      </c>
      <c r="G521" t="s">
        <v>48</v>
      </c>
      <c r="H521" t="str">
        <f>IF(Delivery_data[[#This Row],[Order Status]] = "In Progress", "Backlog", "Complete")</f>
        <v>Backlog</v>
      </c>
      <c r="I521" t="s">
        <v>282</v>
      </c>
      <c r="J521" t="s">
        <v>1631</v>
      </c>
      <c r="K521" t="s">
        <v>24</v>
      </c>
      <c r="L521">
        <v>115</v>
      </c>
      <c r="M521">
        <v>20</v>
      </c>
      <c r="N521" t="s">
        <v>25</v>
      </c>
      <c r="O521" t="s">
        <v>41</v>
      </c>
      <c r="P521" t="s">
        <v>27</v>
      </c>
      <c r="Q521" t="s">
        <v>51</v>
      </c>
      <c r="R521" s="2">
        <v>0.47986111111111113</v>
      </c>
    </row>
    <row r="522" spans="1:18" x14ac:dyDescent="0.25">
      <c r="A522" t="s">
        <v>2608</v>
      </c>
      <c r="B522" t="s">
        <v>1092</v>
      </c>
      <c r="C522" s="1">
        <v>45173</v>
      </c>
      <c r="D522" s="1" t="str">
        <f>TEXT(Delivery_data[[#This Row],[Order date]], "MMMM")</f>
        <v>September</v>
      </c>
      <c r="E522" s="1" t="str">
        <f>TEXT(Delivery_data[[#This Row],[Order date]], "DDDD")</f>
        <v>Monday</v>
      </c>
      <c r="F522" s="2">
        <v>0.48333333333333334</v>
      </c>
      <c r="G522" t="s">
        <v>48</v>
      </c>
      <c r="H522" t="str">
        <f>IF(Delivery_data[[#This Row],[Order Status]] = "In Progress", "Backlog", "Complete")</f>
        <v>Backlog</v>
      </c>
      <c r="I522" t="s">
        <v>282</v>
      </c>
      <c r="J522" t="s">
        <v>1633</v>
      </c>
      <c r="K522" t="s">
        <v>37</v>
      </c>
      <c r="L522">
        <v>150</v>
      </c>
      <c r="M522">
        <v>6</v>
      </c>
      <c r="N522" t="s">
        <v>38</v>
      </c>
      <c r="O522" t="s">
        <v>54</v>
      </c>
      <c r="P522" t="s">
        <v>45</v>
      </c>
      <c r="Q522" t="s">
        <v>51</v>
      </c>
      <c r="R522" s="2">
        <v>0.63055555555555554</v>
      </c>
    </row>
    <row r="523" spans="1:18" x14ac:dyDescent="0.25">
      <c r="A523" t="s">
        <v>2636</v>
      </c>
      <c r="B523" t="s">
        <v>1119</v>
      </c>
      <c r="C523" s="1">
        <v>45177</v>
      </c>
      <c r="D523" s="1" t="str">
        <f>TEXT(Delivery_data[[#This Row],[Order date]], "MMMM")</f>
        <v>September</v>
      </c>
      <c r="E523" s="1" t="str">
        <f>TEXT(Delivery_data[[#This Row],[Order date]], "DDDD")</f>
        <v>Friday</v>
      </c>
      <c r="F523" s="2">
        <v>0.65069444444444446</v>
      </c>
      <c r="G523" t="s">
        <v>22</v>
      </c>
      <c r="H523" t="str">
        <f>IF(Delivery_data[[#This Row],[Order Status]] = "In Progress", "Backlog", "Complete")</f>
        <v>Complete</v>
      </c>
      <c r="I523" t="s">
        <v>282</v>
      </c>
      <c r="J523" t="s">
        <v>1631</v>
      </c>
      <c r="K523" t="s">
        <v>61</v>
      </c>
      <c r="L523">
        <v>147</v>
      </c>
      <c r="M523">
        <v>9</v>
      </c>
      <c r="N523" t="s">
        <v>25</v>
      </c>
      <c r="O523" t="s">
        <v>50</v>
      </c>
      <c r="P523" t="s">
        <v>45</v>
      </c>
      <c r="Q523" t="s">
        <v>46</v>
      </c>
      <c r="R523" s="2">
        <v>0.56458333333333333</v>
      </c>
    </row>
    <row r="524" spans="1:18" x14ac:dyDescent="0.25">
      <c r="A524" t="s">
        <v>2749</v>
      </c>
      <c r="B524" t="s">
        <v>997</v>
      </c>
      <c r="C524" s="1">
        <v>45173</v>
      </c>
      <c r="D524" s="1" t="str">
        <f>TEXT(Delivery_data[[#This Row],[Order date]], "MMMM")</f>
        <v>September</v>
      </c>
      <c r="E524" s="1" t="str">
        <f>TEXT(Delivery_data[[#This Row],[Order date]], "DDDD")</f>
        <v>Monday</v>
      </c>
      <c r="F524" s="2">
        <v>0.63194444444444442</v>
      </c>
      <c r="G524" t="s">
        <v>22</v>
      </c>
      <c r="H524" t="str">
        <f>IF(Delivery_data[[#This Row],[Order Status]] = "In Progress", "Backlog", "Complete")</f>
        <v>Complete</v>
      </c>
      <c r="I524" t="s">
        <v>282</v>
      </c>
      <c r="J524" t="s">
        <v>1631</v>
      </c>
      <c r="K524" t="s">
        <v>31</v>
      </c>
      <c r="L524">
        <v>184</v>
      </c>
      <c r="M524">
        <v>18</v>
      </c>
      <c r="N524" t="s">
        <v>25</v>
      </c>
      <c r="O524" t="s">
        <v>33</v>
      </c>
      <c r="P524" t="s">
        <v>45</v>
      </c>
      <c r="Q524" t="s">
        <v>28</v>
      </c>
      <c r="R524" s="2">
        <v>0.49652777777777779</v>
      </c>
    </row>
    <row r="525" spans="1:18" x14ac:dyDescent="0.25">
      <c r="A525" t="s">
        <v>2826</v>
      </c>
      <c r="B525" t="s">
        <v>1302</v>
      </c>
      <c r="C525" s="1">
        <v>45176</v>
      </c>
      <c r="D525" s="1" t="str">
        <f>TEXT(Delivery_data[[#This Row],[Order date]], "MMMM")</f>
        <v>September</v>
      </c>
      <c r="E525" s="1" t="str">
        <f>TEXT(Delivery_data[[#This Row],[Order date]], "DDDD")</f>
        <v>Thursday</v>
      </c>
      <c r="F525" s="2">
        <v>0.41805555555555557</v>
      </c>
      <c r="G525" t="s">
        <v>48</v>
      </c>
      <c r="H525" t="str">
        <f>IF(Delivery_data[[#This Row],[Order Status]] = "In Progress", "Backlog", "Complete")</f>
        <v>Backlog</v>
      </c>
      <c r="I525" t="s">
        <v>282</v>
      </c>
      <c r="J525" t="s">
        <v>1631</v>
      </c>
      <c r="K525" t="s">
        <v>37</v>
      </c>
      <c r="L525">
        <v>138</v>
      </c>
      <c r="M525">
        <v>20</v>
      </c>
      <c r="N525" t="s">
        <v>32</v>
      </c>
      <c r="O525" t="s">
        <v>33</v>
      </c>
      <c r="P525" t="s">
        <v>34</v>
      </c>
      <c r="Q525" t="s">
        <v>51</v>
      </c>
      <c r="R525" s="2">
        <v>0.70416666666666672</v>
      </c>
    </row>
    <row r="526" spans="1:18" x14ac:dyDescent="0.25">
      <c r="A526" t="s">
        <v>2906</v>
      </c>
      <c r="B526" t="s">
        <v>1379</v>
      </c>
      <c r="C526" s="1">
        <v>45171</v>
      </c>
      <c r="D526" s="1" t="str">
        <f>TEXT(Delivery_data[[#This Row],[Order date]], "MMMM")</f>
        <v>September</v>
      </c>
      <c r="E526" s="1" t="str">
        <f>TEXT(Delivery_data[[#This Row],[Order date]], "DDDD")</f>
        <v>Saturday</v>
      </c>
      <c r="F526" s="2">
        <v>0.41666666666666669</v>
      </c>
      <c r="G526" t="s">
        <v>48</v>
      </c>
      <c r="H526" t="str">
        <f>IF(Delivery_data[[#This Row],[Order Status]] = "In Progress", "Backlog", "Complete")</f>
        <v>Backlog</v>
      </c>
      <c r="I526" t="s">
        <v>282</v>
      </c>
      <c r="J526" t="s">
        <v>1637</v>
      </c>
      <c r="K526" t="s">
        <v>37</v>
      </c>
      <c r="L526">
        <v>168</v>
      </c>
      <c r="M526">
        <v>29</v>
      </c>
      <c r="N526" t="s">
        <v>38</v>
      </c>
      <c r="O526" t="s">
        <v>54</v>
      </c>
      <c r="P526" t="s">
        <v>45</v>
      </c>
      <c r="Q526" t="s">
        <v>46</v>
      </c>
      <c r="R526" s="2">
        <v>0.37916666666666665</v>
      </c>
    </row>
    <row r="527" spans="1:18" x14ac:dyDescent="0.25">
      <c r="A527" t="s">
        <v>2917</v>
      </c>
      <c r="B527" t="s">
        <v>1390</v>
      </c>
      <c r="C527" s="1">
        <v>45176</v>
      </c>
      <c r="D527" s="1" t="str">
        <f>TEXT(Delivery_data[[#This Row],[Order date]], "MMMM")</f>
        <v>September</v>
      </c>
      <c r="E527" s="1" t="str">
        <f>TEXT(Delivery_data[[#This Row],[Order date]], "DDDD")</f>
        <v>Thursday</v>
      </c>
      <c r="F527" s="2">
        <v>0.59930555555555554</v>
      </c>
      <c r="G527" t="s">
        <v>22</v>
      </c>
      <c r="H527" t="str">
        <f>IF(Delivery_data[[#This Row],[Order Status]] = "In Progress", "Backlog", "Complete")</f>
        <v>Complete</v>
      </c>
      <c r="I527" t="s">
        <v>282</v>
      </c>
      <c r="J527" t="s">
        <v>1637</v>
      </c>
      <c r="K527" t="s">
        <v>44</v>
      </c>
      <c r="L527">
        <v>111</v>
      </c>
      <c r="M527">
        <v>0</v>
      </c>
      <c r="N527" t="s">
        <v>32</v>
      </c>
      <c r="O527" t="s">
        <v>26</v>
      </c>
      <c r="P527" t="s">
        <v>45</v>
      </c>
      <c r="Q527" t="s">
        <v>51</v>
      </c>
      <c r="R527" s="2">
        <v>0.49513888888888891</v>
      </c>
    </row>
    <row r="528" spans="1:18" x14ac:dyDescent="0.25">
      <c r="A528" t="s">
        <v>1646</v>
      </c>
      <c r="B528" t="s">
        <v>68</v>
      </c>
      <c r="C528" s="1">
        <v>45177</v>
      </c>
      <c r="D528" s="1" t="str">
        <f>TEXT(Delivery_data[[#This Row],[Order date]], "MMMM")</f>
        <v>September</v>
      </c>
      <c r="E528" s="1" t="str">
        <f>TEXT(Delivery_data[[#This Row],[Order date]], "DDDD")</f>
        <v>Friday</v>
      </c>
      <c r="F528" s="2">
        <v>0.68402777777777779</v>
      </c>
      <c r="G528" t="s">
        <v>22</v>
      </c>
      <c r="H528" t="str">
        <f>IF(Delivery_data[[#This Row],[Order Status]] = "In Progress", "Backlog", "Complete")</f>
        <v>Complete</v>
      </c>
      <c r="I528" t="s">
        <v>69</v>
      </c>
      <c r="J528" t="s">
        <v>1633</v>
      </c>
      <c r="K528" t="s">
        <v>44</v>
      </c>
      <c r="L528">
        <v>66</v>
      </c>
      <c r="M528">
        <v>11</v>
      </c>
      <c r="N528" t="s">
        <v>25</v>
      </c>
      <c r="O528" t="s">
        <v>50</v>
      </c>
      <c r="P528" t="s">
        <v>45</v>
      </c>
      <c r="Q528" t="s">
        <v>46</v>
      </c>
      <c r="R528" s="2">
        <v>0.68888888888888888</v>
      </c>
    </row>
    <row r="529" spans="1:18" x14ac:dyDescent="0.25">
      <c r="A529" t="s">
        <v>1893</v>
      </c>
      <c r="B529" t="s">
        <v>394</v>
      </c>
      <c r="C529" s="1">
        <v>45176</v>
      </c>
      <c r="D529" s="1" t="str">
        <f>TEXT(Delivery_data[[#This Row],[Order date]], "MMMM")</f>
        <v>September</v>
      </c>
      <c r="E529" s="1" t="str">
        <f>TEXT(Delivery_data[[#This Row],[Order date]], "DDDD")</f>
        <v>Thursday</v>
      </c>
      <c r="F529" s="2">
        <v>0.53680555555555554</v>
      </c>
      <c r="G529" t="s">
        <v>22</v>
      </c>
      <c r="H529" t="str">
        <f>IF(Delivery_data[[#This Row],[Order Status]] = "In Progress", "Backlog", "Complete")</f>
        <v>Complete</v>
      </c>
      <c r="I529" t="s">
        <v>69</v>
      </c>
      <c r="J529" t="s">
        <v>1633</v>
      </c>
      <c r="K529" t="s">
        <v>31</v>
      </c>
      <c r="L529">
        <v>91</v>
      </c>
      <c r="M529">
        <v>10</v>
      </c>
      <c r="N529" t="s">
        <v>38</v>
      </c>
      <c r="O529" t="s">
        <v>26</v>
      </c>
      <c r="P529" t="s">
        <v>45</v>
      </c>
      <c r="Q529" t="s">
        <v>46</v>
      </c>
      <c r="R529" s="2">
        <v>0.38055555555555554</v>
      </c>
    </row>
    <row r="530" spans="1:18" x14ac:dyDescent="0.25">
      <c r="A530" t="s">
        <v>2021</v>
      </c>
      <c r="B530" t="s">
        <v>526</v>
      </c>
      <c r="C530" s="1">
        <v>45170</v>
      </c>
      <c r="D530" s="1" t="str">
        <f>TEXT(Delivery_data[[#This Row],[Order date]], "MMMM")</f>
        <v>September</v>
      </c>
      <c r="E530" s="1" t="str">
        <f>TEXT(Delivery_data[[#This Row],[Order date]], "DDDD")</f>
        <v>Friday</v>
      </c>
      <c r="F530" s="2">
        <v>0.57708333333333328</v>
      </c>
      <c r="G530" t="s">
        <v>48</v>
      </c>
      <c r="H530" t="str">
        <f>IF(Delivery_data[[#This Row],[Order Status]] = "In Progress", "Backlog", "Complete")</f>
        <v>Backlog</v>
      </c>
      <c r="I530" t="s">
        <v>69</v>
      </c>
      <c r="J530" t="s">
        <v>1637</v>
      </c>
      <c r="K530" t="s">
        <v>61</v>
      </c>
      <c r="L530">
        <v>127</v>
      </c>
      <c r="M530">
        <v>28</v>
      </c>
      <c r="N530" t="s">
        <v>38</v>
      </c>
      <c r="O530" t="s">
        <v>41</v>
      </c>
      <c r="P530" t="s">
        <v>34</v>
      </c>
      <c r="Q530" t="s">
        <v>51</v>
      </c>
      <c r="R530" s="2">
        <v>0.46250000000000002</v>
      </c>
    </row>
    <row r="531" spans="1:18" x14ac:dyDescent="0.25">
      <c r="A531" t="s">
        <v>2139</v>
      </c>
      <c r="B531" t="s">
        <v>546</v>
      </c>
      <c r="C531" s="1">
        <v>45171</v>
      </c>
      <c r="D531" s="1" t="str">
        <f>TEXT(Delivery_data[[#This Row],[Order date]], "MMMM")</f>
        <v>September</v>
      </c>
      <c r="E531" s="1" t="str">
        <f>TEXT(Delivery_data[[#This Row],[Order date]], "DDDD")</f>
        <v>Saturday</v>
      </c>
      <c r="F531" s="2">
        <v>0.48333333333333334</v>
      </c>
      <c r="G531" t="s">
        <v>48</v>
      </c>
      <c r="H531" t="str">
        <f>IF(Delivery_data[[#This Row],[Order Status]] = "In Progress", "Backlog", "Complete")</f>
        <v>Backlog</v>
      </c>
      <c r="I531" t="s">
        <v>69</v>
      </c>
      <c r="J531" t="s">
        <v>1633</v>
      </c>
      <c r="K531" t="s">
        <v>61</v>
      </c>
      <c r="L531">
        <v>221</v>
      </c>
      <c r="M531">
        <v>24</v>
      </c>
      <c r="N531" t="s">
        <v>32</v>
      </c>
      <c r="O531" t="s">
        <v>26</v>
      </c>
      <c r="P531" t="s">
        <v>34</v>
      </c>
      <c r="Q531" t="s">
        <v>46</v>
      </c>
      <c r="R531" s="2">
        <v>0.52430555555555558</v>
      </c>
    </row>
    <row r="532" spans="1:18" x14ac:dyDescent="0.25">
      <c r="A532" t="s">
        <v>2211</v>
      </c>
      <c r="B532" t="s">
        <v>712</v>
      </c>
      <c r="C532" s="1">
        <v>45175</v>
      </c>
      <c r="D532" s="1" t="str">
        <f>TEXT(Delivery_data[[#This Row],[Order date]], "MMMM")</f>
        <v>September</v>
      </c>
      <c r="E532" s="1" t="str">
        <f>TEXT(Delivery_data[[#This Row],[Order date]], "DDDD")</f>
        <v>Wednesday</v>
      </c>
      <c r="F532" s="2">
        <v>0.41111111111111109</v>
      </c>
      <c r="G532" t="s">
        <v>22</v>
      </c>
      <c r="H532" t="str">
        <f>IF(Delivery_data[[#This Row],[Order Status]] = "In Progress", "Backlog", "Complete")</f>
        <v>Complete</v>
      </c>
      <c r="I532" t="s">
        <v>69</v>
      </c>
      <c r="J532" t="s">
        <v>1633</v>
      </c>
      <c r="K532" t="s">
        <v>31</v>
      </c>
      <c r="L532">
        <v>138</v>
      </c>
      <c r="M532">
        <v>0</v>
      </c>
      <c r="N532" t="s">
        <v>38</v>
      </c>
      <c r="O532" t="s">
        <v>26</v>
      </c>
      <c r="P532" t="s">
        <v>45</v>
      </c>
      <c r="Q532" t="s">
        <v>46</v>
      </c>
      <c r="R532" s="2">
        <v>0.54652777777777772</v>
      </c>
    </row>
    <row r="533" spans="1:18" x14ac:dyDescent="0.25">
      <c r="A533" t="s">
        <v>2395</v>
      </c>
      <c r="B533" t="s">
        <v>891</v>
      </c>
      <c r="C533" s="1">
        <v>45172</v>
      </c>
      <c r="D533" s="1" t="str">
        <f>TEXT(Delivery_data[[#This Row],[Order date]], "MMMM")</f>
        <v>September</v>
      </c>
      <c r="E533" s="1" t="str">
        <f>TEXT(Delivery_data[[#This Row],[Order date]], "DDDD")</f>
        <v>Sunday</v>
      </c>
      <c r="F533" s="2">
        <v>0.52361111111111114</v>
      </c>
      <c r="G533" t="s">
        <v>22</v>
      </c>
      <c r="H533" t="str">
        <f>IF(Delivery_data[[#This Row],[Order Status]] = "In Progress", "Backlog", "Complete")</f>
        <v>Complete</v>
      </c>
      <c r="I533" t="s">
        <v>69</v>
      </c>
      <c r="J533" t="s">
        <v>1637</v>
      </c>
      <c r="K533" t="s">
        <v>31</v>
      </c>
      <c r="L533">
        <v>124</v>
      </c>
      <c r="M533">
        <v>10</v>
      </c>
      <c r="N533" t="s">
        <v>32</v>
      </c>
      <c r="O533" t="s">
        <v>33</v>
      </c>
      <c r="P533" t="s">
        <v>34</v>
      </c>
      <c r="Q533" t="s">
        <v>28</v>
      </c>
      <c r="R533" s="2">
        <v>0.53749999999999998</v>
      </c>
    </row>
    <row r="534" spans="1:18" x14ac:dyDescent="0.25">
      <c r="A534" t="s">
        <v>2550</v>
      </c>
      <c r="B534" t="s">
        <v>1036</v>
      </c>
      <c r="C534" s="1">
        <v>45175</v>
      </c>
      <c r="D534" s="1" t="str">
        <f>TEXT(Delivery_data[[#This Row],[Order date]], "MMMM")</f>
        <v>September</v>
      </c>
      <c r="E534" s="1" t="str">
        <f>TEXT(Delivery_data[[#This Row],[Order date]], "DDDD")</f>
        <v>Wednesday</v>
      </c>
      <c r="F534" s="2">
        <v>0.3972222222222222</v>
      </c>
      <c r="G534" t="s">
        <v>22</v>
      </c>
      <c r="H534" t="str">
        <f>IF(Delivery_data[[#This Row],[Order Status]] = "In Progress", "Backlog", "Complete")</f>
        <v>Complete</v>
      </c>
      <c r="I534" t="s">
        <v>69</v>
      </c>
      <c r="J534" t="s">
        <v>1631</v>
      </c>
      <c r="K534" t="s">
        <v>31</v>
      </c>
      <c r="L534">
        <v>106</v>
      </c>
      <c r="M534">
        <v>14</v>
      </c>
      <c r="N534" t="s">
        <v>38</v>
      </c>
      <c r="O534" t="s">
        <v>33</v>
      </c>
      <c r="P534" t="s">
        <v>34</v>
      </c>
      <c r="Q534" t="s">
        <v>28</v>
      </c>
      <c r="R534" s="2">
        <v>0.60347222222222219</v>
      </c>
    </row>
    <row r="535" spans="1:18" x14ac:dyDescent="0.25">
      <c r="A535" t="s">
        <v>2843</v>
      </c>
      <c r="B535" t="s">
        <v>1319</v>
      </c>
      <c r="C535" s="1">
        <v>45174</v>
      </c>
      <c r="D535" s="1" t="str">
        <f>TEXT(Delivery_data[[#This Row],[Order date]], "MMMM")</f>
        <v>September</v>
      </c>
      <c r="E535" s="1" t="str">
        <f>TEXT(Delivery_data[[#This Row],[Order date]], "DDDD")</f>
        <v>Tuesday</v>
      </c>
      <c r="F535" s="2">
        <v>0.68055555555555558</v>
      </c>
      <c r="G535" t="s">
        <v>22</v>
      </c>
      <c r="H535" t="str">
        <f>IF(Delivery_data[[#This Row],[Order Status]] = "In Progress", "Backlog", "Complete")</f>
        <v>Complete</v>
      </c>
      <c r="I535" t="s">
        <v>69</v>
      </c>
      <c r="J535" t="s">
        <v>1631</v>
      </c>
      <c r="K535" t="s">
        <v>61</v>
      </c>
      <c r="L535">
        <v>64</v>
      </c>
      <c r="M535">
        <v>0</v>
      </c>
      <c r="N535" t="s">
        <v>32</v>
      </c>
      <c r="O535" t="s">
        <v>50</v>
      </c>
      <c r="P535" t="s">
        <v>27</v>
      </c>
      <c r="Q535" t="s">
        <v>28</v>
      </c>
      <c r="R535" s="2">
        <v>0.60138888888888886</v>
      </c>
    </row>
    <row r="536" spans="1:18" x14ac:dyDescent="0.25">
      <c r="A536" t="s">
        <v>2919</v>
      </c>
      <c r="B536" t="s">
        <v>1392</v>
      </c>
      <c r="C536" s="1">
        <v>45171</v>
      </c>
      <c r="D536" s="1" t="str">
        <f>TEXT(Delivery_data[[#This Row],[Order date]], "MMMM")</f>
        <v>September</v>
      </c>
      <c r="E536" s="1" t="str">
        <f>TEXT(Delivery_data[[#This Row],[Order date]], "DDDD")</f>
        <v>Saturday</v>
      </c>
      <c r="F536" s="2">
        <v>0.56666666666666665</v>
      </c>
      <c r="G536" t="s">
        <v>22</v>
      </c>
      <c r="H536" t="str">
        <f>IF(Delivery_data[[#This Row],[Order Status]] = "In Progress", "Backlog", "Complete")</f>
        <v>Complete</v>
      </c>
      <c r="I536" t="s">
        <v>69</v>
      </c>
      <c r="J536" t="s">
        <v>1633</v>
      </c>
      <c r="K536" t="s">
        <v>44</v>
      </c>
      <c r="L536">
        <v>77</v>
      </c>
      <c r="M536">
        <v>22</v>
      </c>
      <c r="N536" t="s">
        <v>38</v>
      </c>
      <c r="O536" t="s">
        <v>54</v>
      </c>
      <c r="P536" t="s">
        <v>45</v>
      </c>
      <c r="Q536" t="s">
        <v>28</v>
      </c>
      <c r="R536" s="2">
        <v>0.41249999999999998</v>
      </c>
    </row>
    <row r="537" spans="1:18" x14ac:dyDescent="0.25">
      <c r="A537" t="s">
        <v>2948</v>
      </c>
      <c r="B537" t="s">
        <v>1421</v>
      </c>
      <c r="C537" s="1">
        <v>45176</v>
      </c>
      <c r="D537" s="1" t="str">
        <f>TEXT(Delivery_data[[#This Row],[Order date]], "MMMM")</f>
        <v>September</v>
      </c>
      <c r="E537" s="1" t="str">
        <f>TEXT(Delivery_data[[#This Row],[Order date]], "DDDD")</f>
        <v>Thursday</v>
      </c>
      <c r="F537" s="2">
        <v>0.62638888888888888</v>
      </c>
      <c r="G537" t="s">
        <v>48</v>
      </c>
      <c r="H537" t="str">
        <f>IF(Delivery_data[[#This Row],[Order Status]] = "In Progress", "Backlog", "Complete")</f>
        <v>Backlog</v>
      </c>
      <c r="I537" t="s">
        <v>69</v>
      </c>
      <c r="J537" t="s">
        <v>1631</v>
      </c>
      <c r="K537" t="s">
        <v>31</v>
      </c>
      <c r="L537">
        <v>99</v>
      </c>
      <c r="M537">
        <v>17</v>
      </c>
      <c r="N537" t="s">
        <v>38</v>
      </c>
      <c r="O537" t="s">
        <v>26</v>
      </c>
      <c r="P537" t="s">
        <v>27</v>
      </c>
      <c r="Q537" t="s">
        <v>51</v>
      </c>
      <c r="R537" s="2">
        <v>0.50138888888888888</v>
      </c>
    </row>
    <row r="538" spans="1:18" x14ac:dyDescent="0.25">
      <c r="A538" t="s">
        <v>3020</v>
      </c>
      <c r="B538" t="s">
        <v>1491</v>
      </c>
      <c r="C538" s="1">
        <v>45177</v>
      </c>
      <c r="D538" s="1" t="str">
        <f>TEXT(Delivery_data[[#This Row],[Order date]], "MMMM")</f>
        <v>September</v>
      </c>
      <c r="E538" s="1" t="str">
        <f>TEXT(Delivery_data[[#This Row],[Order date]], "DDDD")</f>
        <v>Friday</v>
      </c>
      <c r="F538" s="2">
        <v>0.51944444444444449</v>
      </c>
      <c r="G538" t="s">
        <v>22</v>
      </c>
      <c r="H538" t="str">
        <f>IF(Delivery_data[[#This Row],[Order Status]] = "In Progress", "Backlog", "Complete")</f>
        <v>Complete</v>
      </c>
      <c r="I538" t="s">
        <v>69</v>
      </c>
      <c r="J538" t="s">
        <v>1637</v>
      </c>
      <c r="K538" t="s">
        <v>44</v>
      </c>
      <c r="L538">
        <v>201</v>
      </c>
      <c r="M538">
        <v>15</v>
      </c>
      <c r="N538" t="s">
        <v>25</v>
      </c>
      <c r="O538" t="s">
        <v>26</v>
      </c>
      <c r="P538" t="s">
        <v>34</v>
      </c>
      <c r="Q538" t="s">
        <v>28</v>
      </c>
      <c r="R538" s="2">
        <v>0.53888888888888886</v>
      </c>
    </row>
    <row r="539" spans="1:18" x14ac:dyDescent="0.25">
      <c r="A539" t="s">
        <v>3021</v>
      </c>
      <c r="B539" t="s">
        <v>1492</v>
      </c>
      <c r="C539" s="1">
        <v>45177</v>
      </c>
      <c r="D539" s="1" t="str">
        <f>TEXT(Delivery_data[[#This Row],[Order date]], "MMMM")</f>
        <v>September</v>
      </c>
      <c r="E539" s="1" t="str">
        <f>TEXT(Delivery_data[[#This Row],[Order date]], "DDDD")</f>
        <v>Friday</v>
      </c>
      <c r="F539" s="2">
        <v>0.51180555555555551</v>
      </c>
      <c r="G539" t="s">
        <v>48</v>
      </c>
      <c r="H539" t="str">
        <f>IF(Delivery_data[[#This Row],[Order Status]] = "In Progress", "Backlog", "Complete")</f>
        <v>Backlog</v>
      </c>
      <c r="I539" t="s">
        <v>69</v>
      </c>
      <c r="J539" t="s">
        <v>1637</v>
      </c>
      <c r="K539" t="s">
        <v>61</v>
      </c>
      <c r="L539">
        <v>97</v>
      </c>
      <c r="M539">
        <v>20</v>
      </c>
      <c r="N539" t="s">
        <v>25</v>
      </c>
      <c r="O539" t="s">
        <v>26</v>
      </c>
      <c r="P539" t="s">
        <v>45</v>
      </c>
      <c r="Q539" t="s">
        <v>51</v>
      </c>
      <c r="R539" s="2">
        <v>0.66874999999999996</v>
      </c>
    </row>
    <row r="540" spans="1:18" x14ac:dyDescent="0.25">
      <c r="A540" t="s">
        <v>3070</v>
      </c>
      <c r="B540" t="s">
        <v>1538</v>
      </c>
      <c r="C540" s="1">
        <v>45175</v>
      </c>
      <c r="D540" s="1" t="str">
        <f>TEXT(Delivery_data[[#This Row],[Order date]], "MMMM")</f>
        <v>September</v>
      </c>
      <c r="E540" s="1" t="str">
        <f>TEXT(Delivery_data[[#This Row],[Order date]], "DDDD")</f>
        <v>Wednesday</v>
      </c>
      <c r="F540" s="2">
        <v>0.63958333333333328</v>
      </c>
      <c r="G540" t="s">
        <v>22</v>
      </c>
      <c r="H540" t="str">
        <f>IF(Delivery_data[[#This Row],[Order Status]] = "In Progress", "Backlog", "Complete")</f>
        <v>Complete</v>
      </c>
      <c r="I540" t="s">
        <v>69</v>
      </c>
      <c r="J540" t="s">
        <v>1633</v>
      </c>
      <c r="K540" t="s">
        <v>24</v>
      </c>
      <c r="L540">
        <v>72</v>
      </c>
      <c r="M540">
        <v>17</v>
      </c>
      <c r="N540" t="s">
        <v>32</v>
      </c>
      <c r="O540" t="s">
        <v>41</v>
      </c>
      <c r="P540" t="s">
        <v>34</v>
      </c>
      <c r="Q540" t="s">
        <v>51</v>
      </c>
      <c r="R540" s="2">
        <v>0.54652777777777772</v>
      </c>
    </row>
    <row r="541" spans="1:18" x14ac:dyDescent="0.25">
      <c r="A541" t="s">
        <v>1669</v>
      </c>
      <c r="B541" t="s">
        <v>110</v>
      </c>
      <c r="C541" s="1">
        <v>45171</v>
      </c>
      <c r="D541" s="1" t="str">
        <f>TEXT(Delivery_data[[#This Row],[Order date]], "MMMM")</f>
        <v>September</v>
      </c>
      <c r="E541" s="1" t="str">
        <f>TEXT(Delivery_data[[#This Row],[Order date]], "DDDD")</f>
        <v>Saturday</v>
      </c>
      <c r="F541" s="2">
        <v>0.70277777777777772</v>
      </c>
      <c r="G541" t="s">
        <v>48</v>
      </c>
      <c r="H541" t="str">
        <f>IF(Delivery_data[[#This Row],[Order Status]] = "In Progress", "Backlog", "Complete")</f>
        <v>Backlog</v>
      </c>
      <c r="I541" t="s">
        <v>111</v>
      </c>
      <c r="J541" t="s">
        <v>1633</v>
      </c>
      <c r="K541" t="s">
        <v>37</v>
      </c>
      <c r="L541">
        <v>134</v>
      </c>
      <c r="M541">
        <v>18</v>
      </c>
      <c r="N541" t="s">
        <v>38</v>
      </c>
      <c r="O541" t="s">
        <v>50</v>
      </c>
      <c r="P541" t="s">
        <v>45</v>
      </c>
      <c r="Q541" t="s">
        <v>28</v>
      </c>
      <c r="R541" s="2">
        <v>0.48125000000000001</v>
      </c>
    </row>
    <row r="542" spans="1:18" x14ac:dyDescent="0.25">
      <c r="A542" t="s">
        <v>1890</v>
      </c>
      <c r="B542" t="s">
        <v>391</v>
      </c>
      <c r="C542" s="1">
        <v>45170</v>
      </c>
      <c r="D542" s="1" t="str">
        <f>TEXT(Delivery_data[[#This Row],[Order date]], "MMMM")</f>
        <v>September</v>
      </c>
      <c r="E542" s="1" t="str">
        <f>TEXT(Delivery_data[[#This Row],[Order date]], "DDDD")</f>
        <v>Friday</v>
      </c>
      <c r="F542" s="2">
        <v>0.46319444444444446</v>
      </c>
      <c r="G542" t="s">
        <v>48</v>
      </c>
      <c r="H542" t="str">
        <f>IF(Delivery_data[[#This Row],[Order Status]] = "In Progress", "Backlog", "Complete")</f>
        <v>Backlog</v>
      </c>
      <c r="I542" t="s">
        <v>111</v>
      </c>
      <c r="J542" t="s">
        <v>1631</v>
      </c>
      <c r="K542" t="s">
        <v>61</v>
      </c>
      <c r="L542">
        <v>75</v>
      </c>
      <c r="M542">
        <v>22</v>
      </c>
      <c r="N542" t="s">
        <v>32</v>
      </c>
      <c r="O542" t="s">
        <v>50</v>
      </c>
      <c r="P542" t="s">
        <v>45</v>
      </c>
      <c r="Q542" t="s">
        <v>51</v>
      </c>
      <c r="R542" s="2">
        <v>0.64166666666666672</v>
      </c>
    </row>
    <row r="543" spans="1:18" x14ac:dyDescent="0.25">
      <c r="A543" t="s">
        <v>2020</v>
      </c>
      <c r="B543" t="s">
        <v>525</v>
      </c>
      <c r="C543" s="1">
        <v>45174</v>
      </c>
      <c r="D543" s="1" t="str">
        <f>TEXT(Delivery_data[[#This Row],[Order date]], "MMMM")</f>
        <v>September</v>
      </c>
      <c r="E543" s="1" t="str">
        <f>TEXT(Delivery_data[[#This Row],[Order date]], "DDDD")</f>
        <v>Tuesday</v>
      </c>
      <c r="F543" s="2">
        <v>0.55625000000000002</v>
      </c>
      <c r="G543" t="s">
        <v>48</v>
      </c>
      <c r="H543" t="str">
        <f>IF(Delivery_data[[#This Row],[Order Status]] = "In Progress", "Backlog", "Complete")</f>
        <v>Backlog</v>
      </c>
      <c r="I543" t="s">
        <v>111</v>
      </c>
      <c r="J543" t="s">
        <v>1631</v>
      </c>
      <c r="K543" t="s">
        <v>44</v>
      </c>
      <c r="L543">
        <v>143</v>
      </c>
      <c r="M543">
        <v>17</v>
      </c>
      <c r="N543" t="s">
        <v>38</v>
      </c>
      <c r="O543" t="s">
        <v>50</v>
      </c>
      <c r="P543" t="s">
        <v>27</v>
      </c>
      <c r="Q543" t="s">
        <v>51</v>
      </c>
      <c r="R543" s="2">
        <v>0.69305555555555554</v>
      </c>
    </row>
    <row r="544" spans="1:18" x14ac:dyDescent="0.25">
      <c r="A544" t="s">
        <v>2070</v>
      </c>
      <c r="B544" t="s">
        <v>575</v>
      </c>
      <c r="C544" s="1">
        <v>45177</v>
      </c>
      <c r="D544" s="1" t="str">
        <f>TEXT(Delivery_data[[#This Row],[Order date]], "MMMM")</f>
        <v>September</v>
      </c>
      <c r="E544" s="1" t="str">
        <f>TEXT(Delivery_data[[#This Row],[Order date]], "DDDD")</f>
        <v>Friday</v>
      </c>
      <c r="F544" s="2">
        <v>0.65625</v>
      </c>
      <c r="G544" t="s">
        <v>22</v>
      </c>
      <c r="H544" t="str">
        <f>IF(Delivery_data[[#This Row],[Order Status]] = "In Progress", "Backlog", "Complete")</f>
        <v>Complete</v>
      </c>
      <c r="I544" t="s">
        <v>111</v>
      </c>
      <c r="J544" t="s">
        <v>1633</v>
      </c>
      <c r="K544" t="s">
        <v>24</v>
      </c>
      <c r="L544">
        <v>178</v>
      </c>
      <c r="M544">
        <v>12</v>
      </c>
      <c r="N544" t="s">
        <v>32</v>
      </c>
      <c r="O544" t="s">
        <v>33</v>
      </c>
      <c r="P544" t="s">
        <v>27</v>
      </c>
      <c r="Q544" t="s">
        <v>46</v>
      </c>
      <c r="R544" s="2">
        <v>0.62569444444444444</v>
      </c>
    </row>
    <row r="545" spans="1:18" x14ac:dyDescent="0.25">
      <c r="A545" t="s">
        <v>2145</v>
      </c>
      <c r="B545" t="s">
        <v>648</v>
      </c>
      <c r="C545" s="1">
        <v>45171</v>
      </c>
      <c r="D545" s="1" t="str">
        <f>TEXT(Delivery_data[[#This Row],[Order date]], "MMMM")</f>
        <v>September</v>
      </c>
      <c r="E545" s="1" t="str">
        <f>TEXT(Delivery_data[[#This Row],[Order date]], "DDDD")</f>
        <v>Saturday</v>
      </c>
      <c r="F545" s="2">
        <v>0.36944444444444446</v>
      </c>
      <c r="G545" t="s">
        <v>22</v>
      </c>
      <c r="H545" t="str">
        <f>IF(Delivery_data[[#This Row],[Order Status]] = "In Progress", "Backlog", "Complete")</f>
        <v>Complete</v>
      </c>
      <c r="I545" t="s">
        <v>111</v>
      </c>
      <c r="J545" t="s">
        <v>1637</v>
      </c>
      <c r="K545" t="s">
        <v>61</v>
      </c>
      <c r="L545">
        <v>133</v>
      </c>
      <c r="M545">
        <v>22</v>
      </c>
      <c r="N545" t="s">
        <v>25</v>
      </c>
      <c r="O545" t="s">
        <v>50</v>
      </c>
      <c r="P545" t="s">
        <v>45</v>
      </c>
      <c r="Q545" t="s">
        <v>28</v>
      </c>
      <c r="R545" s="2">
        <v>0.63958333333333328</v>
      </c>
    </row>
    <row r="546" spans="1:18" x14ac:dyDescent="0.25">
      <c r="A546" t="s">
        <v>2266</v>
      </c>
      <c r="B546" t="s">
        <v>766</v>
      </c>
      <c r="C546" s="1">
        <v>45170</v>
      </c>
      <c r="D546" s="1" t="str">
        <f>TEXT(Delivery_data[[#This Row],[Order date]], "MMMM")</f>
        <v>September</v>
      </c>
      <c r="E546" s="1" t="str">
        <f>TEXT(Delivery_data[[#This Row],[Order date]], "DDDD")</f>
        <v>Friday</v>
      </c>
      <c r="F546" s="2">
        <v>0.68541666666666667</v>
      </c>
      <c r="G546" t="s">
        <v>48</v>
      </c>
      <c r="H546" t="str">
        <f>IF(Delivery_data[[#This Row],[Order Status]] = "In Progress", "Backlog", "Complete")</f>
        <v>Backlog</v>
      </c>
      <c r="I546" t="s">
        <v>111</v>
      </c>
      <c r="J546" t="s">
        <v>1637</v>
      </c>
      <c r="K546" t="s">
        <v>44</v>
      </c>
      <c r="L546">
        <v>88</v>
      </c>
      <c r="M546">
        <v>14</v>
      </c>
      <c r="N546" t="s">
        <v>38</v>
      </c>
      <c r="O546" t="s">
        <v>41</v>
      </c>
      <c r="P546" t="s">
        <v>45</v>
      </c>
      <c r="Q546" t="s">
        <v>28</v>
      </c>
      <c r="R546" s="2">
        <v>0.60555555555555551</v>
      </c>
    </row>
    <row r="547" spans="1:18" x14ac:dyDescent="0.25">
      <c r="A547" t="s">
        <v>2488</v>
      </c>
      <c r="B547" t="s">
        <v>978</v>
      </c>
      <c r="C547" s="1">
        <v>45173</v>
      </c>
      <c r="D547" s="1" t="str">
        <f>TEXT(Delivery_data[[#This Row],[Order date]], "MMMM")</f>
        <v>September</v>
      </c>
      <c r="E547" s="1" t="str">
        <f>TEXT(Delivery_data[[#This Row],[Order date]], "DDDD")</f>
        <v>Monday</v>
      </c>
      <c r="F547" s="2">
        <v>0.50555555555555554</v>
      </c>
      <c r="G547" t="s">
        <v>48</v>
      </c>
      <c r="H547" t="str">
        <f>IF(Delivery_data[[#This Row],[Order Status]] = "In Progress", "Backlog", "Complete")</f>
        <v>Backlog</v>
      </c>
      <c r="I547" t="s">
        <v>111</v>
      </c>
      <c r="J547" t="s">
        <v>1633</v>
      </c>
      <c r="K547" t="s">
        <v>61</v>
      </c>
      <c r="L547">
        <v>122</v>
      </c>
      <c r="M547">
        <v>5</v>
      </c>
      <c r="N547" t="s">
        <v>38</v>
      </c>
      <c r="O547" t="s">
        <v>54</v>
      </c>
      <c r="P547" t="s">
        <v>34</v>
      </c>
      <c r="Q547" t="s">
        <v>46</v>
      </c>
      <c r="R547" s="2">
        <v>0.53611111111111109</v>
      </c>
    </row>
    <row r="548" spans="1:18" x14ac:dyDescent="0.25">
      <c r="A548" t="s">
        <v>2566</v>
      </c>
      <c r="B548" t="s">
        <v>1051</v>
      </c>
      <c r="C548" s="1">
        <v>45174</v>
      </c>
      <c r="D548" s="1" t="str">
        <f>TEXT(Delivery_data[[#This Row],[Order date]], "MMMM")</f>
        <v>September</v>
      </c>
      <c r="E548" s="1" t="str">
        <f>TEXT(Delivery_data[[#This Row],[Order date]], "DDDD")</f>
        <v>Tuesday</v>
      </c>
      <c r="F548" s="2">
        <v>0.56111111111111112</v>
      </c>
      <c r="G548" t="s">
        <v>22</v>
      </c>
      <c r="H548" t="str">
        <f>IF(Delivery_data[[#This Row],[Order Status]] = "In Progress", "Backlog", "Complete")</f>
        <v>Complete</v>
      </c>
      <c r="I548" t="s">
        <v>111</v>
      </c>
      <c r="J548" t="s">
        <v>1631</v>
      </c>
      <c r="K548" t="s">
        <v>31</v>
      </c>
      <c r="L548">
        <v>206</v>
      </c>
      <c r="M548">
        <v>13</v>
      </c>
      <c r="N548" t="s">
        <v>38</v>
      </c>
      <c r="O548" t="s">
        <v>26</v>
      </c>
      <c r="P548" t="s">
        <v>45</v>
      </c>
      <c r="Q548" t="s">
        <v>51</v>
      </c>
      <c r="R548" s="2">
        <v>0.35416666666666669</v>
      </c>
    </row>
    <row r="549" spans="1:18" x14ac:dyDescent="0.25">
      <c r="A549" t="s">
        <v>2570</v>
      </c>
      <c r="B549" t="s">
        <v>1054</v>
      </c>
      <c r="C549" s="1">
        <v>45174</v>
      </c>
      <c r="D549" s="1" t="str">
        <f>TEXT(Delivery_data[[#This Row],[Order date]], "MMMM")</f>
        <v>September</v>
      </c>
      <c r="E549" s="1" t="str">
        <f>TEXT(Delivery_data[[#This Row],[Order date]], "DDDD")</f>
        <v>Tuesday</v>
      </c>
      <c r="F549" s="2">
        <v>0.40833333333333333</v>
      </c>
      <c r="G549" t="s">
        <v>48</v>
      </c>
      <c r="H549" t="str">
        <f>IF(Delivery_data[[#This Row],[Order Status]] = "In Progress", "Backlog", "Complete")</f>
        <v>Backlog</v>
      </c>
      <c r="I549" t="s">
        <v>111</v>
      </c>
      <c r="J549" t="s">
        <v>1637</v>
      </c>
      <c r="K549" t="s">
        <v>24</v>
      </c>
      <c r="L549">
        <v>73</v>
      </c>
      <c r="M549">
        <v>21</v>
      </c>
      <c r="N549" t="s">
        <v>25</v>
      </c>
      <c r="O549" t="s">
        <v>41</v>
      </c>
      <c r="P549" t="s">
        <v>45</v>
      </c>
      <c r="Q549" t="s">
        <v>28</v>
      </c>
      <c r="R549" s="2">
        <v>0.68263888888888891</v>
      </c>
    </row>
    <row r="550" spans="1:18" x14ac:dyDescent="0.25">
      <c r="A550" t="s">
        <v>2712</v>
      </c>
      <c r="B550" t="s">
        <v>1193</v>
      </c>
      <c r="C550" s="1">
        <v>45173</v>
      </c>
      <c r="D550" s="1" t="str">
        <f>TEXT(Delivery_data[[#This Row],[Order date]], "MMMM")</f>
        <v>September</v>
      </c>
      <c r="E550" s="1" t="str">
        <f>TEXT(Delivery_data[[#This Row],[Order date]], "DDDD")</f>
        <v>Monday</v>
      </c>
      <c r="F550" s="2">
        <v>0.34652777777777777</v>
      </c>
      <c r="G550" t="s">
        <v>48</v>
      </c>
      <c r="H550" t="str">
        <f>IF(Delivery_data[[#This Row],[Order Status]] = "In Progress", "Backlog", "Complete")</f>
        <v>Backlog</v>
      </c>
      <c r="I550" t="s">
        <v>111</v>
      </c>
      <c r="J550" t="s">
        <v>1631</v>
      </c>
      <c r="K550" t="s">
        <v>61</v>
      </c>
      <c r="L550">
        <v>239</v>
      </c>
      <c r="M550">
        <v>21</v>
      </c>
      <c r="N550" t="s">
        <v>25</v>
      </c>
      <c r="O550" t="s">
        <v>26</v>
      </c>
      <c r="P550" t="s">
        <v>45</v>
      </c>
      <c r="Q550" t="s">
        <v>51</v>
      </c>
      <c r="R550" s="2">
        <v>0.53402777777777777</v>
      </c>
    </row>
    <row r="551" spans="1:18" x14ac:dyDescent="0.25">
      <c r="A551" t="s">
        <v>2890</v>
      </c>
      <c r="B551" t="s">
        <v>1363</v>
      </c>
      <c r="C551" s="1">
        <v>45171</v>
      </c>
      <c r="D551" s="1" t="str">
        <f>TEXT(Delivery_data[[#This Row],[Order date]], "MMMM")</f>
        <v>September</v>
      </c>
      <c r="E551" s="1" t="str">
        <f>TEXT(Delivery_data[[#This Row],[Order date]], "DDDD")</f>
        <v>Saturday</v>
      </c>
      <c r="F551" s="2">
        <v>0.62291666666666667</v>
      </c>
      <c r="G551" t="s">
        <v>48</v>
      </c>
      <c r="H551" t="str">
        <f>IF(Delivery_data[[#This Row],[Order Status]] = "In Progress", "Backlog", "Complete")</f>
        <v>Backlog</v>
      </c>
      <c r="I551" t="s">
        <v>111</v>
      </c>
      <c r="J551" t="s">
        <v>1637</v>
      </c>
      <c r="K551" t="s">
        <v>61</v>
      </c>
      <c r="L551">
        <v>67</v>
      </c>
      <c r="M551">
        <v>29</v>
      </c>
      <c r="N551" t="s">
        <v>25</v>
      </c>
      <c r="O551" t="s">
        <v>26</v>
      </c>
      <c r="P551" t="s">
        <v>34</v>
      </c>
      <c r="Q551" t="s">
        <v>46</v>
      </c>
      <c r="R551" s="2">
        <v>0.50138888888888888</v>
      </c>
    </row>
    <row r="552" spans="1:18" x14ac:dyDescent="0.25">
      <c r="A552" t="s">
        <v>2925</v>
      </c>
      <c r="B552" t="s">
        <v>1398</v>
      </c>
      <c r="C552" s="1">
        <v>45172</v>
      </c>
      <c r="D552" s="1" t="str">
        <f>TEXT(Delivery_data[[#This Row],[Order date]], "MMMM")</f>
        <v>September</v>
      </c>
      <c r="E552" s="1" t="str">
        <f>TEXT(Delivery_data[[#This Row],[Order date]], "DDDD")</f>
        <v>Sunday</v>
      </c>
      <c r="F552" s="2">
        <v>0.53888888888888886</v>
      </c>
      <c r="G552" t="s">
        <v>48</v>
      </c>
      <c r="H552" t="str">
        <f>IF(Delivery_data[[#This Row],[Order Status]] = "In Progress", "Backlog", "Complete")</f>
        <v>Backlog</v>
      </c>
      <c r="I552" t="s">
        <v>111</v>
      </c>
      <c r="J552" t="s">
        <v>1637</v>
      </c>
      <c r="K552" t="s">
        <v>24</v>
      </c>
      <c r="L552">
        <v>66</v>
      </c>
      <c r="M552">
        <v>28</v>
      </c>
      <c r="N552" t="s">
        <v>32</v>
      </c>
      <c r="O552" t="s">
        <v>50</v>
      </c>
      <c r="P552" t="s">
        <v>34</v>
      </c>
      <c r="Q552" t="s">
        <v>46</v>
      </c>
      <c r="R552" s="2">
        <v>0.5</v>
      </c>
    </row>
    <row r="553" spans="1:18" x14ac:dyDescent="0.25">
      <c r="A553" t="s">
        <v>3072</v>
      </c>
      <c r="B553" t="s">
        <v>1540</v>
      </c>
      <c r="C553" s="1">
        <v>45172</v>
      </c>
      <c r="D553" s="1" t="str">
        <f>TEXT(Delivery_data[[#This Row],[Order date]], "MMMM")</f>
        <v>September</v>
      </c>
      <c r="E553" s="1" t="str">
        <f>TEXT(Delivery_data[[#This Row],[Order date]], "DDDD")</f>
        <v>Sunday</v>
      </c>
      <c r="F553" s="2">
        <v>0.34097222222222223</v>
      </c>
      <c r="G553" t="s">
        <v>48</v>
      </c>
      <c r="H553" t="str">
        <f>IF(Delivery_data[[#This Row],[Order Status]] = "In Progress", "Backlog", "Complete")</f>
        <v>Backlog</v>
      </c>
      <c r="I553" t="s">
        <v>111</v>
      </c>
      <c r="J553" t="s">
        <v>1633</v>
      </c>
      <c r="K553" t="s">
        <v>44</v>
      </c>
      <c r="L553">
        <v>233</v>
      </c>
      <c r="M553">
        <v>18</v>
      </c>
      <c r="N553" t="s">
        <v>32</v>
      </c>
      <c r="O553" t="s">
        <v>50</v>
      </c>
      <c r="P553" t="s">
        <v>27</v>
      </c>
      <c r="Q553" t="s">
        <v>46</v>
      </c>
      <c r="R553" s="2">
        <v>0.64722222222222225</v>
      </c>
    </row>
    <row r="554" spans="1:18" x14ac:dyDescent="0.25">
      <c r="A554" t="s">
        <v>3097</v>
      </c>
      <c r="B554" t="s">
        <v>1563</v>
      </c>
      <c r="C554" s="1">
        <v>45170</v>
      </c>
      <c r="D554" s="1" t="str">
        <f>TEXT(Delivery_data[[#This Row],[Order date]], "MMMM")</f>
        <v>September</v>
      </c>
      <c r="E554" s="1" t="str">
        <f>TEXT(Delivery_data[[#This Row],[Order date]], "DDDD")</f>
        <v>Friday</v>
      </c>
      <c r="F554" s="2">
        <v>0.69027777777777777</v>
      </c>
      <c r="G554" t="s">
        <v>48</v>
      </c>
      <c r="H554" t="str">
        <f>IF(Delivery_data[[#This Row],[Order Status]] = "In Progress", "Backlog", "Complete")</f>
        <v>Backlog</v>
      </c>
      <c r="I554" t="s">
        <v>111</v>
      </c>
      <c r="J554" t="s">
        <v>1633</v>
      </c>
      <c r="K554" t="s">
        <v>31</v>
      </c>
      <c r="L554">
        <v>152</v>
      </c>
      <c r="M554">
        <v>23</v>
      </c>
      <c r="N554" t="s">
        <v>25</v>
      </c>
      <c r="O554" t="s">
        <v>33</v>
      </c>
      <c r="P554" t="s">
        <v>27</v>
      </c>
      <c r="Q554" t="s">
        <v>51</v>
      </c>
      <c r="R554" s="2">
        <v>0.36736111111111114</v>
      </c>
    </row>
    <row r="555" spans="1:18" x14ac:dyDescent="0.25">
      <c r="A555" t="s">
        <v>1632</v>
      </c>
      <c r="B555" t="s">
        <v>29</v>
      </c>
      <c r="C555" s="1">
        <v>45170</v>
      </c>
      <c r="D555" s="1" t="str">
        <f>TEXT(Delivery_data[[#This Row],[Order date]], "MMMM")</f>
        <v>September</v>
      </c>
      <c r="E555" s="1" t="str">
        <f>TEXT(Delivery_data[[#This Row],[Order date]], "DDDD")</f>
        <v>Friday</v>
      </c>
      <c r="F555" s="2">
        <v>0.65763888888888888</v>
      </c>
      <c r="G555" t="s">
        <v>22</v>
      </c>
      <c r="H555" t="str">
        <f>IF(Delivery_data[[#This Row],[Order Status]] = "In Progress", "Backlog", "Complete")</f>
        <v>Complete</v>
      </c>
      <c r="I555" t="s">
        <v>30</v>
      </c>
      <c r="J555" t="s">
        <v>1633</v>
      </c>
      <c r="K555" t="s">
        <v>31</v>
      </c>
      <c r="L555">
        <v>163</v>
      </c>
      <c r="M555">
        <v>19</v>
      </c>
      <c r="N555" t="s">
        <v>32</v>
      </c>
      <c r="O555" t="s">
        <v>33</v>
      </c>
      <c r="P555" t="s">
        <v>34</v>
      </c>
      <c r="Q555" t="s">
        <v>28</v>
      </c>
      <c r="R555" s="2">
        <v>0.58472222222222225</v>
      </c>
    </row>
    <row r="556" spans="1:18" x14ac:dyDescent="0.25">
      <c r="A556" t="s">
        <v>1872</v>
      </c>
      <c r="B556" t="s">
        <v>371</v>
      </c>
      <c r="C556" s="1">
        <v>45170</v>
      </c>
      <c r="D556" s="1" t="str">
        <f>TEXT(Delivery_data[[#This Row],[Order date]], "MMMM")</f>
        <v>September</v>
      </c>
      <c r="E556" s="1" t="str">
        <f>TEXT(Delivery_data[[#This Row],[Order date]], "DDDD")</f>
        <v>Friday</v>
      </c>
      <c r="F556" s="2">
        <v>0.66805555555555551</v>
      </c>
      <c r="G556" t="s">
        <v>48</v>
      </c>
      <c r="H556" t="str">
        <f>IF(Delivery_data[[#This Row],[Order Status]] = "In Progress", "Backlog", "Complete")</f>
        <v>Backlog</v>
      </c>
      <c r="I556" t="s">
        <v>30</v>
      </c>
      <c r="J556" t="s">
        <v>1631</v>
      </c>
      <c r="K556" t="s">
        <v>61</v>
      </c>
      <c r="L556">
        <v>201</v>
      </c>
      <c r="M556">
        <v>14</v>
      </c>
      <c r="N556" t="s">
        <v>25</v>
      </c>
      <c r="O556" t="s">
        <v>26</v>
      </c>
      <c r="P556" t="s">
        <v>45</v>
      </c>
      <c r="Q556" t="s">
        <v>46</v>
      </c>
      <c r="R556" s="2">
        <v>0.41666666666666669</v>
      </c>
    </row>
    <row r="557" spans="1:18" x14ac:dyDescent="0.25">
      <c r="A557" t="s">
        <v>1947</v>
      </c>
      <c r="B557" t="s">
        <v>451</v>
      </c>
      <c r="C557" s="1">
        <v>45175</v>
      </c>
      <c r="D557" s="1" t="str">
        <f>TEXT(Delivery_data[[#This Row],[Order date]], "MMMM")</f>
        <v>September</v>
      </c>
      <c r="E557" s="1" t="str">
        <f>TEXT(Delivery_data[[#This Row],[Order date]], "DDDD")</f>
        <v>Wednesday</v>
      </c>
      <c r="F557" s="2">
        <v>0.60416666666666663</v>
      </c>
      <c r="G557" t="s">
        <v>22</v>
      </c>
      <c r="H557" t="str">
        <f>IF(Delivery_data[[#This Row],[Order Status]] = "In Progress", "Backlog", "Complete")</f>
        <v>Complete</v>
      </c>
      <c r="I557" t="s">
        <v>30</v>
      </c>
      <c r="J557" t="s">
        <v>1631</v>
      </c>
      <c r="K557" t="s">
        <v>44</v>
      </c>
      <c r="L557">
        <v>171</v>
      </c>
      <c r="M557">
        <v>2</v>
      </c>
      <c r="N557" t="s">
        <v>25</v>
      </c>
      <c r="O557" t="s">
        <v>50</v>
      </c>
      <c r="P557" t="s">
        <v>27</v>
      </c>
      <c r="Q557" t="s">
        <v>28</v>
      </c>
      <c r="R557" s="2">
        <v>0.5756944444444444</v>
      </c>
    </row>
    <row r="558" spans="1:18" x14ac:dyDescent="0.25">
      <c r="A558" t="s">
        <v>1954</v>
      </c>
      <c r="B558" t="s">
        <v>458</v>
      </c>
      <c r="C558" s="1">
        <v>45172</v>
      </c>
      <c r="D558" s="1" t="str">
        <f>TEXT(Delivery_data[[#This Row],[Order date]], "MMMM")</f>
        <v>September</v>
      </c>
      <c r="E558" s="1" t="str">
        <f>TEXT(Delivery_data[[#This Row],[Order date]], "DDDD")</f>
        <v>Sunday</v>
      </c>
      <c r="F558" s="2">
        <v>0.53472222222222221</v>
      </c>
      <c r="G558" t="s">
        <v>22</v>
      </c>
      <c r="H558" t="str">
        <f>IF(Delivery_data[[#This Row],[Order Status]] = "In Progress", "Backlog", "Complete")</f>
        <v>Complete</v>
      </c>
      <c r="I558" t="s">
        <v>30</v>
      </c>
      <c r="J558" t="s">
        <v>1637</v>
      </c>
      <c r="K558" t="s">
        <v>61</v>
      </c>
      <c r="L558">
        <v>76</v>
      </c>
      <c r="M558">
        <v>26</v>
      </c>
      <c r="N558" t="s">
        <v>32</v>
      </c>
      <c r="O558" t="s">
        <v>33</v>
      </c>
      <c r="P558" t="s">
        <v>27</v>
      </c>
      <c r="Q558" t="s">
        <v>51</v>
      </c>
      <c r="R558" s="2">
        <v>0.67291666666666672</v>
      </c>
    </row>
    <row r="559" spans="1:18" x14ac:dyDescent="0.25">
      <c r="A559" t="s">
        <v>1963</v>
      </c>
      <c r="B559" t="s">
        <v>467</v>
      </c>
      <c r="C559" s="1">
        <v>45173</v>
      </c>
      <c r="D559" s="1" t="str">
        <f>TEXT(Delivery_data[[#This Row],[Order date]], "MMMM")</f>
        <v>September</v>
      </c>
      <c r="E559" s="1" t="str">
        <f>TEXT(Delivery_data[[#This Row],[Order date]], "DDDD")</f>
        <v>Monday</v>
      </c>
      <c r="F559" s="2">
        <v>0.69513888888888886</v>
      </c>
      <c r="G559" t="s">
        <v>48</v>
      </c>
      <c r="H559" t="str">
        <f>IF(Delivery_data[[#This Row],[Order Status]] = "In Progress", "Backlog", "Complete")</f>
        <v>Backlog</v>
      </c>
      <c r="I559" t="s">
        <v>30</v>
      </c>
      <c r="J559" t="s">
        <v>1633</v>
      </c>
      <c r="K559" t="s">
        <v>37</v>
      </c>
      <c r="L559">
        <v>91</v>
      </c>
      <c r="M559">
        <v>17</v>
      </c>
      <c r="N559" t="s">
        <v>25</v>
      </c>
      <c r="O559" t="s">
        <v>41</v>
      </c>
      <c r="P559" t="s">
        <v>27</v>
      </c>
      <c r="Q559" t="s">
        <v>51</v>
      </c>
      <c r="R559" s="2">
        <v>0.64722222222222225</v>
      </c>
    </row>
    <row r="560" spans="1:18" x14ac:dyDescent="0.25">
      <c r="A560" t="s">
        <v>1994</v>
      </c>
      <c r="B560" t="s">
        <v>499</v>
      </c>
      <c r="C560" s="1">
        <v>45172</v>
      </c>
      <c r="D560" s="1" t="str">
        <f>TEXT(Delivery_data[[#This Row],[Order date]], "MMMM")</f>
        <v>September</v>
      </c>
      <c r="E560" s="1" t="str">
        <f>TEXT(Delivery_data[[#This Row],[Order date]], "DDDD")</f>
        <v>Sunday</v>
      </c>
      <c r="F560" s="2">
        <v>0.34791666666666665</v>
      </c>
      <c r="G560" t="s">
        <v>22</v>
      </c>
      <c r="H560" t="str">
        <f>IF(Delivery_data[[#This Row],[Order Status]] = "In Progress", "Backlog", "Complete")</f>
        <v>Complete</v>
      </c>
      <c r="I560" t="s">
        <v>30</v>
      </c>
      <c r="J560" t="s">
        <v>1631</v>
      </c>
      <c r="K560" t="s">
        <v>37</v>
      </c>
      <c r="L560">
        <v>136</v>
      </c>
      <c r="M560">
        <v>14</v>
      </c>
      <c r="N560" t="s">
        <v>38</v>
      </c>
      <c r="O560" t="s">
        <v>26</v>
      </c>
      <c r="P560" t="s">
        <v>34</v>
      </c>
      <c r="Q560" t="s">
        <v>28</v>
      </c>
      <c r="R560" s="2">
        <v>0.45555555555555555</v>
      </c>
    </row>
    <row r="561" spans="1:18" x14ac:dyDescent="0.25">
      <c r="A561" t="s">
        <v>2073</v>
      </c>
      <c r="B561" t="s">
        <v>578</v>
      </c>
      <c r="C561" s="1">
        <v>45170</v>
      </c>
      <c r="D561" s="1" t="str">
        <f>TEXT(Delivery_data[[#This Row],[Order date]], "MMMM")</f>
        <v>September</v>
      </c>
      <c r="E561" s="1" t="str">
        <f>TEXT(Delivery_data[[#This Row],[Order date]], "DDDD")</f>
        <v>Friday</v>
      </c>
      <c r="F561" s="2">
        <v>0.66597222222222219</v>
      </c>
      <c r="G561" t="s">
        <v>22</v>
      </c>
      <c r="H561" t="str">
        <f>IF(Delivery_data[[#This Row],[Order Status]] = "In Progress", "Backlog", "Complete")</f>
        <v>Complete</v>
      </c>
      <c r="I561" t="s">
        <v>30</v>
      </c>
      <c r="J561" t="s">
        <v>1633</v>
      </c>
      <c r="K561" t="s">
        <v>31</v>
      </c>
      <c r="L561">
        <v>170</v>
      </c>
      <c r="M561">
        <v>1</v>
      </c>
      <c r="N561" t="s">
        <v>25</v>
      </c>
      <c r="O561" t="s">
        <v>41</v>
      </c>
      <c r="P561" t="s">
        <v>45</v>
      </c>
      <c r="Q561" t="s">
        <v>51</v>
      </c>
      <c r="R561" s="2">
        <v>0.37291666666666667</v>
      </c>
    </row>
    <row r="562" spans="1:18" x14ac:dyDescent="0.25">
      <c r="A562" t="s">
        <v>2126</v>
      </c>
      <c r="B562" t="s">
        <v>630</v>
      </c>
      <c r="C562" s="1">
        <v>45176</v>
      </c>
      <c r="D562" s="1" t="str">
        <f>TEXT(Delivery_data[[#This Row],[Order date]], "MMMM")</f>
        <v>September</v>
      </c>
      <c r="E562" s="1" t="str">
        <f>TEXT(Delivery_data[[#This Row],[Order date]], "DDDD")</f>
        <v>Thursday</v>
      </c>
      <c r="F562" s="2">
        <v>0.69930555555555551</v>
      </c>
      <c r="G562" t="s">
        <v>48</v>
      </c>
      <c r="H562" t="str">
        <f>IF(Delivery_data[[#This Row],[Order Status]] = "In Progress", "Backlog", "Complete")</f>
        <v>Backlog</v>
      </c>
      <c r="I562" t="s">
        <v>30</v>
      </c>
      <c r="J562" t="s">
        <v>1631</v>
      </c>
      <c r="K562" t="s">
        <v>44</v>
      </c>
      <c r="L562">
        <v>67</v>
      </c>
      <c r="M562">
        <v>24</v>
      </c>
      <c r="N562" t="s">
        <v>25</v>
      </c>
      <c r="O562" t="s">
        <v>26</v>
      </c>
      <c r="P562" t="s">
        <v>27</v>
      </c>
      <c r="Q562" t="s">
        <v>46</v>
      </c>
      <c r="R562" s="2">
        <v>0.47847222222222224</v>
      </c>
    </row>
    <row r="563" spans="1:18" x14ac:dyDescent="0.25">
      <c r="A563" t="s">
        <v>2326</v>
      </c>
      <c r="B563" t="s">
        <v>824</v>
      </c>
      <c r="C563" s="1">
        <v>45177</v>
      </c>
      <c r="D563" s="1" t="str">
        <f>TEXT(Delivery_data[[#This Row],[Order date]], "MMMM")</f>
        <v>September</v>
      </c>
      <c r="E563" s="1" t="str">
        <f>TEXT(Delivery_data[[#This Row],[Order date]], "DDDD")</f>
        <v>Friday</v>
      </c>
      <c r="F563" s="2">
        <v>0.35138888888888886</v>
      </c>
      <c r="G563" t="s">
        <v>48</v>
      </c>
      <c r="H563" t="str">
        <f>IF(Delivery_data[[#This Row],[Order Status]] = "In Progress", "Backlog", "Complete")</f>
        <v>Backlog</v>
      </c>
      <c r="I563" t="s">
        <v>30</v>
      </c>
      <c r="J563" t="s">
        <v>1631</v>
      </c>
      <c r="K563" t="s">
        <v>61</v>
      </c>
      <c r="L563">
        <v>173</v>
      </c>
      <c r="M563">
        <v>15</v>
      </c>
      <c r="N563" t="s">
        <v>25</v>
      </c>
      <c r="O563" t="s">
        <v>33</v>
      </c>
      <c r="P563" t="s">
        <v>45</v>
      </c>
      <c r="Q563" t="s">
        <v>46</v>
      </c>
      <c r="R563" s="2">
        <v>0.53749999999999998</v>
      </c>
    </row>
    <row r="564" spans="1:18" x14ac:dyDescent="0.25">
      <c r="A564" t="s">
        <v>2433</v>
      </c>
      <c r="B564" t="s">
        <v>926</v>
      </c>
      <c r="C564" s="1">
        <v>45176</v>
      </c>
      <c r="D564" s="1" t="str">
        <f>TEXT(Delivery_data[[#This Row],[Order date]], "MMMM")</f>
        <v>September</v>
      </c>
      <c r="E564" s="1" t="str">
        <f>TEXT(Delivery_data[[#This Row],[Order date]], "DDDD")</f>
        <v>Thursday</v>
      </c>
      <c r="F564" s="2">
        <v>0.62013888888888891</v>
      </c>
      <c r="G564" t="s">
        <v>48</v>
      </c>
      <c r="H564" t="str">
        <f>IF(Delivery_data[[#This Row],[Order Status]] = "In Progress", "Backlog", "Complete")</f>
        <v>Backlog</v>
      </c>
      <c r="I564" t="s">
        <v>30</v>
      </c>
      <c r="J564" t="s">
        <v>1631</v>
      </c>
      <c r="K564" t="s">
        <v>37</v>
      </c>
      <c r="L564">
        <v>121</v>
      </c>
      <c r="M564">
        <v>16</v>
      </c>
      <c r="N564" t="s">
        <v>25</v>
      </c>
      <c r="O564" t="s">
        <v>54</v>
      </c>
      <c r="P564" t="s">
        <v>34</v>
      </c>
      <c r="Q564" t="s">
        <v>51</v>
      </c>
      <c r="R564" s="2">
        <v>0.38124999999999998</v>
      </c>
    </row>
    <row r="565" spans="1:18" x14ac:dyDescent="0.25">
      <c r="A565" t="s">
        <v>2443</v>
      </c>
      <c r="B565" t="s">
        <v>935</v>
      </c>
      <c r="C565" s="1">
        <v>45170</v>
      </c>
      <c r="D565" s="1" t="str">
        <f>TEXT(Delivery_data[[#This Row],[Order date]], "MMMM")</f>
        <v>September</v>
      </c>
      <c r="E565" s="1" t="str">
        <f>TEXT(Delivery_data[[#This Row],[Order date]], "DDDD")</f>
        <v>Friday</v>
      </c>
      <c r="F565" s="2">
        <v>0.59861111111111109</v>
      </c>
      <c r="G565" t="s">
        <v>48</v>
      </c>
      <c r="H565" t="str">
        <f>IF(Delivery_data[[#This Row],[Order Status]] = "In Progress", "Backlog", "Complete")</f>
        <v>Backlog</v>
      </c>
      <c r="I565" t="s">
        <v>30</v>
      </c>
      <c r="J565" t="s">
        <v>1633</v>
      </c>
      <c r="K565" t="s">
        <v>44</v>
      </c>
      <c r="L565">
        <v>176</v>
      </c>
      <c r="M565">
        <v>24</v>
      </c>
      <c r="N565" t="s">
        <v>32</v>
      </c>
      <c r="O565" t="s">
        <v>41</v>
      </c>
      <c r="P565" t="s">
        <v>34</v>
      </c>
      <c r="Q565" t="s">
        <v>46</v>
      </c>
      <c r="R565" s="2">
        <v>0.63402777777777775</v>
      </c>
    </row>
    <row r="566" spans="1:18" x14ac:dyDescent="0.25">
      <c r="A566" t="s">
        <v>2458</v>
      </c>
      <c r="B566" t="s">
        <v>950</v>
      </c>
      <c r="C566" s="1">
        <v>45173</v>
      </c>
      <c r="D566" s="1" t="str">
        <f>TEXT(Delivery_data[[#This Row],[Order date]], "MMMM")</f>
        <v>September</v>
      </c>
      <c r="E566" s="1" t="str">
        <f>TEXT(Delivery_data[[#This Row],[Order date]], "DDDD")</f>
        <v>Monday</v>
      </c>
      <c r="F566" s="2">
        <v>0.59444444444444444</v>
      </c>
      <c r="G566" t="s">
        <v>48</v>
      </c>
      <c r="H566" t="str">
        <f>IF(Delivery_data[[#This Row],[Order Status]] = "In Progress", "Backlog", "Complete")</f>
        <v>Backlog</v>
      </c>
      <c r="I566" t="s">
        <v>30</v>
      </c>
      <c r="J566" t="s">
        <v>1637</v>
      </c>
      <c r="K566" t="s">
        <v>61</v>
      </c>
      <c r="L566">
        <v>74</v>
      </c>
      <c r="M566">
        <v>22</v>
      </c>
      <c r="N566" t="s">
        <v>38</v>
      </c>
      <c r="O566" t="s">
        <v>54</v>
      </c>
      <c r="P566" t="s">
        <v>27</v>
      </c>
      <c r="Q566" t="s">
        <v>46</v>
      </c>
      <c r="R566" s="2">
        <v>0.60416666666666663</v>
      </c>
    </row>
    <row r="567" spans="1:18" x14ac:dyDescent="0.25">
      <c r="A567" t="s">
        <v>2490</v>
      </c>
      <c r="B567" t="s">
        <v>980</v>
      </c>
      <c r="C567" s="1">
        <v>45176</v>
      </c>
      <c r="D567" s="1" t="str">
        <f>TEXT(Delivery_data[[#This Row],[Order date]], "MMMM")</f>
        <v>September</v>
      </c>
      <c r="E567" s="1" t="str">
        <f>TEXT(Delivery_data[[#This Row],[Order date]], "DDDD")</f>
        <v>Thursday</v>
      </c>
      <c r="F567" s="2">
        <v>0.50763888888888886</v>
      </c>
      <c r="G567" t="s">
        <v>22</v>
      </c>
      <c r="H567" t="str">
        <f>IF(Delivery_data[[#This Row],[Order Status]] = "In Progress", "Backlog", "Complete")</f>
        <v>Complete</v>
      </c>
      <c r="I567" t="s">
        <v>30</v>
      </c>
      <c r="J567" t="s">
        <v>1633</v>
      </c>
      <c r="K567" t="s">
        <v>37</v>
      </c>
      <c r="L567">
        <v>153</v>
      </c>
      <c r="M567">
        <v>20</v>
      </c>
      <c r="N567" t="s">
        <v>32</v>
      </c>
      <c r="O567" t="s">
        <v>26</v>
      </c>
      <c r="P567" t="s">
        <v>34</v>
      </c>
      <c r="Q567" t="s">
        <v>28</v>
      </c>
      <c r="R567" s="2">
        <v>0.41388888888888886</v>
      </c>
    </row>
    <row r="568" spans="1:18" x14ac:dyDescent="0.25">
      <c r="A568" t="s">
        <v>2671</v>
      </c>
      <c r="B568" t="s">
        <v>1154</v>
      </c>
      <c r="C568" s="1">
        <v>45170</v>
      </c>
      <c r="D568" s="1" t="str">
        <f>TEXT(Delivery_data[[#This Row],[Order date]], "MMMM")</f>
        <v>September</v>
      </c>
      <c r="E568" s="1" t="str">
        <f>TEXT(Delivery_data[[#This Row],[Order date]], "DDDD")</f>
        <v>Friday</v>
      </c>
      <c r="F568" s="2">
        <v>0.42638888888888887</v>
      </c>
      <c r="G568" t="s">
        <v>22</v>
      </c>
      <c r="H568" t="str">
        <f>IF(Delivery_data[[#This Row],[Order Status]] = "In Progress", "Backlog", "Complete")</f>
        <v>Complete</v>
      </c>
      <c r="I568" t="s">
        <v>30</v>
      </c>
      <c r="J568" t="s">
        <v>1633</v>
      </c>
      <c r="K568" t="s">
        <v>24</v>
      </c>
      <c r="L568">
        <v>179</v>
      </c>
      <c r="M568">
        <v>14</v>
      </c>
      <c r="N568" t="s">
        <v>25</v>
      </c>
      <c r="O568" t="s">
        <v>54</v>
      </c>
      <c r="P568" t="s">
        <v>45</v>
      </c>
      <c r="Q568" t="s">
        <v>46</v>
      </c>
      <c r="R568" s="2">
        <v>0.73750000000000004</v>
      </c>
    </row>
    <row r="569" spans="1:18" x14ac:dyDescent="0.25">
      <c r="A569" t="s">
        <v>2792</v>
      </c>
      <c r="B569" t="s">
        <v>1269</v>
      </c>
      <c r="C569" s="1">
        <v>45174</v>
      </c>
      <c r="D569" s="1" t="str">
        <f>TEXT(Delivery_data[[#This Row],[Order date]], "MMMM")</f>
        <v>September</v>
      </c>
      <c r="E569" s="1" t="str">
        <f>TEXT(Delivery_data[[#This Row],[Order date]], "DDDD")</f>
        <v>Tuesday</v>
      </c>
      <c r="F569" s="2">
        <v>0.57152777777777775</v>
      </c>
      <c r="G569" t="s">
        <v>48</v>
      </c>
      <c r="H569" t="str">
        <f>IF(Delivery_data[[#This Row],[Order Status]] = "In Progress", "Backlog", "Complete")</f>
        <v>Backlog</v>
      </c>
      <c r="I569" t="s">
        <v>30</v>
      </c>
      <c r="J569" t="s">
        <v>1633</v>
      </c>
      <c r="K569" t="s">
        <v>31</v>
      </c>
      <c r="L569">
        <v>217</v>
      </c>
      <c r="M569">
        <v>7</v>
      </c>
      <c r="N569" t="s">
        <v>38</v>
      </c>
      <c r="O569" t="s">
        <v>41</v>
      </c>
      <c r="P569" t="s">
        <v>45</v>
      </c>
      <c r="Q569" t="s">
        <v>46</v>
      </c>
      <c r="R569" s="2">
        <v>0.39583333333333331</v>
      </c>
    </row>
    <row r="570" spans="1:18" x14ac:dyDescent="0.25">
      <c r="A570" t="s">
        <v>2923</v>
      </c>
      <c r="B570" t="s">
        <v>1396</v>
      </c>
      <c r="C570" s="1">
        <v>45176</v>
      </c>
      <c r="D570" s="1" t="str">
        <f>TEXT(Delivery_data[[#This Row],[Order date]], "MMMM")</f>
        <v>September</v>
      </c>
      <c r="E570" s="1" t="str">
        <f>TEXT(Delivery_data[[#This Row],[Order date]], "DDDD")</f>
        <v>Thursday</v>
      </c>
      <c r="F570" s="2">
        <v>0.52916666666666667</v>
      </c>
      <c r="G570" t="s">
        <v>48</v>
      </c>
      <c r="H570" t="str">
        <f>IF(Delivery_data[[#This Row],[Order Status]] = "In Progress", "Backlog", "Complete")</f>
        <v>Backlog</v>
      </c>
      <c r="I570" t="s">
        <v>30</v>
      </c>
      <c r="J570" t="s">
        <v>1637</v>
      </c>
      <c r="K570" t="s">
        <v>31</v>
      </c>
      <c r="L570">
        <v>95</v>
      </c>
      <c r="M570">
        <v>1</v>
      </c>
      <c r="N570" t="s">
        <v>38</v>
      </c>
      <c r="O570" t="s">
        <v>50</v>
      </c>
      <c r="P570" t="s">
        <v>27</v>
      </c>
      <c r="Q570" t="s">
        <v>51</v>
      </c>
      <c r="R570" s="2">
        <v>0.72569444444444442</v>
      </c>
    </row>
    <row r="571" spans="1:18" x14ac:dyDescent="0.25">
      <c r="A571" t="s">
        <v>3038</v>
      </c>
      <c r="B571" t="s">
        <v>1508</v>
      </c>
      <c r="C571" s="1">
        <v>45177</v>
      </c>
      <c r="D571" s="1" t="str">
        <f>TEXT(Delivery_data[[#This Row],[Order date]], "MMMM")</f>
        <v>September</v>
      </c>
      <c r="E571" s="1" t="str">
        <f>TEXT(Delivery_data[[#This Row],[Order date]], "DDDD")</f>
        <v>Friday</v>
      </c>
      <c r="F571" s="2">
        <v>0.4375</v>
      </c>
      <c r="G571" t="s">
        <v>22</v>
      </c>
      <c r="H571" t="str">
        <f>IF(Delivery_data[[#This Row],[Order Status]] = "In Progress", "Backlog", "Complete")</f>
        <v>Complete</v>
      </c>
      <c r="I571" t="s">
        <v>30</v>
      </c>
      <c r="J571" t="s">
        <v>1631</v>
      </c>
      <c r="K571" t="s">
        <v>61</v>
      </c>
      <c r="L571">
        <v>212</v>
      </c>
      <c r="M571">
        <v>0</v>
      </c>
      <c r="N571" t="s">
        <v>38</v>
      </c>
      <c r="O571" t="s">
        <v>26</v>
      </c>
      <c r="P571" t="s">
        <v>34</v>
      </c>
      <c r="Q571" t="s">
        <v>51</v>
      </c>
      <c r="R571" s="2">
        <v>0.48749999999999999</v>
      </c>
    </row>
    <row r="572" spans="1:18" x14ac:dyDescent="0.25">
      <c r="A572" t="s">
        <v>1768</v>
      </c>
      <c r="B572" t="s">
        <v>253</v>
      </c>
      <c r="C572" s="1">
        <v>45175</v>
      </c>
      <c r="D572" s="1" t="str">
        <f>TEXT(Delivery_data[[#This Row],[Order date]], "MMMM")</f>
        <v>September</v>
      </c>
      <c r="E572" s="1" t="str">
        <f>TEXT(Delivery_data[[#This Row],[Order date]], "DDDD")</f>
        <v>Wednesday</v>
      </c>
      <c r="F572" s="2">
        <v>0.35833333333333334</v>
      </c>
      <c r="G572" t="s">
        <v>48</v>
      </c>
      <c r="H572" t="str">
        <f>IF(Delivery_data[[#This Row],[Order Status]] = "In Progress", "Backlog", "Complete")</f>
        <v>Backlog</v>
      </c>
      <c r="I572" t="s">
        <v>254</v>
      </c>
      <c r="J572" t="s">
        <v>1631</v>
      </c>
      <c r="K572" t="s">
        <v>31</v>
      </c>
      <c r="L572">
        <v>217</v>
      </c>
      <c r="M572">
        <v>27</v>
      </c>
      <c r="N572" t="s">
        <v>38</v>
      </c>
      <c r="O572" t="s">
        <v>50</v>
      </c>
      <c r="P572" t="s">
        <v>27</v>
      </c>
      <c r="Q572" t="s">
        <v>46</v>
      </c>
      <c r="R572" s="2">
        <v>0.66388888888888886</v>
      </c>
    </row>
    <row r="573" spans="1:18" x14ac:dyDescent="0.25">
      <c r="A573" t="s">
        <v>1863</v>
      </c>
      <c r="B573" t="s">
        <v>362</v>
      </c>
      <c r="C573" s="1">
        <v>45174</v>
      </c>
      <c r="D573" s="1" t="str">
        <f>TEXT(Delivery_data[[#This Row],[Order date]], "MMMM")</f>
        <v>September</v>
      </c>
      <c r="E573" s="1" t="str">
        <f>TEXT(Delivery_data[[#This Row],[Order date]], "DDDD")</f>
        <v>Tuesday</v>
      </c>
      <c r="F573" s="2">
        <v>0.38055555555555554</v>
      </c>
      <c r="G573" t="s">
        <v>48</v>
      </c>
      <c r="H573" t="str">
        <f>IF(Delivery_data[[#This Row],[Order Status]] = "In Progress", "Backlog", "Complete")</f>
        <v>Backlog</v>
      </c>
      <c r="I573" t="s">
        <v>254</v>
      </c>
      <c r="J573" t="s">
        <v>1633</v>
      </c>
      <c r="K573" t="s">
        <v>31</v>
      </c>
      <c r="L573">
        <v>237</v>
      </c>
      <c r="M573">
        <v>8</v>
      </c>
      <c r="N573" t="s">
        <v>38</v>
      </c>
      <c r="O573" t="s">
        <v>33</v>
      </c>
      <c r="P573" t="s">
        <v>27</v>
      </c>
      <c r="Q573" t="s">
        <v>46</v>
      </c>
      <c r="R573" s="2">
        <v>0.65555555555555556</v>
      </c>
    </row>
    <row r="574" spans="1:18" x14ac:dyDescent="0.25">
      <c r="A574" t="s">
        <v>1909</v>
      </c>
      <c r="B574" t="s">
        <v>411</v>
      </c>
      <c r="C574" s="1">
        <v>45170</v>
      </c>
      <c r="D574" s="1" t="str">
        <f>TEXT(Delivery_data[[#This Row],[Order date]], "MMMM")</f>
        <v>September</v>
      </c>
      <c r="E574" s="1" t="str">
        <f>TEXT(Delivery_data[[#This Row],[Order date]], "DDDD")</f>
        <v>Friday</v>
      </c>
      <c r="F574" s="2">
        <v>0.34444444444444444</v>
      </c>
      <c r="G574" t="s">
        <v>22</v>
      </c>
      <c r="H574" t="str">
        <f>IF(Delivery_data[[#This Row],[Order Status]] = "In Progress", "Backlog", "Complete")</f>
        <v>Complete</v>
      </c>
      <c r="I574" t="s">
        <v>254</v>
      </c>
      <c r="J574" t="s">
        <v>1637</v>
      </c>
      <c r="K574" t="s">
        <v>44</v>
      </c>
      <c r="L574">
        <v>149</v>
      </c>
      <c r="M574">
        <v>26</v>
      </c>
      <c r="N574" t="s">
        <v>38</v>
      </c>
      <c r="O574" t="s">
        <v>26</v>
      </c>
      <c r="P574" t="s">
        <v>27</v>
      </c>
      <c r="Q574" t="s">
        <v>28</v>
      </c>
      <c r="R574" s="2">
        <v>0.60624999999999996</v>
      </c>
    </row>
    <row r="575" spans="1:18" x14ac:dyDescent="0.25">
      <c r="A575" t="s">
        <v>2013</v>
      </c>
      <c r="B575" t="s">
        <v>518</v>
      </c>
      <c r="C575" s="1">
        <v>45175</v>
      </c>
      <c r="D575" s="1" t="str">
        <f>TEXT(Delivery_data[[#This Row],[Order date]], "MMMM")</f>
        <v>September</v>
      </c>
      <c r="E575" s="1" t="str">
        <f>TEXT(Delivery_data[[#This Row],[Order date]], "DDDD")</f>
        <v>Wednesday</v>
      </c>
      <c r="F575" s="2">
        <v>0.49513888888888891</v>
      </c>
      <c r="G575" t="s">
        <v>48</v>
      </c>
      <c r="H575" t="str">
        <f>IF(Delivery_data[[#This Row],[Order Status]] = "In Progress", "Backlog", "Complete")</f>
        <v>Backlog</v>
      </c>
      <c r="I575" t="s">
        <v>254</v>
      </c>
      <c r="J575" t="s">
        <v>1633</v>
      </c>
      <c r="K575" t="s">
        <v>31</v>
      </c>
      <c r="L575">
        <v>181</v>
      </c>
      <c r="M575">
        <v>27</v>
      </c>
      <c r="N575" t="s">
        <v>32</v>
      </c>
      <c r="O575" t="s">
        <v>26</v>
      </c>
      <c r="P575" t="s">
        <v>27</v>
      </c>
      <c r="Q575" t="s">
        <v>46</v>
      </c>
      <c r="R575" s="2">
        <v>0.54513888888888884</v>
      </c>
    </row>
    <row r="576" spans="1:18" x14ac:dyDescent="0.25">
      <c r="A576" t="s">
        <v>2045</v>
      </c>
      <c r="B576" t="s">
        <v>550</v>
      </c>
      <c r="C576" s="1">
        <v>45174</v>
      </c>
      <c r="D576" s="1" t="str">
        <f>TEXT(Delivery_data[[#This Row],[Order date]], "MMMM")</f>
        <v>September</v>
      </c>
      <c r="E576" s="1" t="str">
        <f>TEXT(Delivery_data[[#This Row],[Order date]], "DDDD")</f>
        <v>Tuesday</v>
      </c>
      <c r="F576" s="2">
        <v>0.65972222222222221</v>
      </c>
      <c r="G576" t="s">
        <v>48</v>
      </c>
      <c r="H576" t="str">
        <f>IF(Delivery_data[[#This Row],[Order Status]] = "In Progress", "Backlog", "Complete")</f>
        <v>Backlog</v>
      </c>
      <c r="I576" t="s">
        <v>254</v>
      </c>
      <c r="J576" t="s">
        <v>1637</v>
      </c>
      <c r="K576" t="s">
        <v>37</v>
      </c>
      <c r="L576">
        <v>125</v>
      </c>
      <c r="M576">
        <v>21</v>
      </c>
      <c r="N576" t="s">
        <v>25</v>
      </c>
      <c r="O576" t="s">
        <v>33</v>
      </c>
      <c r="P576" t="s">
        <v>45</v>
      </c>
      <c r="Q576" t="s">
        <v>28</v>
      </c>
      <c r="R576" s="2">
        <v>0.65208333333333335</v>
      </c>
    </row>
    <row r="577" spans="1:18" x14ac:dyDescent="0.25">
      <c r="A577" t="s">
        <v>2123</v>
      </c>
      <c r="B577" t="s">
        <v>627</v>
      </c>
      <c r="C577" s="1">
        <v>45171</v>
      </c>
      <c r="D577" s="1" t="str">
        <f>TEXT(Delivery_data[[#This Row],[Order date]], "MMMM")</f>
        <v>September</v>
      </c>
      <c r="E577" s="1" t="str">
        <f>TEXT(Delivery_data[[#This Row],[Order date]], "DDDD")</f>
        <v>Saturday</v>
      </c>
      <c r="F577" s="2">
        <v>0.48680555555555555</v>
      </c>
      <c r="G577" t="s">
        <v>48</v>
      </c>
      <c r="H577" t="str">
        <f>IF(Delivery_data[[#This Row],[Order Status]] = "In Progress", "Backlog", "Complete")</f>
        <v>Backlog</v>
      </c>
      <c r="I577" t="s">
        <v>254</v>
      </c>
      <c r="J577" t="s">
        <v>1633</v>
      </c>
      <c r="K577" t="s">
        <v>44</v>
      </c>
      <c r="L577">
        <v>211</v>
      </c>
      <c r="M577">
        <v>22</v>
      </c>
      <c r="N577" t="s">
        <v>38</v>
      </c>
      <c r="O577" t="s">
        <v>50</v>
      </c>
      <c r="P577" t="s">
        <v>34</v>
      </c>
      <c r="Q577" t="s">
        <v>28</v>
      </c>
      <c r="R577" s="2">
        <v>0.48472222222222222</v>
      </c>
    </row>
    <row r="578" spans="1:18" x14ac:dyDescent="0.25">
      <c r="A578" t="s">
        <v>2309</v>
      </c>
      <c r="B578" t="s">
        <v>807</v>
      </c>
      <c r="C578" s="1">
        <v>45170</v>
      </c>
      <c r="D578" s="1" t="str">
        <f>TEXT(Delivery_data[[#This Row],[Order date]], "MMMM")</f>
        <v>September</v>
      </c>
      <c r="E578" s="1" t="str">
        <f>TEXT(Delivery_data[[#This Row],[Order date]], "DDDD")</f>
        <v>Friday</v>
      </c>
      <c r="F578" s="2">
        <v>0.65138888888888891</v>
      </c>
      <c r="G578" t="s">
        <v>48</v>
      </c>
      <c r="H578" t="str">
        <f>IF(Delivery_data[[#This Row],[Order Status]] = "In Progress", "Backlog", "Complete")</f>
        <v>Backlog</v>
      </c>
      <c r="I578" t="s">
        <v>254</v>
      </c>
      <c r="J578" t="s">
        <v>1631</v>
      </c>
      <c r="K578" t="s">
        <v>31</v>
      </c>
      <c r="L578">
        <v>87</v>
      </c>
      <c r="M578">
        <v>16</v>
      </c>
      <c r="N578" t="s">
        <v>25</v>
      </c>
      <c r="O578" t="s">
        <v>33</v>
      </c>
      <c r="P578" t="s">
        <v>34</v>
      </c>
      <c r="Q578" t="s">
        <v>28</v>
      </c>
      <c r="R578" s="2">
        <v>0.59236111111111112</v>
      </c>
    </row>
    <row r="579" spans="1:18" x14ac:dyDescent="0.25">
      <c r="A579" t="s">
        <v>2388</v>
      </c>
      <c r="B579" t="s">
        <v>884</v>
      </c>
      <c r="C579" s="1">
        <v>45177</v>
      </c>
      <c r="D579" s="1" t="str">
        <f>TEXT(Delivery_data[[#This Row],[Order date]], "MMMM")</f>
        <v>September</v>
      </c>
      <c r="E579" s="1" t="str">
        <f>TEXT(Delivery_data[[#This Row],[Order date]], "DDDD")</f>
        <v>Friday</v>
      </c>
      <c r="F579" s="2">
        <v>0.43888888888888888</v>
      </c>
      <c r="G579" t="s">
        <v>48</v>
      </c>
      <c r="H579" t="str">
        <f>IF(Delivery_data[[#This Row],[Order Status]] = "In Progress", "Backlog", "Complete")</f>
        <v>Backlog</v>
      </c>
      <c r="I579" t="s">
        <v>254</v>
      </c>
      <c r="J579" t="s">
        <v>1631</v>
      </c>
      <c r="K579" t="s">
        <v>37</v>
      </c>
      <c r="L579">
        <v>100</v>
      </c>
      <c r="M579">
        <v>12</v>
      </c>
      <c r="N579" t="s">
        <v>32</v>
      </c>
      <c r="O579" t="s">
        <v>41</v>
      </c>
      <c r="P579" t="s">
        <v>34</v>
      </c>
      <c r="Q579" t="s">
        <v>51</v>
      </c>
      <c r="R579" s="2">
        <v>0.4</v>
      </c>
    </row>
    <row r="580" spans="1:18" x14ac:dyDescent="0.25">
      <c r="A580" t="s">
        <v>2476</v>
      </c>
      <c r="B580" t="s">
        <v>967</v>
      </c>
      <c r="C580" s="1">
        <v>45176</v>
      </c>
      <c r="D580" s="1" t="str">
        <f>TEXT(Delivery_data[[#This Row],[Order date]], "MMMM")</f>
        <v>September</v>
      </c>
      <c r="E580" s="1" t="str">
        <f>TEXT(Delivery_data[[#This Row],[Order date]], "DDDD")</f>
        <v>Thursday</v>
      </c>
      <c r="F580" s="2">
        <v>0.6</v>
      </c>
      <c r="G580" t="s">
        <v>22</v>
      </c>
      <c r="H580" t="str">
        <f>IF(Delivery_data[[#This Row],[Order Status]] = "In Progress", "Backlog", "Complete")</f>
        <v>Complete</v>
      </c>
      <c r="I580" t="s">
        <v>254</v>
      </c>
      <c r="J580" t="s">
        <v>1631</v>
      </c>
      <c r="K580" t="s">
        <v>37</v>
      </c>
      <c r="L580">
        <v>95</v>
      </c>
      <c r="M580">
        <v>4</v>
      </c>
      <c r="N580" t="s">
        <v>32</v>
      </c>
      <c r="O580" t="s">
        <v>50</v>
      </c>
      <c r="P580" t="s">
        <v>45</v>
      </c>
      <c r="Q580" t="s">
        <v>46</v>
      </c>
      <c r="R580" s="2">
        <v>0.54513888888888884</v>
      </c>
    </row>
    <row r="581" spans="1:18" x14ac:dyDescent="0.25">
      <c r="A581" t="s">
        <v>2480</v>
      </c>
      <c r="B581" t="s">
        <v>971</v>
      </c>
      <c r="C581" s="1">
        <v>45170</v>
      </c>
      <c r="D581" s="1" t="str">
        <f>TEXT(Delivery_data[[#This Row],[Order date]], "MMMM")</f>
        <v>September</v>
      </c>
      <c r="E581" s="1" t="str">
        <f>TEXT(Delivery_data[[#This Row],[Order date]], "DDDD")</f>
        <v>Friday</v>
      </c>
      <c r="F581" s="2">
        <v>0.54236111111111107</v>
      </c>
      <c r="G581" t="s">
        <v>48</v>
      </c>
      <c r="H581" t="str">
        <f>IF(Delivery_data[[#This Row],[Order Status]] = "In Progress", "Backlog", "Complete")</f>
        <v>Backlog</v>
      </c>
      <c r="I581" t="s">
        <v>254</v>
      </c>
      <c r="J581" t="s">
        <v>1637</v>
      </c>
      <c r="K581" t="s">
        <v>44</v>
      </c>
      <c r="L581">
        <v>188</v>
      </c>
      <c r="M581">
        <v>8</v>
      </c>
      <c r="N581" t="s">
        <v>25</v>
      </c>
      <c r="O581" t="s">
        <v>26</v>
      </c>
      <c r="P581" t="s">
        <v>45</v>
      </c>
      <c r="Q581" t="s">
        <v>28</v>
      </c>
      <c r="R581" s="2">
        <v>0.57499999999999996</v>
      </c>
    </row>
    <row r="582" spans="1:18" x14ac:dyDescent="0.25">
      <c r="A582" t="s">
        <v>2504</v>
      </c>
      <c r="B582" t="s">
        <v>993</v>
      </c>
      <c r="C582" s="1">
        <v>45177</v>
      </c>
      <c r="D582" s="1" t="str">
        <f>TEXT(Delivery_data[[#This Row],[Order date]], "MMMM")</f>
        <v>September</v>
      </c>
      <c r="E582" s="1" t="str">
        <f>TEXT(Delivery_data[[#This Row],[Order date]], "DDDD")</f>
        <v>Friday</v>
      </c>
      <c r="F582" s="2">
        <v>0.39097222222222222</v>
      </c>
      <c r="G582" t="s">
        <v>48</v>
      </c>
      <c r="H582" t="str">
        <f>IF(Delivery_data[[#This Row],[Order Status]] = "In Progress", "Backlog", "Complete")</f>
        <v>Backlog</v>
      </c>
      <c r="I582" t="s">
        <v>254</v>
      </c>
      <c r="J582" t="s">
        <v>1631</v>
      </c>
      <c r="K582" t="s">
        <v>24</v>
      </c>
      <c r="L582">
        <v>184</v>
      </c>
      <c r="M582">
        <v>16</v>
      </c>
      <c r="N582" t="s">
        <v>38</v>
      </c>
      <c r="O582" t="s">
        <v>33</v>
      </c>
      <c r="P582" t="s">
        <v>27</v>
      </c>
      <c r="Q582" t="s">
        <v>51</v>
      </c>
      <c r="R582" s="2">
        <v>0.58611111111111114</v>
      </c>
    </row>
    <row r="583" spans="1:18" x14ac:dyDescent="0.25">
      <c r="A583" t="s">
        <v>2577</v>
      </c>
      <c r="B583" t="s">
        <v>1061</v>
      </c>
      <c r="C583" s="1">
        <v>45177</v>
      </c>
      <c r="D583" s="1" t="str">
        <f>TEXT(Delivery_data[[#This Row],[Order date]], "MMMM")</f>
        <v>September</v>
      </c>
      <c r="E583" s="1" t="str">
        <f>TEXT(Delivery_data[[#This Row],[Order date]], "DDDD")</f>
        <v>Friday</v>
      </c>
      <c r="F583" s="2">
        <v>0.59375</v>
      </c>
      <c r="G583" t="s">
        <v>48</v>
      </c>
      <c r="H583" t="str">
        <f>IF(Delivery_data[[#This Row],[Order Status]] = "In Progress", "Backlog", "Complete")</f>
        <v>Backlog</v>
      </c>
      <c r="I583" t="s">
        <v>254</v>
      </c>
      <c r="J583" t="s">
        <v>1637</v>
      </c>
      <c r="K583" t="s">
        <v>37</v>
      </c>
      <c r="L583">
        <v>177</v>
      </c>
      <c r="M583">
        <v>17</v>
      </c>
      <c r="N583" t="s">
        <v>38</v>
      </c>
      <c r="O583" t="s">
        <v>54</v>
      </c>
      <c r="P583" t="s">
        <v>45</v>
      </c>
      <c r="Q583" t="s">
        <v>28</v>
      </c>
      <c r="R583" s="2">
        <v>0.60763888888888884</v>
      </c>
    </row>
    <row r="584" spans="1:18" x14ac:dyDescent="0.25">
      <c r="A584" t="s">
        <v>2579</v>
      </c>
      <c r="B584" t="s">
        <v>1063</v>
      </c>
      <c r="C584" s="1">
        <v>45174</v>
      </c>
      <c r="D584" s="1" t="str">
        <f>TEXT(Delivery_data[[#This Row],[Order date]], "MMMM")</f>
        <v>September</v>
      </c>
      <c r="E584" s="1" t="str">
        <f>TEXT(Delivery_data[[#This Row],[Order date]], "DDDD")</f>
        <v>Tuesday</v>
      </c>
      <c r="F584" s="2">
        <v>0.66874999999999996</v>
      </c>
      <c r="G584" t="s">
        <v>48</v>
      </c>
      <c r="H584" t="str">
        <f>IF(Delivery_data[[#This Row],[Order Status]] = "In Progress", "Backlog", "Complete")</f>
        <v>Backlog</v>
      </c>
      <c r="I584" t="s">
        <v>254</v>
      </c>
      <c r="J584" t="s">
        <v>1633</v>
      </c>
      <c r="K584" t="s">
        <v>31</v>
      </c>
      <c r="L584">
        <v>109</v>
      </c>
      <c r="M584">
        <v>12</v>
      </c>
      <c r="N584" t="s">
        <v>25</v>
      </c>
      <c r="O584" t="s">
        <v>54</v>
      </c>
      <c r="P584" t="s">
        <v>45</v>
      </c>
      <c r="Q584" t="s">
        <v>51</v>
      </c>
      <c r="R584" s="2">
        <v>0.70347222222222228</v>
      </c>
    </row>
    <row r="585" spans="1:18" x14ac:dyDescent="0.25">
      <c r="A585" t="s">
        <v>2631</v>
      </c>
      <c r="B585" t="s">
        <v>1114</v>
      </c>
      <c r="C585" s="1">
        <v>45172</v>
      </c>
      <c r="D585" s="1" t="str">
        <f>TEXT(Delivery_data[[#This Row],[Order date]], "MMMM")</f>
        <v>September</v>
      </c>
      <c r="E585" s="1" t="str">
        <f>TEXT(Delivery_data[[#This Row],[Order date]], "DDDD")</f>
        <v>Sunday</v>
      </c>
      <c r="F585" s="2">
        <v>0.33333333333333331</v>
      </c>
      <c r="G585" t="s">
        <v>48</v>
      </c>
      <c r="H585" t="str">
        <f>IF(Delivery_data[[#This Row],[Order Status]] = "In Progress", "Backlog", "Complete")</f>
        <v>Backlog</v>
      </c>
      <c r="I585" t="s">
        <v>254</v>
      </c>
      <c r="J585" t="s">
        <v>1637</v>
      </c>
      <c r="K585" t="s">
        <v>31</v>
      </c>
      <c r="L585">
        <v>239</v>
      </c>
      <c r="M585">
        <v>10</v>
      </c>
      <c r="N585" t="s">
        <v>32</v>
      </c>
      <c r="O585" t="s">
        <v>41</v>
      </c>
      <c r="P585" t="s">
        <v>34</v>
      </c>
      <c r="Q585" t="s">
        <v>51</v>
      </c>
      <c r="R585" s="2">
        <v>0.50138888888888888</v>
      </c>
    </row>
    <row r="586" spans="1:18" x14ac:dyDescent="0.25">
      <c r="A586" t="s">
        <v>2662</v>
      </c>
      <c r="B586" t="s">
        <v>1145</v>
      </c>
      <c r="C586" s="1">
        <v>45174</v>
      </c>
      <c r="D586" s="1" t="str">
        <f>TEXT(Delivery_data[[#This Row],[Order date]], "MMMM")</f>
        <v>September</v>
      </c>
      <c r="E586" s="1" t="str">
        <f>TEXT(Delivery_data[[#This Row],[Order date]], "DDDD")</f>
        <v>Tuesday</v>
      </c>
      <c r="F586" s="2">
        <v>0.53819444444444442</v>
      </c>
      <c r="G586" t="s">
        <v>48</v>
      </c>
      <c r="H586" t="str">
        <f>IF(Delivery_data[[#This Row],[Order Status]] = "In Progress", "Backlog", "Complete")</f>
        <v>Backlog</v>
      </c>
      <c r="I586" t="s">
        <v>254</v>
      </c>
      <c r="J586" t="s">
        <v>1633</v>
      </c>
      <c r="K586" t="s">
        <v>44</v>
      </c>
      <c r="L586">
        <v>201</v>
      </c>
      <c r="M586">
        <v>14</v>
      </c>
      <c r="N586" t="s">
        <v>32</v>
      </c>
      <c r="O586" t="s">
        <v>33</v>
      </c>
      <c r="P586" t="s">
        <v>34</v>
      </c>
      <c r="Q586" t="s">
        <v>51</v>
      </c>
      <c r="R586" s="2">
        <v>0.59166666666666667</v>
      </c>
    </row>
    <row r="587" spans="1:18" x14ac:dyDescent="0.25">
      <c r="A587" t="s">
        <v>2676</v>
      </c>
      <c r="B587" t="s">
        <v>1159</v>
      </c>
      <c r="C587" s="1">
        <v>45177</v>
      </c>
      <c r="D587" s="1" t="str">
        <f>TEXT(Delivery_data[[#This Row],[Order date]], "MMMM")</f>
        <v>September</v>
      </c>
      <c r="E587" s="1" t="str">
        <f>TEXT(Delivery_data[[#This Row],[Order date]], "DDDD")</f>
        <v>Friday</v>
      </c>
      <c r="F587" s="2">
        <v>0.375</v>
      </c>
      <c r="G587" t="s">
        <v>22</v>
      </c>
      <c r="H587" t="str">
        <f>IF(Delivery_data[[#This Row],[Order Status]] = "In Progress", "Backlog", "Complete")</f>
        <v>Complete</v>
      </c>
      <c r="I587" t="s">
        <v>254</v>
      </c>
      <c r="J587" t="s">
        <v>1631</v>
      </c>
      <c r="K587" t="s">
        <v>31</v>
      </c>
      <c r="L587">
        <v>182</v>
      </c>
      <c r="M587">
        <v>17</v>
      </c>
      <c r="N587" t="s">
        <v>38</v>
      </c>
      <c r="O587" t="s">
        <v>41</v>
      </c>
      <c r="P587" t="s">
        <v>45</v>
      </c>
      <c r="Q587" t="s">
        <v>46</v>
      </c>
      <c r="R587" s="2">
        <v>0.65347222222222223</v>
      </c>
    </row>
    <row r="588" spans="1:18" x14ac:dyDescent="0.25">
      <c r="A588" t="s">
        <v>2957</v>
      </c>
      <c r="B588" t="s">
        <v>1430</v>
      </c>
      <c r="C588" s="1">
        <v>45176</v>
      </c>
      <c r="D588" s="1" t="str">
        <f>TEXT(Delivery_data[[#This Row],[Order date]], "MMMM")</f>
        <v>September</v>
      </c>
      <c r="E588" s="1" t="str">
        <f>TEXT(Delivery_data[[#This Row],[Order date]], "DDDD")</f>
        <v>Thursday</v>
      </c>
      <c r="F588" s="2">
        <v>0.68194444444444446</v>
      </c>
      <c r="G588" t="s">
        <v>48</v>
      </c>
      <c r="H588" t="str">
        <f>IF(Delivery_data[[#This Row],[Order Status]] = "In Progress", "Backlog", "Complete")</f>
        <v>Backlog</v>
      </c>
      <c r="I588" t="s">
        <v>254</v>
      </c>
      <c r="J588" t="s">
        <v>1637</v>
      </c>
      <c r="K588" t="s">
        <v>61</v>
      </c>
      <c r="L588">
        <v>144</v>
      </c>
      <c r="M588">
        <v>16</v>
      </c>
      <c r="N588" t="s">
        <v>32</v>
      </c>
      <c r="O588" t="s">
        <v>41</v>
      </c>
      <c r="P588" t="s">
        <v>45</v>
      </c>
      <c r="Q588" t="s">
        <v>28</v>
      </c>
      <c r="R588" s="2">
        <v>0.70486111111111116</v>
      </c>
    </row>
    <row r="589" spans="1:18" x14ac:dyDescent="0.25">
      <c r="A589" t="s">
        <v>3063</v>
      </c>
      <c r="B589" t="s">
        <v>1531</v>
      </c>
      <c r="C589" s="1">
        <v>45171</v>
      </c>
      <c r="D589" s="1" t="str">
        <f>TEXT(Delivery_data[[#This Row],[Order date]], "MMMM")</f>
        <v>September</v>
      </c>
      <c r="E589" s="1" t="str">
        <f>TEXT(Delivery_data[[#This Row],[Order date]], "DDDD")</f>
        <v>Saturday</v>
      </c>
      <c r="F589" s="2">
        <v>0.54861111111111116</v>
      </c>
      <c r="G589" t="s">
        <v>48</v>
      </c>
      <c r="H589" t="str">
        <f>IF(Delivery_data[[#This Row],[Order Status]] = "In Progress", "Backlog", "Complete")</f>
        <v>Backlog</v>
      </c>
      <c r="I589" t="s">
        <v>254</v>
      </c>
      <c r="J589" t="s">
        <v>1631</v>
      </c>
      <c r="K589" t="s">
        <v>61</v>
      </c>
      <c r="L589">
        <v>137</v>
      </c>
      <c r="M589">
        <v>8</v>
      </c>
      <c r="N589" t="s">
        <v>38</v>
      </c>
      <c r="O589" t="s">
        <v>54</v>
      </c>
      <c r="P589" t="s">
        <v>27</v>
      </c>
      <c r="Q589" t="s">
        <v>51</v>
      </c>
      <c r="R589" s="2">
        <v>0.53055555555555556</v>
      </c>
    </row>
    <row r="590" spans="1:18" x14ac:dyDescent="0.25">
      <c r="A590" t="s">
        <v>1706</v>
      </c>
      <c r="B590" t="s">
        <v>170</v>
      </c>
      <c r="C590" s="1">
        <v>45176</v>
      </c>
      <c r="D590" s="1" t="str">
        <f>TEXT(Delivery_data[[#This Row],[Order date]], "MMMM")</f>
        <v>September</v>
      </c>
      <c r="E590" s="1" t="str">
        <f>TEXT(Delivery_data[[#This Row],[Order date]], "DDDD")</f>
        <v>Thursday</v>
      </c>
      <c r="F590" s="2">
        <v>0.41041666666666665</v>
      </c>
      <c r="G590" t="s">
        <v>48</v>
      </c>
      <c r="H590" t="str">
        <f>IF(Delivery_data[[#This Row],[Order Status]] = "In Progress", "Backlog", "Complete")</f>
        <v>Backlog</v>
      </c>
      <c r="I590" t="s">
        <v>171</v>
      </c>
      <c r="J590" t="s">
        <v>1633</v>
      </c>
      <c r="K590" t="s">
        <v>44</v>
      </c>
      <c r="L590">
        <v>144</v>
      </c>
      <c r="M590">
        <v>8</v>
      </c>
      <c r="N590" t="s">
        <v>25</v>
      </c>
      <c r="O590" t="s">
        <v>26</v>
      </c>
      <c r="P590" t="s">
        <v>27</v>
      </c>
      <c r="Q590" t="s">
        <v>46</v>
      </c>
      <c r="R590" s="2">
        <v>0.4284722222222222</v>
      </c>
    </row>
    <row r="591" spans="1:18" x14ac:dyDescent="0.25">
      <c r="A591" t="s">
        <v>1736</v>
      </c>
      <c r="B591" t="s">
        <v>213</v>
      </c>
      <c r="C591" s="1">
        <v>45177</v>
      </c>
      <c r="D591" s="1" t="str">
        <f>TEXT(Delivery_data[[#This Row],[Order date]], "MMMM")</f>
        <v>September</v>
      </c>
      <c r="E591" s="1" t="str">
        <f>TEXT(Delivery_data[[#This Row],[Order date]], "DDDD")</f>
        <v>Friday</v>
      </c>
      <c r="F591" s="2">
        <v>0.48958333333333331</v>
      </c>
      <c r="G591" t="s">
        <v>48</v>
      </c>
      <c r="H591" t="str">
        <f>IF(Delivery_data[[#This Row],[Order Status]] = "In Progress", "Backlog", "Complete")</f>
        <v>Backlog</v>
      </c>
      <c r="I591" t="s">
        <v>171</v>
      </c>
      <c r="J591" t="s">
        <v>1631</v>
      </c>
      <c r="K591" t="s">
        <v>61</v>
      </c>
      <c r="L591">
        <v>162</v>
      </c>
      <c r="M591">
        <v>24</v>
      </c>
      <c r="N591" t="s">
        <v>25</v>
      </c>
      <c r="O591" t="s">
        <v>33</v>
      </c>
      <c r="P591" t="s">
        <v>27</v>
      </c>
      <c r="Q591" t="s">
        <v>28</v>
      </c>
      <c r="R591" s="2">
        <v>0.36527777777777776</v>
      </c>
    </row>
    <row r="592" spans="1:18" x14ac:dyDescent="0.25">
      <c r="A592" t="s">
        <v>1953</v>
      </c>
      <c r="B592" t="s">
        <v>457</v>
      </c>
      <c r="C592" s="1">
        <v>45177</v>
      </c>
      <c r="D592" s="1" t="str">
        <f>TEXT(Delivery_data[[#This Row],[Order date]], "MMMM")</f>
        <v>September</v>
      </c>
      <c r="E592" s="1" t="str">
        <f>TEXT(Delivery_data[[#This Row],[Order date]], "DDDD")</f>
        <v>Friday</v>
      </c>
      <c r="F592" s="2">
        <v>0.43888888888888888</v>
      </c>
      <c r="G592" t="s">
        <v>48</v>
      </c>
      <c r="H592" t="str">
        <f>IF(Delivery_data[[#This Row],[Order Status]] = "In Progress", "Backlog", "Complete")</f>
        <v>Backlog</v>
      </c>
      <c r="I592" t="s">
        <v>171</v>
      </c>
      <c r="J592" t="s">
        <v>1631</v>
      </c>
      <c r="K592" t="s">
        <v>24</v>
      </c>
      <c r="L592">
        <v>196</v>
      </c>
      <c r="M592">
        <v>23</v>
      </c>
      <c r="N592" t="s">
        <v>38</v>
      </c>
      <c r="O592" t="s">
        <v>54</v>
      </c>
      <c r="P592" t="s">
        <v>45</v>
      </c>
      <c r="Q592" t="s">
        <v>46</v>
      </c>
      <c r="R592" s="2">
        <v>0.61388888888888893</v>
      </c>
    </row>
    <row r="593" spans="1:18" x14ac:dyDescent="0.25">
      <c r="A593" t="s">
        <v>1996</v>
      </c>
      <c r="B593" t="s">
        <v>501</v>
      </c>
      <c r="C593" s="1">
        <v>45171</v>
      </c>
      <c r="D593" s="1" t="str">
        <f>TEXT(Delivery_data[[#This Row],[Order date]], "MMMM")</f>
        <v>September</v>
      </c>
      <c r="E593" s="1" t="str">
        <f>TEXT(Delivery_data[[#This Row],[Order date]], "DDDD")</f>
        <v>Saturday</v>
      </c>
      <c r="F593" s="2">
        <v>0.56597222222222221</v>
      </c>
      <c r="G593" t="s">
        <v>22</v>
      </c>
      <c r="H593" t="str">
        <f>IF(Delivery_data[[#This Row],[Order Status]] = "In Progress", "Backlog", "Complete")</f>
        <v>Complete</v>
      </c>
      <c r="I593" t="s">
        <v>171</v>
      </c>
      <c r="J593" t="s">
        <v>1631</v>
      </c>
      <c r="K593" t="s">
        <v>37</v>
      </c>
      <c r="L593">
        <v>171</v>
      </c>
      <c r="M593">
        <v>20</v>
      </c>
      <c r="N593" t="s">
        <v>38</v>
      </c>
      <c r="O593" t="s">
        <v>33</v>
      </c>
      <c r="P593" t="s">
        <v>34</v>
      </c>
      <c r="Q593" t="s">
        <v>46</v>
      </c>
      <c r="R593" s="2">
        <v>0.6166666666666667</v>
      </c>
    </row>
    <row r="594" spans="1:18" x14ac:dyDescent="0.25">
      <c r="A594" t="s">
        <v>2060</v>
      </c>
      <c r="B594" t="s">
        <v>565</v>
      </c>
      <c r="C594" s="1">
        <v>45177</v>
      </c>
      <c r="D594" s="1" t="str">
        <f>TEXT(Delivery_data[[#This Row],[Order date]], "MMMM")</f>
        <v>September</v>
      </c>
      <c r="E594" s="1" t="str">
        <f>TEXT(Delivery_data[[#This Row],[Order date]], "DDDD")</f>
        <v>Friday</v>
      </c>
      <c r="F594" s="2">
        <v>0.62222222222222223</v>
      </c>
      <c r="G594" t="s">
        <v>22</v>
      </c>
      <c r="H594" t="str">
        <f>IF(Delivery_data[[#This Row],[Order Status]] = "In Progress", "Backlog", "Complete")</f>
        <v>Complete</v>
      </c>
      <c r="I594" t="s">
        <v>171</v>
      </c>
      <c r="J594" t="s">
        <v>1631</v>
      </c>
      <c r="K594" t="s">
        <v>24</v>
      </c>
      <c r="L594">
        <v>166</v>
      </c>
      <c r="M594">
        <v>10</v>
      </c>
      <c r="N594" t="s">
        <v>32</v>
      </c>
      <c r="O594" t="s">
        <v>50</v>
      </c>
      <c r="P594" t="s">
        <v>27</v>
      </c>
      <c r="Q594" t="s">
        <v>28</v>
      </c>
      <c r="R594" s="2">
        <v>0.39791666666666664</v>
      </c>
    </row>
    <row r="595" spans="1:18" x14ac:dyDescent="0.25">
      <c r="A595" t="s">
        <v>2092</v>
      </c>
      <c r="B595" t="s">
        <v>597</v>
      </c>
      <c r="C595" s="1">
        <v>45172</v>
      </c>
      <c r="D595" s="1" t="str">
        <f>TEXT(Delivery_data[[#This Row],[Order date]], "MMMM")</f>
        <v>September</v>
      </c>
      <c r="E595" s="1" t="str">
        <f>TEXT(Delivery_data[[#This Row],[Order date]], "DDDD")</f>
        <v>Sunday</v>
      </c>
      <c r="F595" s="2">
        <v>0.57430555555555551</v>
      </c>
      <c r="G595" t="s">
        <v>22</v>
      </c>
      <c r="H595" t="str">
        <f>IF(Delivery_data[[#This Row],[Order Status]] = "In Progress", "Backlog", "Complete")</f>
        <v>Complete</v>
      </c>
      <c r="I595" t="s">
        <v>171</v>
      </c>
      <c r="J595" t="s">
        <v>1637</v>
      </c>
      <c r="K595" t="s">
        <v>44</v>
      </c>
      <c r="L595">
        <v>60</v>
      </c>
      <c r="M595">
        <v>21</v>
      </c>
      <c r="N595" t="s">
        <v>25</v>
      </c>
      <c r="O595" t="s">
        <v>50</v>
      </c>
      <c r="P595" t="s">
        <v>27</v>
      </c>
      <c r="Q595" t="s">
        <v>28</v>
      </c>
      <c r="R595" s="2">
        <v>0.55972222222222223</v>
      </c>
    </row>
    <row r="596" spans="1:18" x14ac:dyDescent="0.25">
      <c r="A596" t="s">
        <v>2179</v>
      </c>
      <c r="B596" t="s">
        <v>680</v>
      </c>
      <c r="C596" s="1">
        <v>45173</v>
      </c>
      <c r="D596" s="1" t="str">
        <f>TEXT(Delivery_data[[#This Row],[Order date]], "MMMM")</f>
        <v>September</v>
      </c>
      <c r="E596" s="1" t="str">
        <f>TEXT(Delivery_data[[#This Row],[Order date]], "DDDD")</f>
        <v>Monday</v>
      </c>
      <c r="F596" s="2">
        <v>0.5756944444444444</v>
      </c>
      <c r="G596" t="s">
        <v>22</v>
      </c>
      <c r="H596" t="str">
        <f>IF(Delivery_data[[#This Row],[Order Status]] = "In Progress", "Backlog", "Complete")</f>
        <v>Complete</v>
      </c>
      <c r="I596" t="s">
        <v>171</v>
      </c>
      <c r="J596" t="s">
        <v>1637</v>
      </c>
      <c r="K596" t="s">
        <v>24</v>
      </c>
      <c r="L596">
        <v>205</v>
      </c>
      <c r="M596">
        <v>29</v>
      </c>
      <c r="N596" t="s">
        <v>25</v>
      </c>
      <c r="O596" t="s">
        <v>50</v>
      </c>
      <c r="P596" t="s">
        <v>45</v>
      </c>
      <c r="Q596" t="s">
        <v>28</v>
      </c>
      <c r="R596" s="2">
        <v>0.50972222222222219</v>
      </c>
    </row>
    <row r="597" spans="1:18" x14ac:dyDescent="0.25">
      <c r="A597" t="s">
        <v>2295</v>
      </c>
      <c r="B597" t="s">
        <v>793</v>
      </c>
      <c r="C597" s="1">
        <v>45172</v>
      </c>
      <c r="D597" s="1" t="str">
        <f>TEXT(Delivery_data[[#This Row],[Order date]], "MMMM")</f>
        <v>September</v>
      </c>
      <c r="E597" s="1" t="str">
        <f>TEXT(Delivery_data[[#This Row],[Order date]], "DDDD")</f>
        <v>Sunday</v>
      </c>
      <c r="F597" s="2">
        <v>0.40486111111111112</v>
      </c>
      <c r="G597" t="s">
        <v>48</v>
      </c>
      <c r="H597" t="str">
        <f>IF(Delivery_data[[#This Row],[Order Status]] = "In Progress", "Backlog", "Complete")</f>
        <v>Backlog</v>
      </c>
      <c r="I597" t="s">
        <v>171</v>
      </c>
      <c r="J597" t="s">
        <v>1637</v>
      </c>
      <c r="K597" t="s">
        <v>31</v>
      </c>
      <c r="L597">
        <v>101</v>
      </c>
      <c r="M597">
        <v>11</v>
      </c>
      <c r="N597" t="s">
        <v>25</v>
      </c>
      <c r="O597" t="s">
        <v>33</v>
      </c>
      <c r="P597" t="s">
        <v>45</v>
      </c>
      <c r="Q597" t="s">
        <v>46</v>
      </c>
      <c r="R597" s="2">
        <v>0.45347222222222222</v>
      </c>
    </row>
    <row r="598" spans="1:18" x14ac:dyDescent="0.25">
      <c r="A598" t="s">
        <v>2518</v>
      </c>
      <c r="B598" t="s">
        <v>1007</v>
      </c>
      <c r="C598" s="1">
        <v>45171</v>
      </c>
      <c r="D598" s="1" t="str">
        <f>TEXT(Delivery_data[[#This Row],[Order date]], "MMMM")</f>
        <v>September</v>
      </c>
      <c r="E598" s="1" t="str">
        <f>TEXT(Delivery_data[[#This Row],[Order date]], "DDDD")</f>
        <v>Saturday</v>
      </c>
      <c r="F598" s="2">
        <v>0.625</v>
      </c>
      <c r="G598" t="s">
        <v>48</v>
      </c>
      <c r="H598" t="str">
        <f>IF(Delivery_data[[#This Row],[Order Status]] = "In Progress", "Backlog", "Complete")</f>
        <v>Backlog</v>
      </c>
      <c r="I598" t="s">
        <v>171</v>
      </c>
      <c r="J598" t="s">
        <v>1631</v>
      </c>
      <c r="K598" t="s">
        <v>37</v>
      </c>
      <c r="L598">
        <v>71</v>
      </c>
      <c r="M598">
        <v>25</v>
      </c>
      <c r="N598" t="s">
        <v>32</v>
      </c>
      <c r="O598" t="s">
        <v>54</v>
      </c>
      <c r="P598" t="s">
        <v>27</v>
      </c>
      <c r="Q598" t="s">
        <v>28</v>
      </c>
      <c r="R598" s="2">
        <v>0.60069444444444442</v>
      </c>
    </row>
    <row r="599" spans="1:18" x14ac:dyDescent="0.25">
      <c r="A599" t="s">
        <v>2574</v>
      </c>
      <c r="B599" t="s">
        <v>1058</v>
      </c>
      <c r="C599" s="1">
        <v>45176</v>
      </c>
      <c r="D599" s="1" t="str">
        <f>TEXT(Delivery_data[[#This Row],[Order date]], "MMMM")</f>
        <v>September</v>
      </c>
      <c r="E599" s="1" t="str">
        <f>TEXT(Delivery_data[[#This Row],[Order date]], "DDDD")</f>
        <v>Thursday</v>
      </c>
      <c r="F599" s="2">
        <v>0.5854166666666667</v>
      </c>
      <c r="G599" t="s">
        <v>22</v>
      </c>
      <c r="H599" t="str">
        <f>IF(Delivery_data[[#This Row],[Order Status]] = "In Progress", "Backlog", "Complete")</f>
        <v>Complete</v>
      </c>
      <c r="I599" t="s">
        <v>171</v>
      </c>
      <c r="J599" t="s">
        <v>1633</v>
      </c>
      <c r="K599" t="s">
        <v>44</v>
      </c>
      <c r="L599">
        <v>161</v>
      </c>
      <c r="M599">
        <v>6</v>
      </c>
      <c r="N599" t="s">
        <v>25</v>
      </c>
      <c r="O599" t="s">
        <v>41</v>
      </c>
      <c r="P599" t="s">
        <v>45</v>
      </c>
      <c r="Q599" t="s">
        <v>28</v>
      </c>
      <c r="R599" s="2">
        <v>0.51111111111111107</v>
      </c>
    </row>
    <row r="600" spans="1:18" x14ac:dyDescent="0.25">
      <c r="A600" t="s">
        <v>2932</v>
      </c>
      <c r="B600" t="s">
        <v>1405</v>
      </c>
      <c r="C600" s="1">
        <v>45177</v>
      </c>
      <c r="D600" s="1" t="str">
        <f>TEXT(Delivery_data[[#This Row],[Order date]], "MMMM")</f>
        <v>September</v>
      </c>
      <c r="E600" s="1" t="str">
        <f>TEXT(Delivery_data[[#This Row],[Order date]], "DDDD")</f>
        <v>Friday</v>
      </c>
      <c r="F600" s="2">
        <v>0.52986111111111112</v>
      </c>
      <c r="G600" t="s">
        <v>22</v>
      </c>
      <c r="H600" t="str">
        <f>IF(Delivery_data[[#This Row],[Order Status]] = "In Progress", "Backlog", "Complete")</f>
        <v>Complete</v>
      </c>
      <c r="I600" t="s">
        <v>171</v>
      </c>
      <c r="J600" t="s">
        <v>1633</v>
      </c>
      <c r="K600" t="s">
        <v>61</v>
      </c>
      <c r="L600">
        <v>104</v>
      </c>
      <c r="M600">
        <v>12</v>
      </c>
      <c r="N600" t="s">
        <v>38</v>
      </c>
      <c r="O600" t="s">
        <v>41</v>
      </c>
      <c r="P600" t="s">
        <v>27</v>
      </c>
      <c r="Q600" t="s">
        <v>46</v>
      </c>
      <c r="R600" s="2">
        <v>0.69236111111111109</v>
      </c>
    </row>
    <row r="601" spans="1:18" x14ac:dyDescent="0.25">
      <c r="A601" t="s">
        <v>2977</v>
      </c>
      <c r="B601" t="s">
        <v>1450</v>
      </c>
      <c r="C601" s="1">
        <v>45170</v>
      </c>
      <c r="D601" s="1" t="str">
        <f>TEXT(Delivery_data[[#This Row],[Order date]], "MMMM")</f>
        <v>September</v>
      </c>
      <c r="E601" s="1" t="str">
        <f>TEXT(Delivery_data[[#This Row],[Order date]], "DDDD")</f>
        <v>Friday</v>
      </c>
      <c r="F601" s="2">
        <v>0.44305555555555554</v>
      </c>
      <c r="G601" t="s">
        <v>22</v>
      </c>
      <c r="H601" t="str">
        <f>IF(Delivery_data[[#This Row],[Order Status]] = "In Progress", "Backlog", "Complete")</f>
        <v>Complete</v>
      </c>
      <c r="I601" t="s">
        <v>171</v>
      </c>
      <c r="J601" t="s">
        <v>1637</v>
      </c>
      <c r="K601" t="s">
        <v>31</v>
      </c>
      <c r="L601">
        <v>229</v>
      </c>
      <c r="M601">
        <v>9</v>
      </c>
      <c r="N601" t="s">
        <v>25</v>
      </c>
      <c r="O601" t="s">
        <v>50</v>
      </c>
      <c r="P601" t="s">
        <v>27</v>
      </c>
      <c r="Q601" t="s">
        <v>51</v>
      </c>
      <c r="R601" s="2">
        <v>0.7055555555555556</v>
      </c>
    </row>
    <row r="602" spans="1:18" x14ac:dyDescent="0.25">
      <c r="A602" t="s">
        <v>3062</v>
      </c>
      <c r="B602" t="s">
        <v>1530</v>
      </c>
      <c r="C602" s="1">
        <v>45173</v>
      </c>
      <c r="D602" s="1" t="str">
        <f>TEXT(Delivery_data[[#This Row],[Order date]], "MMMM")</f>
        <v>September</v>
      </c>
      <c r="E602" s="1" t="str">
        <f>TEXT(Delivery_data[[#This Row],[Order date]], "DDDD")</f>
        <v>Monday</v>
      </c>
      <c r="F602" s="2">
        <v>0.70625000000000004</v>
      </c>
      <c r="G602" t="s">
        <v>48</v>
      </c>
      <c r="H602" t="str">
        <f>IF(Delivery_data[[#This Row],[Order Status]] = "In Progress", "Backlog", "Complete")</f>
        <v>Backlog</v>
      </c>
      <c r="I602" t="s">
        <v>171</v>
      </c>
      <c r="J602" t="s">
        <v>1637</v>
      </c>
      <c r="K602" t="s">
        <v>37</v>
      </c>
      <c r="L602">
        <v>149</v>
      </c>
      <c r="M602">
        <v>28</v>
      </c>
      <c r="N602" t="s">
        <v>25</v>
      </c>
      <c r="O602" t="s">
        <v>54</v>
      </c>
      <c r="P602" t="s">
        <v>34</v>
      </c>
      <c r="Q602" t="s">
        <v>51</v>
      </c>
      <c r="R602" s="2">
        <v>0.43888888888888888</v>
      </c>
    </row>
    <row r="603" spans="1:18" x14ac:dyDescent="0.25">
      <c r="A603" t="s">
        <v>1663</v>
      </c>
      <c r="B603" t="s">
        <v>99</v>
      </c>
      <c r="C603" s="1">
        <v>45174</v>
      </c>
      <c r="D603" s="1" t="str">
        <f>TEXT(Delivery_data[[#This Row],[Order date]], "MMMM")</f>
        <v>September</v>
      </c>
      <c r="E603" s="1" t="str">
        <f>TEXT(Delivery_data[[#This Row],[Order date]], "DDDD")</f>
        <v>Tuesday</v>
      </c>
      <c r="F603" s="2">
        <v>0.6479166666666667</v>
      </c>
      <c r="G603" t="s">
        <v>48</v>
      </c>
      <c r="H603" t="str">
        <f>IF(Delivery_data[[#This Row],[Order Status]] = "In Progress", "Backlog", "Complete")</f>
        <v>Backlog</v>
      </c>
      <c r="I603" t="s">
        <v>100</v>
      </c>
      <c r="J603" t="s">
        <v>1637</v>
      </c>
      <c r="K603" t="s">
        <v>37</v>
      </c>
      <c r="L603">
        <v>126</v>
      </c>
      <c r="M603">
        <v>2</v>
      </c>
      <c r="N603" t="s">
        <v>32</v>
      </c>
      <c r="O603" t="s">
        <v>50</v>
      </c>
      <c r="P603" t="s">
        <v>45</v>
      </c>
      <c r="Q603" t="s">
        <v>46</v>
      </c>
      <c r="R603" s="2">
        <v>0.65486111111111112</v>
      </c>
    </row>
    <row r="604" spans="1:18" x14ac:dyDescent="0.25">
      <c r="A604" t="s">
        <v>2162</v>
      </c>
      <c r="B604" t="s">
        <v>200</v>
      </c>
      <c r="C604" s="1">
        <v>45175</v>
      </c>
      <c r="D604" s="1" t="str">
        <f>TEXT(Delivery_data[[#This Row],[Order date]], "MMMM")</f>
        <v>September</v>
      </c>
      <c r="E604" s="1" t="str">
        <f>TEXT(Delivery_data[[#This Row],[Order date]], "DDDD")</f>
        <v>Wednesday</v>
      </c>
      <c r="F604" s="2">
        <v>0.62152777777777779</v>
      </c>
      <c r="G604" t="s">
        <v>48</v>
      </c>
      <c r="H604" t="str">
        <f>IF(Delivery_data[[#This Row],[Order Status]] = "In Progress", "Backlog", "Complete")</f>
        <v>Backlog</v>
      </c>
      <c r="I604" t="s">
        <v>100</v>
      </c>
      <c r="J604" t="s">
        <v>1633</v>
      </c>
      <c r="K604" t="s">
        <v>61</v>
      </c>
      <c r="L604">
        <v>72</v>
      </c>
      <c r="M604">
        <v>22</v>
      </c>
      <c r="N604" t="s">
        <v>32</v>
      </c>
      <c r="O604" t="s">
        <v>54</v>
      </c>
      <c r="P604" t="s">
        <v>27</v>
      </c>
      <c r="Q604" t="s">
        <v>28</v>
      </c>
      <c r="R604" s="2">
        <v>0.375</v>
      </c>
    </row>
    <row r="605" spans="1:18" x14ac:dyDescent="0.25">
      <c r="A605" t="s">
        <v>2320</v>
      </c>
      <c r="B605" t="s">
        <v>818</v>
      </c>
      <c r="C605" s="1">
        <v>45175</v>
      </c>
      <c r="D605" s="1" t="str">
        <f>TEXT(Delivery_data[[#This Row],[Order date]], "MMMM")</f>
        <v>September</v>
      </c>
      <c r="E605" s="1" t="str">
        <f>TEXT(Delivery_data[[#This Row],[Order date]], "DDDD")</f>
        <v>Wednesday</v>
      </c>
      <c r="F605" s="2">
        <v>0.38472222222222224</v>
      </c>
      <c r="G605" t="s">
        <v>48</v>
      </c>
      <c r="H605" t="str">
        <f>IF(Delivery_data[[#This Row],[Order Status]] = "In Progress", "Backlog", "Complete")</f>
        <v>Backlog</v>
      </c>
      <c r="I605" t="s">
        <v>100</v>
      </c>
      <c r="J605" t="s">
        <v>1633</v>
      </c>
      <c r="K605" t="s">
        <v>61</v>
      </c>
      <c r="L605">
        <v>202</v>
      </c>
      <c r="M605">
        <v>14</v>
      </c>
      <c r="N605" t="s">
        <v>32</v>
      </c>
      <c r="O605" t="s">
        <v>54</v>
      </c>
      <c r="P605" t="s">
        <v>45</v>
      </c>
      <c r="Q605" t="s">
        <v>28</v>
      </c>
      <c r="R605" s="2">
        <v>0.63402777777777775</v>
      </c>
    </row>
    <row r="606" spans="1:18" x14ac:dyDescent="0.25">
      <c r="A606" t="s">
        <v>2328</v>
      </c>
      <c r="B606" t="s">
        <v>826</v>
      </c>
      <c r="C606" s="1">
        <v>45176</v>
      </c>
      <c r="D606" s="1" t="str">
        <f>TEXT(Delivery_data[[#This Row],[Order date]], "MMMM")</f>
        <v>September</v>
      </c>
      <c r="E606" s="1" t="str">
        <f>TEXT(Delivery_data[[#This Row],[Order date]], "DDDD")</f>
        <v>Thursday</v>
      </c>
      <c r="F606" s="2">
        <v>0.60833333333333328</v>
      </c>
      <c r="G606" t="s">
        <v>48</v>
      </c>
      <c r="H606" t="str">
        <f>IF(Delivery_data[[#This Row],[Order Status]] = "In Progress", "Backlog", "Complete")</f>
        <v>Backlog</v>
      </c>
      <c r="I606" t="s">
        <v>100</v>
      </c>
      <c r="J606" t="s">
        <v>1637</v>
      </c>
      <c r="K606" t="s">
        <v>37</v>
      </c>
      <c r="L606">
        <v>125</v>
      </c>
      <c r="M606">
        <v>29</v>
      </c>
      <c r="N606" t="s">
        <v>38</v>
      </c>
      <c r="O606" t="s">
        <v>54</v>
      </c>
      <c r="P606" t="s">
        <v>45</v>
      </c>
      <c r="Q606" t="s">
        <v>28</v>
      </c>
      <c r="R606" s="2">
        <v>0.43402777777777779</v>
      </c>
    </row>
    <row r="607" spans="1:18" x14ac:dyDescent="0.25">
      <c r="A607" t="s">
        <v>2380</v>
      </c>
      <c r="B607" t="s">
        <v>876</v>
      </c>
      <c r="C607" s="1">
        <v>45175</v>
      </c>
      <c r="D607" s="1" t="str">
        <f>TEXT(Delivery_data[[#This Row],[Order date]], "MMMM")</f>
        <v>September</v>
      </c>
      <c r="E607" s="1" t="str">
        <f>TEXT(Delivery_data[[#This Row],[Order date]], "DDDD")</f>
        <v>Wednesday</v>
      </c>
      <c r="F607" s="2">
        <v>0.48194444444444445</v>
      </c>
      <c r="G607" t="s">
        <v>48</v>
      </c>
      <c r="H607" t="str">
        <f>IF(Delivery_data[[#This Row],[Order Status]] = "In Progress", "Backlog", "Complete")</f>
        <v>Backlog</v>
      </c>
      <c r="I607" t="s">
        <v>100</v>
      </c>
      <c r="J607" t="s">
        <v>1637</v>
      </c>
      <c r="K607" t="s">
        <v>37</v>
      </c>
      <c r="L607">
        <v>114</v>
      </c>
      <c r="M607">
        <v>25</v>
      </c>
      <c r="N607" t="s">
        <v>38</v>
      </c>
      <c r="O607" t="s">
        <v>41</v>
      </c>
      <c r="P607" t="s">
        <v>34</v>
      </c>
      <c r="Q607" t="s">
        <v>51</v>
      </c>
      <c r="R607" s="2">
        <v>0.68541666666666667</v>
      </c>
    </row>
    <row r="608" spans="1:18" x14ac:dyDescent="0.25">
      <c r="A608" t="s">
        <v>2415</v>
      </c>
      <c r="B608" t="s">
        <v>909</v>
      </c>
      <c r="C608" s="1">
        <v>45173</v>
      </c>
      <c r="D608" s="1" t="str">
        <f>TEXT(Delivery_data[[#This Row],[Order date]], "MMMM")</f>
        <v>September</v>
      </c>
      <c r="E608" s="1" t="str">
        <f>TEXT(Delivery_data[[#This Row],[Order date]], "DDDD")</f>
        <v>Monday</v>
      </c>
      <c r="F608" s="2">
        <v>0.57291666666666663</v>
      </c>
      <c r="G608" t="s">
        <v>48</v>
      </c>
      <c r="H608" t="str">
        <f>IF(Delivery_data[[#This Row],[Order Status]] = "In Progress", "Backlog", "Complete")</f>
        <v>Backlog</v>
      </c>
      <c r="I608" t="s">
        <v>100</v>
      </c>
      <c r="J608" t="s">
        <v>1637</v>
      </c>
      <c r="K608" t="s">
        <v>24</v>
      </c>
      <c r="L608">
        <v>149</v>
      </c>
      <c r="M608">
        <v>8</v>
      </c>
      <c r="N608" t="s">
        <v>32</v>
      </c>
      <c r="O608" t="s">
        <v>41</v>
      </c>
      <c r="P608" t="s">
        <v>45</v>
      </c>
      <c r="Q608" t="s">
        <v>46</v>
      </c>
      <c r="R608" s="2">
        <v>0.49166666666666664</v>
      </c>
    </row>
    <row r="609" spans="1:18" x14ac:dyDescent="0.25">
      <c r="A609" t="s">
        <v>2470</v>
      </c>
      <c r="B609" t="s">
        <v>962</v>
      </c>
      <c r="C609" s="1">
        <v>45174</v>
      </c>
      <c r="D609" s="1" t="str">
        <f>TEXT(Delivery_data[[#This Row],[Order date]], "MMMM")</f>
        <v>September</v>
      </c>
      <c r="E609" s="1" t="str">
        <f>TEXT(Delivery_data[[#This Row],[Order date]], "DDDD")</f>
        <v>Tuesday</v>
      </c>
      <c r="F609" s="2">
        <v>0.62361111111111112</v>
      </c>
      <c r="G609" t="s">
        <v>48</v>
      </c>
      <c r="H609" t="str">
        <f>IF(Delivery_data[[#This Row],[Order Status]] = "In Progress", "Backlog", "Complete")</f>
        <v>Backlog</v>
      </c>
      <c r="I609" t="s">
        <v>100</v>
      </c>
      <c r="J609" t="s">
        <v>1633</v>
      </c>
      <c r="K609" t="s">
        <v>24</v>
      </c>
      <c r="L609">
        <v>206</v>
      </c>
      <c r="M609">
        <v>20</v>
      </c>
      <c r="N609" t="s">
        <v>38</v>
      </c>
      <c r="O609" t="s">
        <v>33</v>
      </c>
      <c r="P609" t="s">
        <v>45</v>
      </c>
      <c r="Q609" t="s">
        <v>51</v>
      </c>
      <c r="R609" s="2">
        <v>0.46111111111111114</v>
      </c>
    </row>
    <row r="610" spans="1:18" x14ac:dyDescent="0.25">
      <c r="A610" t="s">
        <v>2885</v>
      </c>
      <c r="B610" t="s">
        <v>1358</v>
      </c>
      <c r="C610" s="1">
        <v>45177</v>
      </c>
      <c r="D610" s="1" t="str">
        <f>TEXT(Delivery_data[[#This Row],[Order date]], "MMMM")</f>
        <v>September</v>
      </c>
      <c r="E610" s="1" t="str">
        <f>TEXT(Delivery_data[[#This Row],[Order date]], "DDDD")</f>
        <v>Friday</v>
      </c>
      <c r="F610" s="2">
        <v>0.45277777777777778</v>
      </c>
      <c r="G610" t="s">
        <v>22</v>
      </c>
      <c r="H610" t="str">
        <f>IF(Delivery_data[[#This Row],[Order Status]] = "In Progress", "Backlog", "Complete")</f>
        <v>Complete</v>
      </c>
      <c r="I610" t="s">
        <v>100</v>
      </c>
      <c r="J610" t="s">
        <v>1633</v>
      </c>
      <c r="K610" t="s">
        <v>44</v>
      </c>
      <c r="L610">
        <v>216</v>
      </c>
      <c r="M610">
        <v>24</v>
      </c>
      <c r="N610" t="s">
        <v>38</v>
      </c>
      <c r="O610" t="s">
        <v>26</v>
      </c>
      <c r="P610" t="s">
        <v>45</v>
      </c>
      <c r="Q610" t="s">
        <v>51</v>
      </c>
      <c r="R610" s="2">
        <v>0.63472222222222219</v>
      </c>
    </row>
    <row r="611" spans="1:18" x14ac:dyDescent="0.25">
      <c r="A611" t="s">
        <v>2962</v>
      </c>
      <c r="B611" t="s">
        <v>1435</v>
      </c>
      <c r="C611" s="1">
        <v>45176</v>
      </c>
      <c r="D611" s="1" t="str">
        <f>TEXT(Delivery_data[[#This Row],[Order date]], "MMMM")</f>
        <v>September</v>
      </c>
      <c r="E611" s="1" t="str">
        <f>TEXT(Delivery_data[[#This Row],[Order date]], "DDDD")</f>
        <v>Thursday</v>
      </c>
      <c r="F611" s="2">
        <v>0.6166666666666667</v>
      </c>
      <c r="G611" t="s">
        <v>48</v>
      </c>
      <c r="H611" t="str">
        <f>IF(Delivery_data[[#This Row],[Order Status]] = "In Progress", "Backlog", "Complete")</f>
        <v>Backlog</v>
      </c>
      <c r="I611" t="s">
        <v>100</v>
      </c>
      <c r="J611" t="s">
        <v>1633</v>
      </c>
      <c r="K611" t="s">
        <v>37</v>
      </c>
      <c r="L611">
        <v>108</v>
      </c>
      <c r="M611">
        <v>0</v>
      </c>
      <c r="N611" t="s">
        <v>32</v>
      </c>
      <c r="O611" t="s">
        <v>26</v>
      </c>
      <c r="P611" t="s">
        <v>34</v>
      </c>
      <c r="Q611" t="s">
        <v>51</v>
      </c>
      <c r="R611" s="2">
        <v>0.50138888888888888</v>
      </c>
    </row>
    <row r="612" spans="1:18" x14ac:dyDescent="0.25">
      <c r="A612" t="s">
        <v>2982</v>
      </c>
      <c r="B612" t="s">
        <v>1455</v>
      </c>
      <c r="C612" s="1">
        <v>45175</v>
      </c>
      <c r="D612" s="1" t="str">
        <f>TEXT(Delivery_data[[#This Row],[Order date]], "MMMM")</f>
        <v>September</v>
      </c>
      <c r="E612" s="1" t="str">
        <f>TEXT(Delivery_data[[#This Row],[Order date]], "DDDD")</f>
        <v>Wednesday</v>
      </c>
      <c r="F612" s="2">
        <v>0.42152777777777778</v>
      </c>
      <c r="G612" t="s">
        <v>48</v>
      </c>
      <c r="H612" t="str">
        <f>IF(Delivery_data[[#This Row],[Order Status]] = "In Progress", "Backlog", "Complete")</f>
        <v>Backlog</v>
      </c>
      <c r="I612" t="s">
        <v>100</v>
      </c>
      <c r="J612" t="s">
        <v>1633</v>
      </c>
      <c r="K612" t="s">
        <v>61</v>
      </c>
      <c r="L612">
        <v>107</v>
      </c>
      <c r="M612">
        <v>15</v>
      </c>
      <c r="N612" t="s">
        <v>25</v>
      </c>
      <c r="O612" t="s">
        <v>50</v>
      </c>
      <c r="P612" t="s">
        <v>34</v>
      </c>
      <c r="Q612" t="s">
        <v>51</v>
      </c>
      <c r="R612" s="2">
        <v>0.42499999999999999</v>
      </c>
    </row>
    <row r="613" spans="1:18" x14ac:dyDescent="0.25">
      <c r="A613" t="s">
        <v>3074</v>
      </c>
      <c r="B613" t="s">
        <v>1542</v>
      </c>
      <c r="C613" s="1">
        <v>45171</v>
      </c>
      <c r="D613" s="1" t="str">
        <f>TEXT(Delivery_data[[#This Row],[Order date]], "MMMM")</f>
        <v>September</v>
      </c>
      <c r="E613" s="1" t="str">
        <f>TEXT(Delivery_data[[#This Row],[Order date]], "DDDD")</f>
        <v>Saturday</v>
      </c>
      <c r="F613" s="2">
        <v>0.69305555555555554</v>
      </c>
      <c r="G613" t="s">
        <v>48</v>
      </c>
      <c r="H613" t="str">
        <f>IF(Delivery_data[[#This Row],[Order Status]] = "In Progress", "Backlog", "Complete")</f>
        <v>Backlog</v>
      </c>
      <c r="I613" t="s">
        <v>100</v>
      </c>
      <c r="J613" t="s">
        <v>1631</v>
      </c>
      <c r="K613" t="s">
        <v>24</v>
      </c>
      <c r="L613">
        <v>79</v>
      </c>
      <c r="M613">
        <v>6</v>
      </c>
      <c r="N613" t="s">
        <v>38</v>
      </c>
      <c r="O613" t="s">
        <v>41</v>
      </c>
      <c r="P613" t="s">
        <v>45</v>
      </c>
      <c r="Q613" t="s">
        <v>28</v>
      </c>
      <c r="R613" s="2">
        <v>0.63958333333333328</v>
      </c>
    </row>
    <row r="614" spans="1:18" x14ac:dyDescent="0.25">
      <c r="A614" t="s">
        <v>1666</v>
      </c>
      <c r="B614" t="s">
        <v>105</v>
      </c>
      <c r="C614" s="1">
        <v>45174</v>
      </c>
      <c r="D614" s="1" t="str">
        <f>TEXT(Delivery_data[[#This Row],[Order date]], "MMMM")</f>
        <v>September</v>
      </c>
      <c r="E614" s="1" t="str">
        <f>TEXT(Delivery_data[[#This Row],[Order date]], "DDDD")</f>
        <v>Tuesday</v>
      </c>
      <c r="F614" s="2">
        <v>0.65902777777777777</v>
      </c>
      <c r="G614" t="s">
        <v>48</v>
      </c>
      <c r="H614" t="str">
        <f>IF(Delivery_data[[#This Row],[Order Status]] = "In Progress", "Backlog", "Complete")</f>
        <v>Backlog</v>
      </c>
      <c r="I614" t="s">
        <v>106</v>
      </c>
      <c r="J614" t="s">
        <v>1637</v>
      </c>
      <c r="K614" t="s">
        <v>44</v>
      </c>
      <c r="L614">
        <v>215</v>
      </c>
      <c r="M614">
        <v>26</v>
      </c>
      <c r="N614" t="s">
        <v>32</v>
      </c>
      <c r="O614" t="s">
        <v>41</v>
      </c>
      <c r="P614" t="s">
        <v>34</v>
      </c>
      <c r="Q614" t="s">
        <v>46</v>
      </c>
      <c r="R614" s="2">
        <v>0.55277777777777781</v>
      </c>
    </row>
    <row r="615" spans="1:18" x14ac:dyDescent="0.25">
      <c r="A615" t="s">
        <v>1743</v>
      </c>
      <c r="B615" t="s">
        <v>222</v>
      </c>
      <c r="C615" s="1">
        <v>45176</v>
      </c>
      <c r="D615" s="1" t="str">
        <f>TEXT(Delivery_data[[#This Row],[Order date]], "MMMM")</f>
        <v>September</v>
      </c>
      <c r="E615" s="1" t="str">
        <f>TEXT(Delivery_data[[#This Row],[Order date]], "DDDD")</f>
        <v>Thursday</v>
      </c>
      <c r="F615" s="2">
        <v>0.63055555555555554</v>
      </c>
      <c r="G615" t="s">
        <v>48</v>
      </c>
      <c r="H615" t="str">
        <f>IF(Delivery_data[[#This Row],[Order Status]] = "In Progress", "Backlog", "Complete")</f>
        <v>Backlog</v>
      </c>
      <c r="I615" t="s">
        <v>106</v>
      </c>
      <c r="J615" t="s">
        <v>1637</v>
      </c>
      <c r="K615" t="s">
        <v>24</v>
      </c>
      <c r="L615">
        <v>130</v>
      </c>
      <c r="M615">
        <v>2</v>
      </c>
      <c r="N615" t="s">
        <v>38</v>
      </c>
      <c r="O615" t="s">
        <v>26</v>
      </c>
      <c r="P615" t="s">
        <v>27</v>
      </c>
      <c r="Q615" t="s">
        <v>51</v>
      </c>
      <c r="R615" s="2">
        <v>0.35555555555555557</v>
      </c>
    </row>
    <row r="616" spans="1:18" x14ac:dyDescent="0.25">
      <c r="A616" t="s">
        <v>1933</v>
      </c>
      <c r="B616" t="s">
        <v>436</v>
      </c>
      <c r="C616" s="1">
        <v>45177</v>
      </c>
      <c r="D616" s="1" t="str">
        <f>TEXT(Delivery_data[[#This Row],[Order date]], "MMMM")</f>
        <v>September</v>
      </c>
      <c r="E616" s="1" t="str">
        <f>TEXT(Delivery_data[[#This Row],[Order date]], "DDDD")</f>
        <v>Friday</v>
      </c>
      <c r="F616" s="2">
        <v>0.47430555555555554</v>
      </c>
      <c r="G616" t="s">
        <v>22</v>
      </c>
      <c r="H616" t="str">
        <f>IF(Delivery_data[[#This Row],[Order Status]] = "In Progress", "Backlog", "Complete")</f>
        <v>Complete</v>
      </c>
      <c r="I616" t="s">
        <v>106</v>
      </c>
      <c r="J616" t="s">
        <v>1633</v>
      </c>
      <c r="K616" t="s">
        <v>31</v>
      </c>
      <c r="L616">
        <v>178</v>
      </c>
      <c r="M616">
        <v>11</v>
      </c>
      <c r="N616" t="s">
        <v>32</v>
      </c>
      <c r="O616" t="s">
        <v>33</v>
      </c>
      <c r="P616" t="s">
        <v>27</v>
      </c>
      <c r="Q616" t="s">
        <v>28</v>
      </c>
      <c r="R616" s="2">
        <v>0.375</v>
      </c>
    </row>
    <row r="617" spans="1:18" x14ac:dyDescent="0.25">
      <c r="A617" t="s">
        <v>1960</v>
      </c>
      <c r="B617" t="s">
        <v>464</v>
      </c>
      <c r="C617" s="1">
        <v>45171</v>
      </c>
      <c r="D617" s="1" t="str">
        <f>TEXT(Delivery_data[[#This Row],[Order date]], "MMMM")</f>
        <v>September</v>
      </c>
      <c r="E617" s="1" t="str">
        <f>TEXT(Delivery_data[[#This Row],[Order date]], "DDDD")</f>
        <v>Saturday</v>
      </c>
      <c r="F617" s="2">
        <v>0.5395833333333333</v>
      </c>
      <c r="G617" t="s">
        <v>48</v>
      </c>
      <c r="H617" t="str">
        <f>IF(Delivery_data[[#This Row],[Order Status]] = "In Progress", "Backlog", "Complete")</f>
        <v>Backlog</v>
      </c>
      <c r="I617" t="s">
        <v>106</v>
      </c>
      <c r="J617" t="s">
        <v>1633</v>
      </c>
      <c r="K617" t="s">
        <v>37</v>
      </c>
      <c r="L617">
        <v>143</v>
      </c>
      <c r="M617">
        <v>14</v>
      </c>
      <c r="N617" t="s">
        <v>25</v>
      </c>
      <c r="O617" t="s">
        <v>54</v>
      </c>
      <c r="P617" t="s">
        <v>27</v>
      </c>
      <c r="Q617" t="s">
        <v>28</v>
      </c>
      <c r="R617" s="2">
        <v>0.5541666666666667</v>
      </c>
    </row>
    <row r="618" spans="1:18" x14ac:dyDescent="0.25">
      <c r="A618" t="s">
        <v>2198</v>
      </c>
      <c r="B618" t="s">
        <v>699</v>
      </c>
      <c r="C618" s="1">
        <v>45177</v>
      </c>
      <c r="D618" s="1" t="str">
        <f>TEXT(Delivery_data[[#This Row],[Order date]], "MMMM")</f>
        <v>September</v>
      </c>
      <c r="E618" s="1" t="str">
        <f>TEXT(Delivery_data[[#This Row],[Order date]], "DDDD")</f>
        <v>Friday</v>
      </c>
      <c r="F618" s="2">
        <v>0.40972222222222221</v>
      </c>
      <c r="G618" t="s">
        <v>48</v>
      </c>
      <c r="H618" t="str">
        <f>IF(Delivery_data[[#This Row],[Order Status]] = "In Progress", "Backlog", "Complete")</f>
        <v>Backlog</v>
      </c>
      <c r="I618" t="s">
        <v>106</v>
      </c>
      <c r="J618" t="s">
        <v>1637</v>
      </c>
      <c r="K618" t="s">
        <v>61</v>
      </c>
      <c r="L618">
        <v>75</v>
      </c>
      <c r="M618">
        <v>20</v>
      </c>
      <c r="N618" t="s">
        <v>25</v>
      </c>
      <c r="O618" t="s">
        <v>54</v>
      </c>
      <c r="P618" t="s">
        <v>27</v>
      </c>
      <c r="Q618" t="s">
        <v>51</v>
      </c>
      <c r="R618" s="2">
        <v>0.61388888888888893</v>
      </c>
    </row>
    <row r="619" spans="1:18" x14ac:dyDescent="0.25">
      <c r="A619" t="s">
        <v>2304</v>
      </c>
      <c r="B619" t="s">
        <v>802</v>
      </c>
      <c r="C619" s="1">
        <v>45175</v>
      </c>
      <c r="D619" s="1" t="str">
        <f>TEXT(Delivery_data[[#This Row],[Order date]], "MMMM")</f>
        <v>September</v>
      </c>
      <c r="E619" s="1" t="str">
        <f>TEXT(Delivery_data[[#This Row],[Order date]], "DDDD")</f>
        <v>Wednesday</v>
      </c>
      <c r="F619" s="2">
        <v>0.65277777777777779</v>
      </c>
      <c r="G619" t="s">
        <v>48</v>
      </c>
      <c r="H619" t="str">
        <f>IF(Delivery_data[[#This Row],[Order Status]] = "In Progress", "Backlog", "Complete")</f>
        <v>Backlog</v>
      </c>
      <c r="I619" t="s">
        <v>106</v>
      </c>
      <c r="J619" t="s">
        <v>1637</v>
      </c>
      <c r="K619" t="s">
        <v>24</v>
      </c>
      <c r="L619">
        <v>126</v>
      </c>
      <c r="M619">
        <v>3</v>
      </c>
      <c r="N619" t="s">
        <v>38</v>
      </c>
      <c r="O619" t="s">
        <v>50</v>
      </c>
      <c r="P619" t="s">
        <v>34</v>
      </c>
      <c r="Q619" t="s">
        <v>51</v>
      </c>
      <c r="R619" s="2">
        <v>0.57638888888888884</v>
      </c>
    </row>
    <row r="620" spans="1:18" x14ac:dyDescent="0.25">
      <c r="A620" t="s">
        <v>2405</v>
      </c>
      <c r="B620" t="s">
        <v>900</v>
      </c>
      <c r="C620" s="1">
        <v>45172</v>
      </c>
      <c r="D620" s="1" t="str">
        <f>TEXT(Delivery_data[[#This Row],[Order date]], "MMMM")</f>
        <v>September</v>
      </c>
      <c r="E620" s="1" t="str">
        <f>TEXT(Delivery_data[[#This Row],[Order date]], "DDDD")</f>
        <v>Sunday</v>
      </c>
      <c r="F620" s="2">
        <v>0.34513888888888888</v>
      </c>
      <c r="G620" t="s">
        <v>48</v>
      </c>
      <c r="H620" t="str">
        <f>IF(Delivery_data[[#This Row],[Order Status]] = "In Progress", "Backlog", "Complete")</f>
        <v>Backlog</v>
      </c>
      <c r="I620" t="s">
        <v>106</v>
      </c>
      <c r="J620" t="s">
        <v>1631</v>
      </c>
      <c r="K620" t="s">
        <v>37</v>
      </c>
      <c r="L620">
        <v>238</v>
      </c>
      <c r="M620">
        <v>9</v>
      </c>
      <c r="N620" t="s">
        <v>32</v>
      </c>
      <c r="O620" t="s">
        <v>54</v>
      </c>
      <c r="P620" t="s">
        <v>34</v>
      </c>
      <c r="Q620" t="s">
        <v>46</v>
      </c>
      <c r="R620" s="2">
        <v>0.3840277777777778</v>
      </c>
    </row>
    <row r="621" spans="1:18" x14ac:dyDescent="0.25">
      <c r="A621" t="s">
        <v>2494</v>
      </c>
      <c r="B621" t="s">
        <v>984</v>
      </c>
      <c r="C621" s="1">
        <v>45172</v>
      </c>
      <c r="D621" s="1" t="str">
        <f>TEXT(Delivery_data[[#This Row],[Order date]], "MMMM")</f>
        <v>September</v>
      </c>
      <c r="E621" s="1" t="str">
        <f>TEXT(Delivery_data[[#This Row],[Order date]], "DDDD")</f>
        <v>Sunday</v>
      </c>
      <c r="F621" s="2">
        <v>0.49305555555555558</v>
      </c>
      <c r="G621" t="s">
        <v>22</v>
      </c>
      <c r="H621" t="str">
        <f>IF(Delivery_data[[#This Row],[Order Status]] = "In Progress", "Backlog", "Complete")</f>
        <v>Complete</v>
      </c>
      <c r="I621" t="s">
        <v>106</v>
      </c>
      <c r="J621" t="s">
        <v>1631</v>
      </c>
      <c r="K621" t="s">
        <v>24</v>
      </c>
      <c r="L621">
        <v>128</v>
      </c>
      <c r="M621">
        <v>22</v>
      </c>
      <c r="N621" t="s">
        <v>38</v>
      </c>
      <c r="O621" t="s">
        <v>54</v>
      </c>
      <c r="P621" t="s">
        <v>27</v>
      </c>
      <c r="Q621" t="s">
        <v>51</v>
      </c>
      <c r="R621" s="2">
        <v>0.40208333333333335</v>
      </c>
    </row>
    <row r="622" spans="1:18" x14ac:dyDescent="0.25">
      <c r="A622" t="s">
        <v>2753</v>
      </c>
      <c r="B622" t="s">
        <v>1232</v>
      </c>
      <c r="C622" s="1">
        <v>45170</v>
      </c>
      <c r="D622" s="1" t="str">
        <f>TEXT(Delivery_data[[#This Row],[Order date]], "MMMM")</f>
        <v>September</v>
      </c>
      <c r="E622" s="1" t="str">
        <f>TEXT(Delivery_data[[#This Row],[Order date]], "DDDD")</f>
        <v>Friday</v>
      </c>
      <c r="F622" s="2">
        <v>0.41041666666666665</v>
      </c>
      <c r="G622" t="s">
        <v>22</v>
      </c>
      <c r="H622" t="str">
        <f>IF(Delivery_data[[#This Row],[Order Status]] = "In Progress", "Backlog", "Complete")</f>
        <v>Complete</v>
      </c>
      <c r="I622" t="s">
        <v>106</v>
      </c>
      <c r="J622" t="s">
        <v>1633</v>
      </c>
      <c r="K622" t="s">
        <v>37</v>
      </c>
      <c r="L622">
        <v>161</v>
      </c>
      <c r="M622">
        <v>21</v>
      </c>
      <c r="N622" t="s">
        <v>25</v>
      </c>
      <c r="O622" t="s">
        <v>41</v>
      </c>
      <c r="P622" t="s">
        <v>27</v>
      </c>
      <c r="Q622" t="s">
        <v>28</v>
      </c>
      <c r="R622" s="2">
        <v>0.50624999999999998</v>
      </c>
    </row>
    <row r="623" spans="1:18" x14ac:dyDescent="0.25">
      <c r="A623" t="s">
        <v>2955</v>
      </c>
      <c r="B623" t="s">
        <v>1428</v>
      </c>
      <c r="C623" s="1">
        <v>45173</v>
      </c>
      <c r="D623" s="1" t="str">
        <f>TEXT(Delivery_data[[#This Row],[Order date]], "MMMM")</f>
        <v>September</v>
      </c>
      <c r="E623" s="1" t="str">
        <f>TEXT(Delivery_data[[#This Row],[Order date]], "DDDD")</f>
        <v>Monday</v>
      </c>
      <c r="F623" s="2">
        <v>0.52916666666666667</v>
      </c>
      <c r="G623" t="s">
        <v>48</v>
      </c>
      <c r="H623" t="str">
        <f>IF(Delivery_data[[#This Row],[Order Status]] = "In Progress", "Backlog", "Complete")</f>
        <v>Backlog</v>
      </c>
      <c r="I623" t="s">
        <v>106</v>
      </c>
      <c r="J623" t="s">
        <v>1637</v>
      </c>
      <c r="K623" t="s">
        <v>37</v>
      </c>
      <c r="L623">
        <v>65</v>
      </c>
      <c r="M623">
        <v>23</v>
      </c>
      <c r="N623" t="s">
        <v>32</v>
      </c>
      <c r="O623" t="s">
        <v>26</v>
      </c>
      <c r="P623" t="s">
        <v>34</v>
      </c>
      <c r="Q623" t="s">
        <v>28</v>
      </c>
      <c r="R623" s="2">
        <v>0.38194444444444442</v>
      </c>
    </row>
    <row r="624" spans="1:18" x14ac:dyDescent="0.25">
      <c r="A624" t="s">
        <v>2992</v>
      </c>
      <c r="B624" t="s">
        <v>1465</v>
      </c>
      <c r="C624" s="1">
        <v>45174</v>
      </c>
      <c r="D624" s="1" t="str">
        <f>TEXT(Delivery_data[[#This Row],[Order date]], "MMMM")</f>
        <v>September</v>
      </c>
      <c r="E624" s="1" t="str">
        <f>TEXT(Delivery_data[[#This Row],[Order date]], "DDDD")</f>
        <v>Tuesday</v>
      </c>
      <c r="F624" s="2">
        <v>0.52361111111111114</v>
      </c>
      <c r="G624" t="s">
        <v>48</v>
      </c>
      <c r="H624" t="str">
        <f>IF(Delivery_data[[#This Row],[Order Status]] = "In Progress", "Backlog", "Complete")</f>
        <v>Backlog</v>
      </c>
      <c r="I624" t="s">
        <v>106</v>
      </c>
      <c r="J624" t="s">
        <v>1633</v>
      </c>
      <c r="K624" t="s">
        <v>37</v>
      </c>
      <c r="L624">
        <v>209</v>
      </c>
      <c r="M624">
        <v>19</v>
      </c>
      <c r="N624" t="s">
        <v>38</v>
      </c>
      <c r="O624" t="s">
        <v>33</v>
      </c>
      <c r="P624" t="s">
        <v>27</v>
      </c>
      <c r="Q624" t="s">
        <v>46</v>
      </c>
      <c r="R624" s="2">
        <v>0.71111111111111114</v>
      </c>
    </row>
    <row r="625" spans="1:18" x14ac:dyDescent="0.25">
      <c r="A625" t="s">
        <v>3084</v>
      </c>
      <c r="B625" t="s">
        <v>1550</v>
      </c>
      <c r="C625" s="1">
        <v>45175</v>
      </c>
      <c r="D625" s="1" t="str">
        <f>TEXT(Delivery_data[[#This Row],[Order date]], "MMMM")</f>
        <v>September</v>
      </c>
      <c r="E625" s="1" t="str">
        <f>TEXT(Delivery_data[[#This Row],[Order date]], "DDDD")</f>
        <v>Wednesday</v>
      </c>
      <c r="F625" s="2">
        <v>0.34236111111111112</v>
      </c>
      <c r="G625" t="s">
        <v>48</v>
      </c>
      <c r="H625" t="str">
        <f>IF(Delivery_data[[#This Row],[Order Status]] = "In Progress", "Backlog", "Complete")</f>
        <v>Backlog</v>
      </c>
      <c r="I625" t="s">
        <v>106</v>
      </c>
      <c r="J625" t="s">
        <v>1631</v>
      </c>
      <c r="K625" t="s">
        <v>61</v>
      </c>
      <c r="L625">
        <v>204</v>
      </c>
      <c r="M625">
        <v>24</v>
      </c>
      <c r="N625" t="s">
        <v>25</v>
      </c>
      <c r="O625" t="s">
        <v>26</v>
      </c>
      <c r="P625" t="s">
        <v>45</v>
      </c>
      <c r="Q625" t="s">
        <v>28</v>
      </c>
      <c r="R625" s="2">
        <v>0.46527777777777779</v>
      </c>
    </row>
    <row r="626" spans="1:18" x14ac:dyDescent="0.25">
      <c r="A626" t="s">
        <v>1644</v>
      </c>
      <c r="B626" t="s">
        <v>64</v>
      </c>
      <c r="C626" s="1">
        <v>45175</v>
      </c>
      <c r="D626" s="1" t="str">
        <f>TEXT(Delivery_data[[#This Row],[Order date]], "MMMM")</f>
        <v>September</v>
      </c>
      <c r="E626" s="1" t="str">
        <f>TEXT(Delivery_data[[#This Row],[Order date]], "DDDD")</f>
        <v>Wednesday</v>
      </c>
      <c r="F626" s="2">
        <v>0.57916666666666672</v>
      </c>
      <c r="G626" t="s">
        <v>48</v>
      </c>
      <c r="H626" t="str">
        <f>IF(Delivery_data[[#This Row],[Order Status]] = "In Progress", "Backlog", "Complete")</f>
        <v>Backlog</v>
      </c>
      <c r="I626" t="s">
        <v>65</v>
      </c>
      <c r="J626" t="s">
        <v>1633</v>
      </c>
      <c r="K626" t="s">
        <v>31</v>
      </c>
      <c r="L626">
        <v>150</v>
      </c>
      <c r="M626">
        <v>18</v>
      </c>
      <c r="N626" t="s">
        <v>38</v>
      </c>
      <c r="O626" t="s">
        <v>33</v>
      </c>
      <c r="P626" t="s">
        <v>45</v>
      </c>
      <c r="Q626" t="s">
        <v>51</v>
      </c>
      <c r="R626" s="2">
        <v>0.60624999999999996</v>
      </c>
    </row>
    <row r="627" spans="1:18" x14ac:dyDescent="0.25">
      <c r="A627" t="s">
        <v>1949</v>
      </c>
      <c r="B627" t="s">
        <v>453</v>
      </c>
      <c r="C627" s="1">
        <v>45173</v>
      </c>
      <c r="D627" s="1" t="str">
        <f>TEXT(Delivery_data[[#This Row],[Order date]], "MMMM")</f>
        <v>September</v>
      </c>
      <c r="E627" s="1" t="str">
        <f>TEXT(Delivery_data[[#This Row],[Order date]], "DDDD")</f>
        <v>Monday</v>
      </c>
      <c r="F627" s="2">
        <v>0.45347222222222222</v>
      </c>
      <c r="G627" t="s">
        <v>48</v>
      </c>
      <c r="H627" t="str">
        <f>IF(Delivery_data[[#This Row],[Order Status]] = "In Progress", "Backlog", "Complete")</f>
        <v>Backlog</v>
      </c>
      <c r="I627" t="s">
        <v>65</v>
      </c>
      <c r="J627" t="s">
        <v>1637</v>
      </c>
      <c r="K627" t="s">
        <v>37</v>
      </c>
      <c r="L627">
        <v>176</v>
      </c>
      <c r="M627">
        <v>27</v>
      </c>
      <c r="N627" t="s">
        <v>38</v>
      </c>
      <c r="O627" t="s">
        <v>33</v>
      </c>
      <c r="P627" t="s">
        <v>27</v>
      </c>
      <c r="Q627" t="s">
        <v>51</v>
      </c>
      <c r="R627" s="2">
        <v>0.67708333333333337</v>
      </c>
    </row>
    <row r="628" spans="1:18" x14ac:dyDescent="0.25">
      <c r="A628" t="s">
        <v>2031</v>
      </c>
      <c r="B628" t="s">
        <v>536</v>
      </c>
      <c r="C628" s="1">
        <v>45174</v>
      </c>
      <c r="D628" s="1" t="str">
        <f>TEXT(Delivery_data[[#This Row],[Order date]], "MMMM")</f>
        <v>September</v>
      </c>
      <c r="E628" s="1" t="str">
        <f>TEXT(Delivery_data[[#This Row],[Order date]], "DDDD")</f>
        <v>Tuesday</v>
      </c>
      <c r="F628" s="2">
        <v>0.3972222222222222</v>
      </c>
      <c r="G628" t="s">
        <v>22</v>
      </c>
      <c r="H628" t="str">
        <f>IF(Delivery_data[[#This Row],[Order Status]] = "In Progress", "Backlog", "Complete")</f>
        <v>Complete</v>
      </c>
      <c r="I628" t="s">
        <v>65</v>
      </c>
      <c r="J628" t="s">
        <v>1637</v>
      </c>
      <c r="K628" t="s">
        <v>44</v>
      </c>
      <c r="L628">
        <v>96</v>
      </c>
      <c r="M628">
        <v>18</v>
      </c>
      <c r="N628" t="s">
        <v>38</v>
      </c>
      <c r="O628" t="s">
        <v>41</v>
      </c>
      <c r="P628" t="s">
        <v>34</v>
      </c>
      <c r="Q628" t="s">
        <v>51</v>
      </c>
      <c r="R628" s="2">
        <v>0.4375</v>
      </c>
    </row>
    <row r="629" spans="1:18" x14ac:dyDescent="0.25">
      <c r="A629" t="s">
        <v>2265</v>
      </c>
      <c r="B629" t="s">
        <v>765</v>
      </c>
      <c r="C629" s="1">
        <v>45174</v>
      </c>
      <c r="D629" s="1" t="str">
        <f>TEXT(Delivery_data[[#This Row],[Order date]], "MMMM")</f>
        <v>September</v>
      </c>
      <c r="E629" s="1" t="str">
        <f>TEXT(Delivery_data[[#This Row],[Order date]], "DDDD")</f>
        <v>Tuesday</v>
      </c>
      <c r="F629" s="2">
        <v>0.62152777777777779</v>
      </c>
      <c r="G629" t="s">
        <v>22</v>
      </c>
      <c r="H629" t="str">
        <f>IF(Delivery_data[[#This Row],[Order Status]] = "In Progress", "Backlog", "Complete")</f>
        <v>Complete</v>
      </c>
      <c r="I629" t="s">
        <v>65</v>
      </c>
      <c r="J629" t="s">
        <v>1637</v>
      </c>
      <c r="K629" t="s">
        <v>37</v>
      </c>
      <c r="L629">
        <v>71</v>
      </c>
      <c r="M629">
        <v>13</v>
      </c>
      <c r="N629" t="s">
        <v>25</v>
      </c>
      <c r="O629" t="s">
        <v>26</v>
      </c>
      <c r="P629" t="s">
        <v>45</v>
      </c>
      <c r="Q629" t="s">
        <v>51</v>
      </c>
      <c r="R629" s="2">
        <v>0.43472222222222223</v>
      </c>
    </row>
    <row r="630" spans="1:18" x14ac:dyDescent="0.25">
      <c r="A630" t="s">
        <v>2590</v>
      </c>
      <c r="B630" t="s">
        <v>1074</v>
      </c>
      <c r="C630" s="1">
        <v>45171</v>
      </c>
      <c r="D630" s="1" t="str">
        <f>TEXT(Delivery_data[[#This Row],[Order date]], "MMMM")</f>
        <v>September</v>
      </c>
      <c r="E630" s="1" t="str">
        <f>TEXT(Delivery_data[[#This Row],[Order date]], "DDDD")</f>
        <v>Saturday</v>
      </c>
      <c r="F630" s="2">
        <v>0.55833333333333335</v>
      </c>
      <c r="G630" t="s">
        <v>48</v>
      </c>
      <c r="H630" t="str">
        <f>IF(Delivery_data[[#This Row],[Order Status]] = "In Progress", "Backlog", "Complete")</f>
        <v>Backlog</v>
      </c>
      <c r="I630" t="s">
        <v>65</v>
      </c>
      <c r="J630" t="s">
        <v>1633</v>
      </c>
      <c r="K630" t="s">
        <v>44</v>
      </c>
      <c r="L630">
        <v>228</v>
      </c>
      <c r="M630">
        <v>21</v>
      </c>
      <c r="N630" t="s">
        <v>32</v>
      </c>
      <c r="O630" t="s">
        <v>50</v>
      </c>
      <c r="P630" t="s">
        <v>27</v>
      </c>
      <c r="Q630" t="s">
        <v>46</v>
      </c>
      <c r="R630" s="2">
        <v>0.61388888888888893</v>
      </c>
    </row>
    <row r="631" spans="1:18" x14ac:dyDescent="0.25">
      <c r="A631" t="s">
        <v>2633</v>
      </c>
      <c r="B631" t="s">
        <v>1116</v>
      </c>
      <c r="C631" s="1">
        <v>45174</v>
      </c>
      <c r="D631" s="1" t="str">
        <f>TEXT(Delivery_data[[#This Row],[Order date]], "MMMM")</f>
        <v>September</v>
      </c>
      <c r="E631" s="1" t="str">
        <f>TEXT(Delivery_data[[#This Row],[Order date]], "DDDD")</f>
        <v>Tuesday</v>
      </c>
      <c r="F631" s="2">
        <v>0.59652777777777777</v>
      </c>
      <c r="G631" t="s">
        <v>48</v>
      </c>
      <c r="H631" t="str">
        <f>IF(Delivery_data[[#This Row],[Order Status]] = "In Progress", "Backlog", "Complete")</f>
        <v>Backlog</v>
      </c>
      <c r="I631" t="s">
        <v>65</v>
      </c>
      <c r="J631" t="s">
        <v>1631</v>
      </c>
      <c r="K631" t="s">
        <v>37</v>
      </c>
      <c r="L631">
        <v>168</v>
      </c>
      <c r="M631">
        <v>13</v>
      </c>
      <c r="N631" t="s">
        <v>38</v>
      </c>
      <c r="O631" t="s">
        <v>54</v>
      </c>
      <c r="P631" t="s">
        <v>34</v>
      </c>
      <c r="Q631" t="s">
        <v>46</v>
      </c>
      <c r="R631" s="2">
        <v>0.65486111111111112</v>
      </c>
    </row>
    <row r="632" spans="1:18" x14ac:dyDescent="0.25">
      <c r="A632" t="s">
        <v>2761</v>
      </c>
      <c r="B632" t="s">
        <v>1239</v>
      </c>
      <c r="C632" s="1">
        <v>45172</v>
      </c>
      <c r="D632" s="1" t="str">
        <f>TEXT(Delivery_data[[#This Row],[Order date]], "MMMM")</f>
        <v>September</v>
      </c>
      <c r="E632" s="1" t="str">
        <f>TEXT(Delivery_data[[#This Row],[Order date]], "DDDD")</f>
        <v>Sunday</v>
      </c>
      <c r="F632" s="2">
        <v>0.58750000000000002</v>
      </c>
      <c r="G632" t="s">
        <v>48</v>
      </c>
      <c r="H632" t="str">
        <f>IF(Delivery_data[[#This Row],[Order Status]] = "In Progress", "Backlog", "Complete")</f>
        <v>Backlog</v>
      </c>
      <c r="I632" t="s">
        <v>65</v>
      </c>
      <c r="J632" t="s">
        <v>1637</v>
      </c>
      <c r="K632" t="s">
        <v>37</v>
      </c>
      <c r="L632">
        <v>224</v>
      </c>
      <c r="M632">
        <v>27</v>
      </c>
      <c r="N632" t="s">
        <v>38</v>
      </c>
      <c r="O632" t="s">
        <v>50</v>
      </c>
      <c r="P632" t="s">
        <v>27</v>
      </c>
      <c r="Q632" t="s">
        <v>28</v>
      </c>
      <c r="R632" s="2">
        <v>0.34097222222222223</v>
      </c>
    </row>
    <row r="633" spans="1:18" x14ac:dyDescent="0.25">
      <c r="A633" t="s">
        <v>2763</v>
      </c>
      <c r="B633" t="s">
        <v>1241</v>
      </c>
      <c r="C633" s="1">
        <v>45173</v>
      </c>
      <c r="D633" s="1" t="str">
        <f>TEXT(Delivery_data[[#This Row],[Order date]], "MMMM")</f>
        <v>September</v>
      </c>
      <c r="E633" s="1" t="str">
        <f>TEXT(Delivery_data[[#This Row],[Order date]], "DDDD")</f>
        <v>Monday</v>
      </c>
      <c r="F633" s="2">
        <v>0.56944444444444442</v>
      </c>
      <c r="G633" t="s">
        <v>48</v>
      </c>
      <c r="H633" t="str">
        <f>IF(Delivery_data[[#This Row],[Order Status]] = "In Progress", "Backlog", "Complete")</f>
        <v>Backlog</v>
      </c>
      <c r="I633" t="s">
        <v>65</v>
      </c>
      <c r="J633" t="s">
        <v>1633</v>
      </c>
      <c r="K633" t="s">
        <v>24</v>
      </c>
      <c r="L633">
        <v>188</v>
      </c>
      <c r="M633">
        <v>15</v>
      </c>
      <c r="N633" t="s">
        <v>25</v>
      </c>
      <c r="O633" t="s">
        <v>50</v>
      </c>
      <c r="P633" t="s">
        <v>27</v>
      </c>
      <c r="Q633" t="s">
        <v>51</v>
      </c>
      <c r="R633" s="2">
        <v>0.45347222222222222</v>
      </c>
    </row>
    <row r="634" spans="1:18" x14ac:dyDescent="0.25">
      <c r="A634" t="s">
        <v>2817</v>
      </c>
      <c r="B634" t="s">
        <v>1294</v>
      </c>
      <c r="C634" s="1">
        <v>45175</v>
      </c>
      <c r="D634" s="1" t="str">
        <f>TEXT(Delivery_data[[#This Row],[Order date]], "MMMM")</f>
        <v>September</v>
      </c>
      <c r="E634" s="1" t="str">
        <f>TEXT(Delivery_data[[#This Row],[Order date]], "DDDD")</f>
        <v>Wednesday</v>
      </c>
      <c r="F634" s="2">
        <v>0.36180555555555555</v>
      </c>
      <c r="G634" t="s">
        <v>48</v>
      </c>
      <c r="H634" t="str">
        <f>IF(Delivery_data[[#This Row],[Order Status]] = "In Progress", "Backlog", "Complete")</f>
        <v>Backlog</v>
      </c>
      <c r="I634" t="s">
        <v>65</v>
      </c>
      <c r="J634" t="s">
        <v>1633</v>
      </c>
      <c r="K634" t="s">
        <v>61</v>
      </c>
      <c r="L634">
        <v>80</v>
      </c>
      <c r="M634">
        <v>22</v>
      </c>
      <c r="N634" t="s">
        <v>38</v>
      </c>
      <c r="O634" t="s">
        <v>41</v>
      </c>
      <c r="P634" t="s">
        <v>34</v>
      </c>
      <c r="Q634" t="s">
        <v>46</v>
      </c>
      <c r="R634" s="2">
        <v>0.72152777777777777</v>
      </c>
    </row>
    <row r="635" spans="1:18" x14ac:dyDescent="0.25">
      <c r="A635" t="s">
        <v>2981</v>
      </c>
      <c r="B635" t="s">
        <v>1454</v>
      </c>
      <c r="C635" s="1">
        <v>45172</v>
      </c>
      <c r="D635" s="1" t="str">
        <f>TEXT(Delivery_data[[#This Row],[Order date]], "MMMM")</f>
        <v>September</v>
      </c>
      <c r="E635" s="1" t="str">
        <f>TEXT(Delivery_data[[#This Row],[Order date]], "DDDD")</f>
        <v>Sunday</v>
      </c>
      <c r="F635" s="2">
        <v>0.35</v>
      </c>
      <c r="G635" t="s">
        <v>22</v>
      </c>
      <c r="H635" t="str">
        <f>IF(Delivery_data[[#This Row],[Order Status]] = "In Progress", "Backlog", "Complete")</f>
        <v>Complete</v>
      </c>
      <c r="I635" t="s">
        <v>65</v>
      </c>
      <c r="J635" t="s">
        <v>1631</v>
      </c>
      <c r="K635" t="s">
        <v>31</v>
      </c>
      <c r="L635">
        <v>61</v>
      </c>
      <c r="M635">
        <v>27</v>
      </c>
      <c r="N635" t="s">
        <v>32</v>
      </c>
      <c r="O635" t="s">
        <v>50</v>
      </c>
      <c r="P635" t="s">
        <v>27</v>
      </c>
      <c r="Q635" t="s">
        <v>46</v>
      </c>
      <c r="R635" s="2">
        <v>0.68472222222222223</v>
      </c>
    </row>
    <row r="636" spans="1:18" x14ac:dyDescent="0.25">
      <c r="A636" t="s">
        <v>3003</v>
      </c>
      <c r="B636" t="s">
        <v>1474</v>
      </c>
      <c r="C636" s="1">
        <v>45171</v>
      </c>
      <c r="D636" s="1" t="str">
        <f>TEXT(Delivery_data[[#This Row],[Order date]], "MMMM")</f>
        <v>September</v>
      </c>
      <c r="E636" s="1" t="str">
        <f>TEXT(Delivery_data[[#This Row],[Order date]], "DDDD")</f>
        <v>Saturday</v>
      </c>
      <c r="F636" s="2">
        <v>0.41597222222222224</v>
      </c>
      <c r="G636" t="s">
        <v>22</v>
      </c>
      <c r="H636" t="str">
        <f>IF(Delivery_data[[#This Row],[Order Status]] = "In Progress", "Backlog", "Complete")</f>
        <v>Complete</v>
      </c>
      <c r="I636" t="s">
        <v>65</v>
      </c>
      <c r="J636" t="s">
        <v>1631</v>
      </c>
      <c r="K636" t="s">
        <v>61</v>
      </c>
      <c r="L636">
        <v>107</v>
      </c>
      <c r="M636">
        <v>24</v>
      </c>
      <c r="N636" t="s">
        <v>38</v>
      </c>
      <c r="O636" t="s">
        <v>54</v>
      </c>
      <c r="P636" t="s">
        <v>27</v>
      </c>
      <c r="Q636" t="s">
        <v>46</v>
      </c>
      <c r="R636" s="2">
        <v>0.50624999999999998</v>
      </c>
    </row>
    <row r="637" spans="1:18" x14ac:dyDescent="0.25">
      <c r="A637" t="s">
        <v>3115</v>
      </c>
      <c r="B637" t="s">
        <v>1581</v>
      </c>
      <c r="C637" s="1">
        <v>45177</v>
      </c>
      <c r="D637" s="1" t="str">
        <f>TEXT(Delivery_data[[#This Row],[Order date]], "MMMM")</f>
        <v>September</v>
      </c>
      <c r="E637" s="1" t="str">
        <f>TEXT(Delivery_data[[#This Row],[Order date]], "DDDD")</f>
        <v>Friday</v>
      </c>
      <c r="F637" s="2">
        <v>0.45694444444444443</v>
      </c>
      <c r="G637" t="s">
        <v>48</v>
      </c>
      <c r="H637" t="str">
        <f>IF(Delivery_data[[#This Row],[Order Status]] = "In Progress", "Backlog", "Complete")</f>
        <v>Backlog</v>
      </c>
      <c r="I637" t="s">
        <v>65</v>
      </c>
      <c r="J637" t="s">
        <v>1637</v>
      </c>
      <c r="K637" t="s">
        <v>37</v>
      </c>
      <c r="L637">
        <v>122</v>
      </c>
      <c r="M637">
        <v>7</v>
      </c>
      <c r="N637" t="s">
        <v>38</v>
      </c>
      <c r="O637" t="s">
        <v>54</v>
      </c>
      <c r="P637" t="s">
        <v>34</v>
      </c>
      <c r="Q637" t="s">
        <v>51</v>
      </c>
      <c r="R637" s="2">
        <v>0.4826388888888889</v>
      </c>
    </row>
    <row r="638" spans="1:18" x14ac:dyDescent="0.25">
      <c r="A638" t="s">
        <v>1738</v>
      </c>
      <c r="B638" t="s">
        <v>215</v>
      </c>
      <c r="C638" s="1">
        <v>45171</v>
      </c>
      <c r="D638" s="1" t="str">
        <f>TEXT(Delivery_data[[#This Row],[Order date]], "MMMM")</f>
        <v>September</v>
      </c>
      <c r="E638" s="1" t="str">
        <f>TEXT(Delivery_data[[#This Row],[Order date]], "DDDD")</f>
        <v>Saturday</v>
      </c>
      <c r="F638" s="2">
        <v>0.64236111111111116</v>
      </c>
      <c r="G638" t="s">
        <v>48</v>
      </c>
      <c r="H638" t="str">
        <f>IF(Delivery_data[[#This Row],[Order Status]] = "In Progress", "Backlog", "Complete")</f>
        <v>Backlog</v>
      </c>
      <c r="I638" t="s">
        <v>216</v>
      </c>
      <c r="J638" t="s">
        <v>1637</v>
      </c>
      <c r="K638" t="s">
        <v>61</v>
      </c>
      <c r="L638">
        <v>195</v>
      </c>
      <c r="M638">
        <v>5</v>
      </c>
      <c r="N638" t="s">
        <v>25</v>
      </c>
      <c r="O638" t="s">
        <v>41</v>
      </c>
      <c r="P638" t="s">
        <v>34</v>
      </c>
      <c r="Q638" t="s">
        <v>46</v>
      </c>
      <c r="R638" s="2">
        <v>0.58958333333333335</v>
      </c>
    </row>
    <row r="639" spans="1:18" x14ac:dyDescent="0.25">
      <c r="A639" t="s">
        <v>1804</v>
      </c>
      <c r="B639" t="s">
        <v>299</v>
      </c>
      <c r="C639" s="1">
        <v>45171</v>
      </c>
      <c r="D639" s="1" t="str">
        <f>TEXT(Delivery_data[[#This Row],[Order date]], "MMMM")</f>
        <v>September</v>
      </c>
      <c r="E639" s="1" t="str">
        <f>TEXT(Delivery_data[[#This Row],[Order date]], "DDDD")</f>
        <v>Saturday</v>
      </c>
      <c r="F639" s="2">
        <v>0.40138888888888891</v>
      </c>
      <c r="G639" t="s">
        <v>48</v>
      </c>
      <c r="H639" t="str">
        <f>IF(Delivery_data[[#This Row],[Order Status]] = "In Progress", "Backlog", "Complete")</f>
        <v>Backlog</v>
      </c>
      <c r="I639" t="s">
        <v>216</v>
      </c>
      <c r="J639" t="s">
        <v>1633</v>
      </c>
      <c r="K639" t="s">
        <v>24</v>
      </c>
      <c r="L639">
        <v>175</v>
      </c>
      <c r="M639">
        <v>1</v>
      </c>
      <c r="N639" t="s">
        <v>25</v>
      </c>
      <c r="O639" t="s">
        <v>50</v>
      </c>
      <c r="P639" t="s">
        <v>45</v>
      </c>
      <c r="Q639" t="s">
        <v>51</v>
      </c>
      <c r="R639" s="2">
        <v>0.71180555555555558</v>
      </c>
    </row>
    <row r="640" spans="1:18" x14ac:dyDescent="0.25">
      <c r="A640" t="s">
        <v>1815</v>
      </c>
      <c r="B640" t="s">
        <v>313</v>
      </c>
      <c r="C640" s="1">
        <v>45177</v>
      </c>
      <c r="D640" s="1" t="str">
        <f>TEXT(Delivery_data[[#This Row],[Order date]], "MMMM")</f>
        <v>September</v>
      </c>
      <c r="E640" s="1" t="str">
        <f>TEXT(Delivery_data[[#This Row],[Order date]], "DDDD")</f>
        <v>Friday</v>
      </c>
      <c r="F640" s="2">
        <v>0.5708333333333333</v>
      </c>
      <c r="G640" t="s">
        <v>22</v>
      </c>
      <c r="H640" t="str">
        <f>IF(Delivery_data[[#This Row],[Order Status]] = "In Progress", "Backlog", "Complete")</f>
        <v>Complete</v>
      </c>
      <c r="I640" t="s">
        <v>216</v>
      </c>
      <c r="J640" t="s">
        <v>1637</v>
      </c>
      <c r="K640" t="s">
        <v>37</v>
      </c>
      <c r="L640">
        <v>203</v>
      </c>
      <c r="M640">
        <v>3</v>
      </c>
      <c r="N640" t="s">
        <v>38</v>
      </c>
      <c r="O640" t="s">
        <v>41</v>
      </c>
      <c r="P640" t="s">
        <v>27</v>
      </c>
      <c r="Q640" t="s">
        <v>46</v>
      </c>
      <c r="R640" s="2">
        <v>0.63055555555555554</v>
      </c>
    </row>
    <row r="641" spans="1:18" x14ac:dyDescent="0.25">
      <c r="A641" t="s">
        <v>2077</v>
      </c>
      <c r="B641" t="s">
        <v>582</v>
      </c>
      <c r="C641" s="1">
        <v>45171</v>
      </c>
      <c r="D641" s="1" t="str">
        <f>TEXT(Delivery_data[[#This Row],[Order date]], "MMMM")</f>
        <v>September</v>
      </c>
      <c r="E641" s="1" t="str">
        <f>TEXT(Delivery_data[[#This Row],[Order date]], "DDDD")</f>
        <v>Saturday</v>
      </c>
      <c r="F641" s="2">
        <v>0.38124999999999998</v>
      </c>
      <c r="G641" t="s">
        <v>48</v>
      </c>
      <c r="H641" t="str">
        <f>IF(Delivery_data[[#This Row],[Order Status]] = "In Progress", "Backlog", "Complete")</f>
        <v>Backlog</v>
      </c>
      <c r="I641" t="s">
        <v>216</v>
      </c>
      <c r="J641" t="s">
        <v>1637</v>
      </c>
      <c r="K641" t="s">
        <v>24</v>
      </c>
      <c r="L641">
        <v>81</v>
      </c>
      <c r="M641">
        <v>2</v>
      </c>
      <c r="N641" t="s">
        <v>38</v>
      </c>
      <c r="O641" t="s">
        <v>50</v>
      </c>
      <c r="P641" t="s">
        <v>34</v>
      </c>
      <c r="Q641" t="s">
        <v>46</v>
      </c>
      <c r="R641" s="2">
        <v>0.59166666666666667</v>
      </c>
    </row>
    <row r="642" spans="1:18" x14ac:dyDescent="0.25">
      <c r="A642" t="s">
        <v>2082</v>
      </c>
      <c r="B642" t="s">
        <v>587</v>
      </c>
      <c r="C642" s="1">
        <v>45177</v>
      </c>
      <c r="D642" s="1" t="str">
        <f>TEXT(Delivery_data[[#This Row],[Order date]], "MMMM")</f>
        <v>September</v>
      </c>
      <c r="E642" s="1" t="str">
        <f>TEXT(Delivery_data[[#This Row],[Order date]], "DDDD")</f>
        <v>Friday</v>
      </c>
      <c r="F642" s="2">
        <v>0.66874999999999996</v>
      </c>
      <c r="G642" t="s">
        <v>48</v>
      </c>
      <c r="H642" t="str">
        <f>IF(Delivery_data[[#This Row],[Order Status]] = "In Progress", "Backlog", "Complete")</f>
        <v>Backlog</v>
      </c>
      <c r="I642" t="s">
        <v>216</v>
      </c>
      <c r="J642" t="s">
        <v>1633</v>
      </c>
      <c r="K642" t="s">
        <v>24</v>
      </c>
      <c r="L642">
        <v>75</v>
      </c>
      <c r="M642">
        <v>7</v>
      </c>
      <c r="N642" t="s">
        <v>25</v>
      </c>
      <c r="O642" t="s">
        <v>50</v>
      </c>
      <c r="P642" t="s">
        <v>27</v>
      </c>
      <c r="Q642" t="s">
        <v>51</v>
      </c>
      <c r="R642" s="2">
        <v>0.58402777777777781</v>
      </c>
    </row>
    <row r="643" spans="1:18" x14ac:dyDescent="0.25">
      <c r="A643" t="s">
        <v>2374</v>
      </c>
      <c r="B643" t="s">
        <v>871</v>
      </c>
      <c r="C643" s="1">
        <v>45172</v>
      </c>
      <c r="D643" s="1" t="str">
        <f>TEXT(Delivery_data[[#This Row],[Order date]], "MMMM")</f>
        <v>September</v>
      </c>
      <c r="E643" s="1" t="str">
        <f>TEXT(Delivery_data[[#This Row],[Order date]], "DDDD")</f>
        <v>Sunday</v>
      </c>
      <c r="F643" s="2">
        <v>0.42083333333333334</v>
      </c>
      <c r="G643" t="s">
        <v>22</v>
      </c>
      <c r="H643" t="str">
        <f>IF(Delivery_data[[#This Row],[Order Status]] = "In Progress", "Backlog", "Complete")</f>
        <v>Complete</v>
      </c>
      <c r="I643" t="s">
        <v>216</v>
      </c>
      <c r="J643" t="s">
        <v>1637</v>
      </c>
      <c r="K643" t="s">
        <v>24</v>
      </c>
      <c r="L643">
        <v>64</v>
      </c>
      <c r="M643">
        <v>24</v>
      </c>
      <c r="N643" t="s">
        <v>32</v>
      </c>
      <c r="O643" t="s">
        <v>33</v>
      </c>
      <c r="P643" t="s">
        <v>45</v>
      </c>
      <c r="Q643" t="s">
        <v>51</v>
      </c>
      <c r="R643" s="2">
        <v>0.40902777777777777</v>
      </c>
    </row>
    <row r="644" spans="1:18" x14ac:dyDescent="0.25">
      <c r="A644" t="s">
        <v>2391</v>
      </c>
      <c r="B644" t="s">
        <v>887</v>
      </c>
      <c r="C644" s="1">
        <v>45171</v>
      </c>
      <c r="D644" s="1" t="str">
        <f>TEXT(Delivery_data[[#This Row],[Order date]], "MMMM")</f>
        <v>September</v>
      </c>
      <c r="E644" s="1" t="str">
        <f>TEXT(Delivery_data[[#This Row],[Order date]], "DDDD")</f>
        <v>Saturday</v>
      </c>
      <c r="F644" s="2">
        <v>0.36249999999999999</v>
      </c>
      <c r="G644" t="s">
        <v>48</v>
      </c>
      <c r="H644" t="str">
        <f>IF(Delivery_data[[#This Row],[Order Status]] = "In Progress", "Backlog", "Complete")</f>
        <v>Backlog</v>
      </c>
      <c r="I644" t="s">
        <v>216</v>
      </c>
      <c r="J644" t="s">
        <v>1633</v>
      </c>
      <c r="K644" t="s">
        <v>44</v>
      </c>
      <c r="L644">
        <v>165</v>
      </c>
      <c r="M644">
        <v>21</v>
      </c>
      <c r="N644" t="s">
        <v>25</v>
      </c>
      <c r="O644" t="s">
        <v>41</v>
      </c>
      <c r="P644" t="s">
        <v>27</v>
      </c>
      <c r="Q644" t="s">
        <v>46</v>
      </c>
      <c r="R644" s="2">
        <v>0.51944444444444449</v>
      </c>
    </row>
    <row r="645" spans="1:18" x14ac:dyDescent="0.25">
      <c r="A645" t="s">
        <v>2416</v>
      </c>
      <c r="B645" t="s">
        <v>554</v>
      </c>
      <c r="C645" s="1">
        <v>45177</v>
      </c>
      <c r="D645" s="1" t="str">
        <f>TEXT(Delivery_data[[#This Row],[Order date]], "MMMM")</f>
        <v>September</v>
      </c>
      <c r="E645" s="1" t="str">
        <f>TEXT(Delivery_data[[#This Row],[Order date]], "DDDD")</f>
        <v>Friday</v>
      </c>
      <c r="F645" s="2">
        <v>0.64513888888888893</v>
      </c>
      <c r="G645" t="s">
        <v>22</v>
      </c>
      <c r="H645" t="str">
        <f>IF(Delivery_data[[#This Row],[Order Status]] = "In Progress", "Backlog", "Complete")</f>
        <v>Complete</v>
      </c>
      <c r="I645" t="s">
        <v>216</v>
      </c>
      <c r="J645" t="s">
        <v>1633</v>
      </c>
      <c r="K645" t="s">
        <v>44</v>
      </c>
      <c r="L645">
        <v>209</v>
      </c>
      <c r="M645">
        <v>24</v>
      </c>
      <c r="N645" t="s">
        <v>25</v>
      </c>
      <c r="O645" t="s">
        <v>41</v>
      </c>
      <c r="P645" t="s">
        <v>45</v>
      </c>
      <c r="Q645" t="s">
        <v>46</v>
      </c>
      <c r="R645" s="2">
        <v>0.57916666666666672</v>
      </c>
    </row>
    <row r="646" spans="1:18" x14ac:dyDescent="0.25">
      <c r="A646" t="s">
        <v>2455</v>
      </c>
      <c r="B646" t="s">
        <v>947</v>
      </c>
      <c r="C646" s="1">
        <v>45176</v>
      </c>
      <c r="D646" s="1" t="str">
        <f>TEXT(Delivery_data[[#This Row],[Order date]], "MMMM")</f>
        <v>September</v>
      </c>
      <c r="E646" s="1" t="str">
        <f>TEXT(Delivery_data[[#This Row],[Order date]], "DDDD")</f>
        <v>Thursday</v>
      </c>
      <c r="F646" s="2">
        <v>0.40763888888888888</v>
      </c>
      <c r="G646" t="s">
        <v>48</v>
      </c>
      <c r="H646" t="str">
        <f>IF(Delivery_data[[#This Row],[Order Status]] = "In Progress", "Backlog", "Complete")</f>
        <v>Backlog</v>
      </c>
      <c r="I646" t="s">
        <v>216</v>
      </c>
      <c r="J646" t="s">
        <v>1631</v>
      </c>
      <c r="K646" t="s">
        <v>37</v>
      </c>
      <c r="L646">
        <v>231</v>
      </c>
      <c r="M646">
        <v>9</v>
      </c>
      <c r="N646" t="s">
        <v>38</v>
      </c>
      <c r="O646" t="s">
        <v>33</v>
      </c>
      <c r="P646" t="s">
        <v>27</v>
      </c>
      <c r="Q646" t="s">
        <v>28</v>
      </c>
      <c r="R646" s="2">
        <v>0.47499999999999998</v>
      </c>
    </row>
    <row r="647" spans="1:18" x14ac:dyDescent="0.25">
      <c r="A647" t="s">
        <v>2509</v>
      </c>
      <c r="B647" t="s">
        <v>998</v>
      </c>
      <c r="C647" s="1">
        <v>45177</v>
      </c>
      <c r="D647" s="1" t="str">
        <f>TEXT(Delivery_data[[#This Row],[Order date]], "MMMM")</f>
        <v>September</v>
      </c>
      <c r="E647" s="1" t="str">
        <f>TEXT(Delivery_data[[#This Row],[Order date]], "DDDD")</f>
        <v>Friday</v>
      </c>
      <c r="F647" s="2">
        <v>0.51180555555555551</v>
      </c>
      <c r="G647" t="s">
        <v>48</v>
      </c>
      <c r="H647" t="str">
        <f>IF(Delivery_data[[#This Row],[Order Status]] = "In Progress", "Backlog", "Complete")</f>
        <v>Backlog</v>
      </c>
      <c r="I647" t="s">
        <v>216</v>
      </c>
      <c r="J647" t="s">
        <v>1633</v>
      </c>
      <c r="K647" t="s">
        <v>31</v>
      </c>
      <c r="L647">
        <v>219</v>
      </c>
      <c r="M647">
        <v>12</v>
      </c>
      <c r="N647" t="s">
        <v>25</v>
      </c>
      <c r="O647" t="s">
        <v>41</v>
      </c>
      <c r="P647" t="s">
        <v>34</v>
      </c>
      <c r="Q647" t="s">
        <v>46</v>
      </c>
      <c r="R647" s="2">
        <v>0.40069444444444446</v>
      </c>
    </row>
    <row r="648" spans="1:18" x14ac:dyDescent="0.25">
      <c r="A648" t="s">
        <v>2535</v>
      </c>
      <c r="B648" t="s">
        <v>1023</v>
      </c>
      <c r="C648" s="1">
        <v>45175</v>
      </c>
      <c r="D648" s="1" t="str">
        <f>TEXT(Delivery_data[[#This Row],[Order date]], "MMMM")</f>
        <v>September</v>
      </c>
      <c r="E648" s="1" t="str">
        <f>TEXT(Delivery_data[[#This Row],[Order date]], "DDDD")</f>
        <v>Wednesday</v>
      </c>
      <c r="F648" s="2">
        <v>0.61041666666666672</v>
      </c>
      <c r="G648" t="s">
        <v>22</v>
      </c>
      <c r="H648" t="str">
        <f>IF(Delivery_data[[#This Row],[Order Status]] = "In Progress", "Backlog", "Complete")</f>
        <v>Complete</v>
      </c>
      <c r="I648" t="s">
        <v>216</v>
      </c>
      <c r="J648" t="s">
        <v>1631</v>
      </c>
      <c r="K648" t="s">
        <v>31</v>
      </c>
      <c r="L648">
        <v>234</v>
      </c>
      <c r="M648">
        <v>28</v>
      </c>
      <c r="N648" t="s">
        <v>38</v>
      </c>
      <c r="O648" t="s">
        <v>50</v>
      </c>
      <c r="P648" t="s">
        <v>27</v>
      </c>
      <c r="Q648" t="s">
        <v>51</v>
      </c>
      <c r="R648" s="2">
        <v>0.44236111111111109</v>
      </c>
    </row>
    <row r="649" spans="1:18" x14ac:dyDescent="0.25">
      <c r="A649" t="s">
        <v>2654</v>
      </c>
      <c r="B649" t="s">
        <v>1137</v>
      </c>
      <c r="C649" s="1">
        <v>45172</v>
      </c>
      <c r="D649" s="1" t="str">
        <f>TEXT(Delivery_data[[#This Row],[Order date]], "MMMM")</f>
        <v>September</v>
      </c>
      <c r="E649" s="1" t="str">
        <f>TEXT(Delivery_data[[#This Row],[Order date]], "DDDD")</f>
        <v>Sunday</v>
      </c>
      <c r="F649" s="2">
        <v>0.38194444444444442</v>
      </c>
      <c r="G649" t="s">
        <v>22</v>
      </c>
      <c r="H649" t="str">
        <f>IF(Delivery_data[[#This Row],[Order Status]] = "In Progress", "Backlog", "Complete")</f>
        <v>Complete</v>
      </c>
      <c r="I649" t="s">
        <v>216</v>
      </c>
      <c r="J649" t="s">
        <v>1631</v>
      </c>
      <c r="K649" t="s">
        <v>61</v>
      </c>
      <c r="L649">
        <v>111</v>
      </c>
      <c r="M649">
        <v>18</v>
      </c>
      <c r="N649" t="s">
        <v>38</v>
      </c>
      <c r="O649" t="s">
        <v>26</v>
      </c>
      <c r="P649" t="s">
        <v>34</v>
      </c>
      <c r="Q649" t="s">
        <v>51</v>
      </c>
      <c r="R649" s="2">
        <v>0.65972222222222221</v>
      </c>
    </row>
    <row r="650" spans="1:18" x14ac:dyDescent="0.25">
      <c r="A650" t="s">
        <v>1783</v>
      </c>
      <c r="B650" t="s">
        <v>271</v>
      </c>
      <c r="C650" s="1">
        <v>45170</v>
      </c>
      <c r="D650" s="1" t="str">
        <f>TEXT(Delivery_data[[#This Row],[Order date]], "MMMM")</f>
        <v>September</v>
      </c>
      <c r="E650" s="1" t="str">
        <f>TEXT(Delivery_data[[#This Row],[Order date]], "DDDD")</f>
        <v>Friday</v>
      </c>
      <c r="F650" s="2">
        <v>0.37222222222222223</v>
      </c>
      <c r="G650" t="s">
        <v>22</v>
      </c>
      <c r="H650" t="str">
        <f>IF(Delivery_data[[#This Row],[Order Status]] = "In Progress", "Backlog", "Complete")</f>
        <v>Complete</v>
      </c>
      <c r="I650" t="s">
        <v>272</v>
      </c>
      <c r="J650" t="s">
        <v>1633</v>
      </c>
      <c r="K650" t="s">
        <v>31</v>
      </c>
      <c r="L650">
        <v>213</v>
      </c>
      <c r="M650">
        <v>15</v>
      </c>
      <c r="N650" t="s">
        <v>38</v>
      </c>
      <c r="O650" t="s">
        <v>33</v>
      </c>
      <c r="P650" t="s">
        <v>45</v>
      </c>
      <c r="Q650" t="s">
        <v>28</v>
      </c>
      <c r="R650" s="2">
        <v>0.6069444444444444</v>
      </c>
    </row>
    <row r="651" spans="1:18" x14ac:dyDescent="0.25">
      <c r="A651" t="s">
        <v>1829</v>
      </c>
      <c r="B651" t="s">
        <v>327</v>
      </c>
      <c r="C651" s="1">
        <v>45175</v>
      </c>
      <c r="D651" s="1" t="str">
        <f>TEXT(Delivery_data[[#This Row],[Order date]], "MMMM")</f>
        <v>September</v>
      </c>
      <c r="E651" s="1" t="str">
        <f>TEXT(Delivery_data[[#This Row],[Order date]], "DDDD")</f>
        <v>Wednesday</v>
      </c>
      <c r="F651" s="2">
        <v>0.48888888888888887</v>
      </c>
      <c r="G651" t="s">
        <v>48</v>
      </c>
      <c r="H651" t="str">
        <f>IF(Delivery_data[[#This Row],[Order Status]] = "In Progress", "Backlog", "Complete")</f>
        <v>Backlog</v>
      </c>
      <c r="I651" t="s">
        <v>272</v>
      </c>
      <c r="J651" t="s">
        <v>1631</v>
      </c>
      <c r="K651" t="s">
        <v>31</v>
      </c>
      <c r="L651">
        <v>124</v>
      </c>
      <c r="M651">
        <v>13</v>
      </c>
      <c r="N651" t="s">
        <v>25</v>
      </c>
      <c r="O651" t="s">
        <v>33</v>
      </c>
      <c r="P651" t="s">
        <v>27</v>
      </c>
      <c r="Q651" t="s">
        <v>28</v>
      </c>
      <c r="R651" s="2">
        <v>0.51041666666666663</v>
      </c>
    </row>
    <row r="652" spans="1:18" x14ac:dyDescent="0.25">
      <c r="A652" t="s">
        <v>2059</v>
      </c>
      <c r="B652" t="s">
        <v>564</v>
      </c>
      <c r="C652" s="1">
        <v>45177</v>
      </c>
      <c r="D652" s="1" t="str">
        <f>TEXT(Delivery_data[[#This Row],[Order date]], "MMMM")</f>
        <v>September</v>
      </c>
      <c r="E652" s="1" t="str">
        <f>TEXT(Delivery_data[[#This Row],[Order date]], "DDDD")</f>
        <v>Friday</v>
      </c>
      <c r="F652" s="2">
        <v>0.50763888888888886</v>
      </c>
      <c r="G652" t="s">
        <v>22</v>
      </c>
      <c r="H652" t="str">
        <f>IF(Delivery_data[[#This Row],[Order Status]] = "In Progress", "Backlog", "Complete")</f>
        <v>Complete</v>
      </c>
      <c r="I652" t="s">
        <v>272</v>
      </c>
      <c r="J652" t="s">
        <v>1633</v>
      </c>
      <c r="K652" t="s">
        <v>24</v>
      </c>
      <c r="L652">
        <v>116</v>
      </c>
      <c r="M652">
        <v>22</v>
      </c>
      <c r="N652" t="s">
        <v>32</v>
      </c>
      <c r="O652" t="s">
        <v>41</v>
      </c>
      <c r="P652" t="s">
        <v>34</v>
      </c>
      <c r="Q652" t="s">
        <v>46</v>
      </c>
      <c r="R652" s="2">
        <v>0.48819444444444443</v>
      </c>
    </row>
    <row r="653" spans="1:18" x14ac:dyDescent="0.25">
      <c r="A653" t="s">
        <v>2079</v>
      </c>
      <c r="B653" t="s">
        <v>584</v>
      </c>
      <c r="C653" s="1">
        <v>45173</v>
      </c>
      <c r="D653" s="1" t="str">
        <f>TEXT(Delivery_data[[#This Row],[Order date]], "MMMM")</f>
        <v>September</v>
      </c>
      <c r="E653" s="1" t="str">
        <f>TEXT(Delivery_data[[#This Row],[Order date]], "DDDD")</f>
        <v>Monday</v>
      </c>
      <c r="F653" s="2">
        <v>0.67777777777777781</v>
      </c>
      <c r="G653" t="s">
        <v>48</v>
      </c>
      <c r="H653" t="str">
        <f>IF(Delivery_data[[#This Row],[Order Status]] = "In Progress", "Backlog", "Complete")</f>
        <v>Backlog</v>
      </c>
      <c r="I653" t="s">
        <v>272</v>
      </c>
      <c r="J653" t="s">
        <v>1637</v>
      </c>
      <c r="K653" t="s">
        <v>61</v>
      </c>
      <c r="L653">
        <v>170</v>
      </c>
      <c r="M653">
        <v>13</v>
      </c>
      <c r="N653" t="s">
        <v>38</v>
      </c>
      <c r="O653" t="s">
        <v>54</v>
      </c>
      <c r="P653" t="s">
        <v>27</v>
      </c>
      <c r="Q653" t="s">
        <v>51</v>
      </c>
      <c r="R653" s="2">
        <v>0.66805555555555551</v>
      </c>
    </row>
    <row r="654" spans="1:18" x14ac:dyDescent="0.25">
      <c r="A654" t="s">
        <v>2197</v>
      </c>
      <c r="B654" t="s">
        <v>698</v>
      </c>
      <c r="C654" s="1">
        <v>45172</v>
      </c>
      <c r="D654" s="1" t="str">
        <f>TEXT(Delivery_data[[#This Row],[Order date]], "MMMM")</f>
        <v>September</v>
      </c>
      <c r="E654" s="1" t="str">
        <f>TEXT(Delivery_data[[#This Row],[Order date]], "DDDD")</f>
        <v>Sunday</v>
      </c>
      <c r="F654" s="2">
        <v>0.58263888888888893</v>
      </c>
      <c r="G654" t="s">
        <v>48</v>
      </c>
      <c r="H654" t="str">
        <f>IF(Delivery_data[[#This Row],[Order Status]] = "In Progress", "Backlog", "Complete")</f>
        <v>Backlog</v>
      </c>
      <c r="I654" t="s">
        <v>272</v>
      </c>
      <c r="J654" t="s">
        <v>1637</v>
      </c>
      <c r="K654" t="s">
        <v>44</v>
      </c>
      <c r="L654">
        <v>202</v>
      </c>
      <c r="M654">
        <v>27</v>
      </c>
      <c r="N654" t="s">
        <v>25</v>
      </c>
      <c r="O654" t="s">
        <v>54</v>
      </c>
      <c r="P654" t="s">
        <v>45</v>
      </c>
      <c r="Q654" t="s">
        <v>46</v>
      </c>
      <c r="R654" s="2">
        <v>0.42569444444444443</v>
      </c>
    </row>
    <row r="655" spans="1:18" x14ac:dyDescent="0.25">
      <c r="A655" t="s">
        <v>2384</v>
      </c>
      <c r="B655" t="s">
        <v>880</v>
      </c>
      <c r="C655" s="1">
        <v>45170</v>
      </c>
      <c r="D655" s="1" t="str">
        <f>TEXT(Delivery_data[[#This Row],[Order date]], "MMMM")</f>
        <v>September</v>
      </c>
      <c r="E655" s="1" t="str">
        <f>TEXT(Delivery_data[[#This Row],[Order date]], "DDDD")</f>
        <v>Friday</v>
      </c>
      <c r="F655" s="2">
        <v>0.60763888888888884</v>
      </c>
      <c r="G655" t="s">
        <v>22</v>
      </c>
      <c r="H655" t="str">
        <f>IF(Delivery_data[[#This Row],[Order Status]] = "In Progress", "Backlog", "Complete")</f>
        <v>Complete</v>
      </c>
      <c r="I655" t="s">
        <v>272</v>
      </c>
      <c r="J655" t="s">
        <v>1631</v>
      </c>
      <c r="K655" t="s">
        <v>37</v>
      </c>
      <c r="L655">
        <v>128</v>
      </c>
      <c r="M655">
        <v>4</v>
      </c>
      <c r="N655" t="s">
        <v>25</v>
      </c>
      <c r="O655" t="s">
        <v>50</v>
      </c>
      <c r="P655" t="s">
        <v>27</v>
      </c>
      <c r="Q655" t="s">
        <v>51</v>
      </c>
      <c r="R655" s="2">
        <v>0.61041666666666672</v>
      </c>
    </row>
    <row r="656" spans="1:18" x14ac:dyDescent="0.25">
      <c r="A656" t="s">
        <v>2597</v>
      </c>
      <c r="B656" t="s">
        <v>1081</v>
      </c>
      <c r="C656" s="1">
        <v>45176</v>
      </c>
      <c r="D656" s="1" t="str">
        <f>TEXT(Delivery_data[[#This Row],[Order date]], "MMMM")</f>
        <v>September</v>
      </c>
      <c r="E656" s="1" t="str">
        <f>TEXT(Delivery_data[[#This Row],[Order date]], "DDDD")</f>
        <v>Thursday</v>
      </c>
      <c r="F656" s="2">
        <v>0.55625000000000002</v>
      </c>
      <c r="G656" t="s">
        <v>48</v>
      </c>
      <c r="H656" t="str">
        <f>IF(Delivery_data[[#This Row],[Order Status]] = "In Progress", "Backlog", "Complete")</f>
        <v>Backlog</v>
      </c>
      <c r="I656" t="s">
        <v>272</v>
      </c>
      <c r="J656" t="s">
        <v>1631</v>
      </c>
      <c r="K656" t="s">
        <v>24</v>
      </c>
      <c r="L656">
        <v>230</v>
      </c>
      <c r="M656">
        <v>14</v>
      </c>
      <c r="N656" t="s">
        <v>38</v>
      </c>
      <c r="O656" t="s">
        <v>26</v>
      </c>
      <c r="P656" t="s">
        <v>45</v>
      </c>
      <c r="Q656" t="s">
        <v>46</v>
      </c>
      <c r="R656" s="2">
        <v>0.63749999999999996</v>
      </c>
    </row>
    <row r="657" spans="1:18" x14ac:dyDescent="0.25">
      <c r="A657" t="s">
        <v>2599</v>
      </c>
      <c r="B657" t="s">
        <v>1083</v>
      </c>
      <c r="C657" s="1">
        <v>45173</v>
      </c>
      <c r="D657" s="1" t="str">
        <f>TEXT(Delivery_data[[#This Row],[Order date]], "MMMM")</f>
        <v>September</v>
      </c>
      <c r="E657" s="1" t="str">
        <f>TEXT(Delivery_data[[#This Row],[Order date]], "DDDD")</f>
        <v>Monday</v>
      </c>
      <c r="F657" s="2">
        <v>0.60902777777777772</v>
      </c>
      <c r="G657" t="s">
        <v>48</v>
      </c>
      <c r="H657" t="str">
        <f>IF(Delivery_data[[#This Row],[Order Status]] = "In Progress", "Backlog", "Complete")</f>
        <v>Backlog</v>
      </c>
      <c r="I657" t="s">
        <v>272</v>
      </c>
      <c r="J657" t="s">
        <v>1631</v>
      </c>
      <c r="K657" t="s">
        <v>44</v>
      </c>
      <c r="L657">
        <v>202</v>
      </c>
      <c r="M657">
        <v>14</v>
      </c>
      <c r="N657" t="s">
        <v>25</v>
      </c>
      <c r="O657" t="s">
        <v>54</v>
      </c>
      <c r="P657" t="s">
        <v>27</v>
      </c>
      <c r="Q657" t="s">
        <v>51</v>
      </c>
      <c r="R657" s="2">
        <v>0.47847222222222224</v>
      </c>
    </row>
    <row r="658" spans="1:18" x14ac:dyDescent="0.25">
      <c r="A658" t="s">
        <v>2737</v>
      </c>
      <c r="B658" t="s">
        <v>1217</v>
      </c>
      <c r="C658" s="1">
        <v>45176</v>
      </c>
      <c r="D658" s="1" t="str">
        <f>TEXT(Delivery_data[[#This Row],[Order date]], "MMMM")</f>
        <v>September</v>
      </c>
      <c r="E658" s="1" t="str">
        <f>TEXT(Delivery_data[[#This Row],[Order date]], "DDDD")</f>
        <v>Thursday</v>
      </c>
      <c r="F658" s="2">
        <v>0.46944444444444444</v>
      </c>
      <c r="G658" t="s">
        <v>22</v>
      </c>
      <c r="H658" t="str">
        <f>IF(Delivery_data[[#This Row],[Order Status]] = "In Progress", "Backlog", "Complete")</f>
        <v>Complete</v>
      </c>
      <c r="I658" t="s">
        <v>272</v>
      </c>
      <c r="J658" t="s">
        <v>1637</v>
      </c>
      <c r="K658" t="s">
        <v>31</v>
      </c>
      <c r="L658">
        <v>162</v>
      </c>
      <c r="M658">
        <v>9</v>
      </c>
      <c r="N658" t="s">
        <v>38</v>
      </c>
      <c r="O658" t="s">
        <v>41</v>
      </c>
      <c r="P658" t="s">
        <v>27</v>
      </c>
      <c r="Q658" t="s">
        <v>51</v>
      </c>
      <c r="R658" s="2">
        <v>0.40555555555555556</v>
      </c>
    </row>
    <row r="659" spans="1:18" x14ac:dyDescent="0.25">
      <c r="A659" t="s">
        <v>2834</v>
      </c>
      <c r="B659" t="s">
        <v>1310</v>
      </c>
      <c r="C659" s="1">
        <v>45172</v>
      </c>
      <c r="D659" s="1" t="str">
        <f>TEXT(Delivery_data[[#This Row],[Order date]], "MMMM")</f>
        <v>September</v>
      </c>
      <c r="E659" s="1" t="str">
        <f>TEXT(Delivery_data[[#This Row],[Order date]], "DDDD")</f>
        <v>Sunday</v>
      </c>
      <c r="F659" s="2">
        <v>0.45416666666666666</v>
      </c>
      <c r="G659" t="s">
        <v>48</v>
      </c>
      <c r="H659" t="str">
        <f>IF(Delivery_data[[#This Row],[Order Status]] = "In Progress", "Backlog", "Complete")</f>
        <v>Backlog</v>
      </c>
      <c r="I659" t="s">
        <v>272</v>
      </c>
      <c r="J659" t="s">
        <v>1633</v>
      </c>
      <c r="K659" t="s">
        <v>44</v>
      </c>
      <c r="L659">
        <v>160</v>
      </c>
      <c r="M659">
        <v>27</v>
      </c>
      <c r="N659" t="s">
        <v>38</v>
      </c>
      <c r="O659" t="s">
        <v>33</v>
      </c>
      <c r="P659" t="s">
        <v>34</v>
      </c>
      <c r="Q659" t="s">
        <v>28</v>
      </c>
      <c r="R659" s="2">
        <v>0.57430555555555551</v>
      </c>
    </row>
    <row r="660" spans="1:18" x14ac:dyDescent="0.25">
      <c r="A660" t="s">
        <v>2861</v>
      </c>
      <c r="B660" t="s">
        <v>722</v>
      </c>
      <c r="C660" s="1">
        <v>45174</v>
      </c>
      <c r="D660" s="1" t="str">
        <f>TEXT(Delivery_data[[#This Row],[Order date]], "MMMM")</f>
        <v>September</v>
      </c>
      <c r="E660" s="1" t="str">
        <f>TEXT(Delivery_data[[#This Row],[Order date]], "DDDD")</f>
        <v>Tuesday</v>
      </c>
      <c r="F660" s="2">
        <v>0.44374999999999998</v>
      </c>
      <c r="G660" t="s">
        <v>48</v>
      </c>
      <c r="H660" t="str">
        <f>IF(Delivery_data[[#This Row],[Order Status]] = "In Progress", "Backlog", "Complete")</f>
        <v>Backlog</v>
      </c>
      <c r="I660" t="s">
        <v>272</v>
      </c>
      <c r="J660" t="s">
        <v>1633</v>
      </c>
      <c r="K660" t="s">
        <v>61</v>
      </c>
      <c r="L660">
        <v>71</v>
      </c>
      <c r="M660">
        <v>5</v>
      </c>
      <c r="N660" t="s">
        <v>25</v>
      </c>
      <c r="O660" t="s">
        <v>50</v>
      </c>
      <c r="P660" t="s">
        <v>34</v>
      </c>
      <c r="Q660" t="s">
        <v>46</v>
      </c>
      <c r="R660" s="2">
        <v>0.7319444444444444</v>
      </c>
    </row>
    <row r="661" spans="1:18" x14ac:dyDescent="0.25">
      <c r="A661" t="s">
        <v>2872</v>
      </c>
      <c r="B661" t="s">
        <v>1346</v>
      </c>
      <c r="C661" s="1">
        <v>45170</v>
      </c>
      <c r="D661" s="1" t="str">
        <f>TEXT(Delivery_data[[#This Row],[Order date]], "MMMM")</f>
        <v>September</v>
      </c>
      <c r="E661" s="1" t="str">
        <f>TEXT(Delivery_data[[#This Row],[Order date]], "DDDD")</f>
        <v>Friday</v>
      </c>
      <c r="F661" s="2">
        <v>0.44791666666666669</v>
      </c>
      <c r="G661" t="s">
        <v>22</v>
      </c>
      <c r="H661" t="str">
        <f>IF(Delivery_data[[#This Row],[Order Status]] = "In Progress", "Backlog", "Complete")</f>
        <v>Complete</v>
      </c>
      <c r="I661" t="s">
        <v>272</v>
      </c>
      <c r="J661" t="s">
        <v>1631</v>
      </c>
      <c r="K661" t="s">
        <v>61</v>
      </c>
      <c r="L661">
        <v>169</v>
      </c>
      <c r="M661">
        <v>8</v>
      </c>
      <c r="N661" t="s">
        <v>38</v>
      </c>
      <c r="O661" t="s">
        <v>54</v>
      </c>
      <c r="P661" t="s">
        <v>45</v>
      </c>
      <c r="Q661" t="s">
        <v>51</v>
      </c>
      <c r="R661" s="2">
        <v>0.3527777777777778</v>
      </c>
    </row>
    <row r="662" spans="1:18" x14ac:dyDescent="0.25">
      <c r="A662" t="s">
        <v>3034</v>
      </c>
      <c r="B662" t="s">
        <v>1504</v>
      </c>
      <c r="C662" s="1">
        <v>45172</v>
      </c>
      <c r="D662" s="1" t="str">
        <f>TEXT(Delivery_data[[#This Row],[Order date]], "MMMM")</f>
        <v>September</v>
      </c>
      <c r="E662" s="1" t="str">
        <f>TEXT(Delivery_data[[#This Row],[Order date]], "DDDD")</f>
        <v>Sunday</v>
      </c>
      <c r="F662" s="2">
        <v>0.46875</v>
      </c>
      <c r="G662" t="s">
        <v>48</v>
      </c>
      <c r="H662" t="str">
        <f>IF(Delivery_data[[#This Row],[Order Status]] = "In Progress", "Backlog", "Complete")</f>
        <v>Backlog</v>
      </c>
      <c r="I662" t="s">
        <v>272</v>
      </c>
      <c r="J662" t="s">
        <v>1637</v>
      </c>
      <c r="K662" t="s">
        <v>37</v>
      </c>
      <c r="L662">
        <v>149</v>
      </c>
      <c r="M662">
        <v>18</v>
      </c>
      <c r="N662" t="s">
        <v>38</v>
      </c>
      <c r="O662" t="s">
        <v>50</v>
      </c>
      <c r="P662" t="s">
        <v>34</v>
      </c>
      <c r="Q662" t="s">
        <v>51</v>
      </c>
      <c r="R662" s="2">
        <v>0.45902777777777776</v>
      </c>
    </row>
    <row r="663" spans="1:18" x14ac:dyDescent="0.25">
      <c r="A663" t="s">
        <v>3124</v>
      </c>
      <c r="B663" t="s">
        <v>1589</v>
      </c>
      <c r="C663" s="1">
        <v>45175</v>
      </c>
      <c r="D663" s="1" t="str">
        <f>TEXT(Delivery_data[[#This Row],[Order date]], "MMMM")</f>
        <v>September</v>
      </c>
      <c r="E663" s="1" t="str">
        <f>TEXT(Delivery_data[[#This Row],[Order date]], "DDDD")</f>
        <v>Wednesday</v>
      </c>
      <c r="F663" s="2">
        <v>0.40347222222222223</v>
      </c>
      <c r="G663" t="s">
        <v>48</v>
      </c>
      <c r="H663" t="str">
        <f>IF(Delivery_data[[#This Row],[Order Status]] = "In Progress", "Backlog", "Complete")</f>
        <v>Backlog</v>
      </c>
      <c r="I663" t="s">
        <v>272</v>
      </c>
      <c r="J663" t="s">
        <v>1631</v>
      </c>
      <c r="K663" t="s">
        <v>37</v>
      </c>
      <c r="L663">
        <v>202</v>
      </c>
      <c r="M663">
        <v>0</v>
      </c>
      <c r="N663" t="s">
        <v>32</v>
      </c>
      <c r="O663" t="s">
        <v>41</v>
      </c>
      <c r="P663" t="s">
        <v>45</v>
      </c>
      <c r="Q663" t="s">
        <v>51</v>
      </c>
      <c r="R663" s="2">
        <v>0.44930555555555557</v>
      </c>
    </row>
    <row r="664" spans="1:18" x14ac:dyDescent="0.25">
      <c r="A664" t="s">
        <v>1942</v>
      </c>
      <c r="B664" t="s">
        <v>445</v>
      </c>
      <c r="C664" s="1">
        <v>45173</v>
      </c>
      <c r="D664" s="1" t="str">
        <f>TEXT(Delivery_data[[#This Row],[Order date]], "MMMM")</f>
        <v>September</v>
      </c>
      <c r="E664" s="1" t="str">
        <f>TEXT(Delivery_data[[#This Row],[Order date]], "DDDD")</f>
        <v>Monday</v>
      </c>
      <c r="F664" s="2">
        <v>0.68888888888888888</v>
      </c>
      <c r="G664" t="s">
        <v>48</v>
      </c>
      <c r="H664" t="str">
        <f>IF(Delivery_data[[#This Row],[Order Status]] = "In Progress", "Backlog", "Complete")</f>
        <v>Backlog</v>
      </c>
      <c r="I664" t="s">
        <v>446</v>
      </c>
      <c r="J664" t="s">
        <v>1631</v>
      </c>
      <c r="K664" t="s">
        <v>31</v>
      </c>
      <c r="L664">
        <v>227</v>
      </c>
      <c r="M664">
        <v>12</v>
      </c>
      <c r="N664" t="s">
        <v>32</v>
      </c>
      <c r="O664" t="s">
        <v>33</v>
      </c>
      <c r="P664" t="s">
        <v>27</v>
      </c>
      <c r="Q664" t="s">
        <v>51</v>
      </c>
      <c r="R664" s="2">
        <v>0.57638888888888884</v>
      </c>
    </row>
    <row r="665" spans="1:18" x14ac:dyDescent="0.25">
      <c r="A665" t="s">
        <v>2024</v>
      </c>
      <c r="B665" t="s">
        <v>529</v>
      </c>
      <c r="C665" s="1">
        <v>45176</v>
      </c>
      <c r="D665" s="1" t="str">
        <f>TEXT(Delivery_data[[#This Row],[Order date]], "MMMM")</f>
        <v>September</v>
      </c>
      <c r="E665" s="1" t="str">
        <f>TEXT(Delivery_data[[#This Row],[Order date]], "DDDD")</f>
        <v>Thursday</v>
      </c>
      <c r="F665" s="2">
        <v>0.55208333333333337</v>
      </c>
      <c r="G665" t="s">
        <v>22</v>
      </c>
      <c r="H665" t="str">
        <f>IF(Delivery_data[[#This Row],[Order Status]] = "In Progress", "Backlog", "Complete")</f>
        <v>Complete</v>
      </c>
      <c r="I665" t="s">
        <v>446</v>
      </c>
      <c r="J665" t="s">
        <v>1637</v>
      </c>
      <c r="K665" t="s">
        <v>61</v>
      </c>
      <c r="L665">
        <v>193</v>
      </c>
      <c r="M665">
        <v>16</v>
      </c>
      <c r="N665" t="s">
        <v>25</v>
      </c>
      <c r="O665" t="s">
        <v>33</v>
      </c>
      <c r="P665" t="s">
        <v>34</v>
      </c>
      <c r="Q665" t="s">
        <v>28</v>
      </c>
      <c r="R665" s="2">
        <v>0.6333333333333333</v>
      </c>
    </row>
    <row r="666" spans="1:18" x14ac:dyDescent="0.25">
      <c r="A666" t="s">
        <v>2318</v>
      </c>
      <c r="B666" t="s">
        <v>816</v>
      </c>
      <c r="C666" s="1">
        <v>45174</v>
      </c>
      <c r="D666" s="1" t="str">
        <f>TEXT(Delivery_data[[#This Row],[Order date]], "MMMM")</f>
        <v>September</v>
      </c>
      <c r="E666" s="1" t="str">
        <f>TEXT(Delivery_data[[#This Row],[Order date]], "DDDD")</f>
        <v>Tuesday</v>
      </c>
      <c r="F666" s="2">
        <v>0.58472222222222225</v>
      </c>
      <c r="G666" t="s">
        <v>22</v>
      </c>
      <c r="H666" t="str">
        <f>IF(Delivery_data[[#This Row],[Order Status]] = "In Progress", "Backlog", "Complete")</f>
        <v>Complete</v>
      </c>
      <c r="I666" t="s">
        <v>446</v>
      </c>
      <c r="J666" t="s">
        <v>1631</v>
      </c>
      <c r="K666" t="s">
        <v>31</v>
      </c>
      <c r="L666">
        <v>206</v>
      </c>
      <c r="M666">
        <v>3</v>
      </c>
      <c r="N666" t="s">
        <v>25</v>
      </c>
      <c r="O666" t="s">
        <v>41</v>
      </c>
      <c r="P666" t="s">
        <v>27</v>
      </c>
      <c r="Q666" t="s">
        <v>28</v>
      </c>
      <c r="R666" s="2">
        <v>0.56111111111111112</v>
      </c>
    </row>
    <row r="667" spans="1:18" x14ac:dyDescent="0.25">
      <c r="A667" t="s">
        <v>2497</v>
      </c>
      <c r="B667" t="s">
        <v>986</v>
      </c>
      <c r="C667" s="1">
        <v>45170</v>
      </c>
      <c r="D667" s="1" t="str">
        <f>TEXT(Delivery_data[[#This Row],[Order date]], "MMMM")</f>
        <v>September</v>
      </c>
      <c r="E667" s="1" t="str">
        <f>TEXT(Delivery_data[[#This Row],[Order date]], "DDDD")</f>
        <v>Friday</v>
      </c>
      <c r="F667" s="2">
        <v>0.50902777777777775</v>
      </c>
      <c r="G667" t="s">
        <v>48</v>
      </c>
      <c r="H667" t="str">
        <f>IF(Delivery_data[[#This Row],[Order Status]] = "In Progress", "Backlog", "Complete")</f>
        <v>Backlog</v>
      </c>
      <c r="I667" t="s">
        <v>446</v>
      </c>
      <c r="J667" t="s">
        <v>1633</v>
      </c>
      <c r="K667" t="s">
        <v>37</v>
      </c>
      <c r="L667">
        <v>119</v>
      </c>
      <c r="M667">
        <v>26</v>
      </c>
      <c r="N667" t="s">
        <v>25</v>
      </c>
      <c r="O667" t="s">
        <v>41</v>
      </c>
      <c r="P667" t="s">
        <v>45</v>
      </c>
      <c r="Q667" t="s">
        <v>28</v>
      </c>
      <c r="R667" s="2">
        <v>0.51249999999999996</v>
      </c>
    </row>
    <row r="668" spans="1:18" x14ac:dyDescent="0.25">
      <c r="A668" t="s">
        <v>2560</v>
      </c>
      <c r="B668" t="s">
        <v>1045</v>
      </c>
      <c r="C668" s="1">
        <v>45173</v>
      </c>
      <c r="D668" s="1" t="str">
        <f>TEXT(Delivery_data[[#This Row],[Order date]], "MMMM")</f>
        <v>September</v>
      </c>
      <c r="E668" s="1" t="str">
        <f>TEXT(Delivery_data[[#This Row],[Order date]], "DDDD")</f>
        <v>Monday</v>
      </c>
      <c r="F668" s="2">
        <v>0.39027777777777778</v>
      </c>
      <c r="G668" t="s">
        <v>22</v>
      </c>
      <c r="H668" t="str">
        <f>IF(Delivery_data[[#This Row],[Order Status]] = "In Progress", "Backlog", "Complete")</f>
        <v>Complete</v>
      </c>
      <c r="I668" t="s">
        <v>446</v>
      </c>
      <c r="J668" t="s">
        <v>1631</v>
      </c>
      <c r="K668" t="s">
        <v>61</v>
      </c>
      <c r="L668">
        <v>205</v>
      </c>
      <c r="M668">
        <v>14</v>
      </c>
      <c r="N668" t="s">
        <v>25</v>
      </c>
      <c r="O668" t="s">
        <v>41</v>
      </c>
      <c r="P668" t="s">
        <v>45</v>
      </c>
      <c r="Q668" t="s">
        <v>51</v>
      </c>
      <c r="R668" s="2">
        <v>0.68541666666666667</v>
      </c>
    </row>
    <row r="669" spans="1:18" x14ac:dyDescent="0.25">
      <c r="A669" t="s">
        <v>2754</v>
      </c>
      <c r="B669" t="s">
        <v>1233</v>
      </c>
      <c r="C669" s="1">
        <v>45172</v>
      </c>
      <c r="D669" s="1" t="str">
        <f>TEXT(Delivery_data[[#This Row],[Order date]], "MMMM")</f>
        <v>September</v>
      </c>
      <c r="E669" s="1" t="str">
        <f>TEXT(Delivery_data[[#This Row],[Order date]], "DDDD")</f>
        <v>Sunday</v>
      </c>
      <c r="F669" s="2">
        <v>0.39513888888888887</v>
      </c>
      <c r="G669" t="s">
        <v>48</v>
      </c>
      <c r="H669" t="str">
        <f>IF(Delivery_data[[#This Row],[Order Status]] = "In Progress", "Backlog", "Complete")</f>
        <v>Backlog</v>
      </c>
      <c r="I669" t="s">
        <v>446</v>
      </c>
      <c r="J669" t="s">
        <v>1631</v>
      </c>
      <c r="K669" t="s">
        <v>44</v>
      </c>
      <c r="L669">
        <v>74</v>
      </c>
      <c r="M669">
        <v>19</v>
      </c>
      <c r="N669" t="s">
        <v>38</v>
      </c>
      <c r="O669" t="s">
        <v>54</v>
      </c>
      <c r="P669" t="s">
        <v>27</v>
      </c>
      <c r="Q669" t="s">
        <v>51</v>
      </c>
      <c r="R669" s="2">
        <v>0.44930555555555557</v>
      </c>
    </row>
    <row r="670" spans="1:18" x14ac:dyDescent="0.25">
      <c r="A670" t="s">
        <v>2833</v>
      </c>
      <c r="B670" t="s">
        <v>1309</v>
      </c>
      <c r="C670" s="1">
        <v>45171</v>
      </c>
      <c r="D670" s="1" t="str">
        <f>TEXT(Delivery_data[[#This Row],[Order date]], "MMMM")</f>
        <v>September</v>
      </c>
      <c r="E670" s="1" t="str">
        <f>TEXT(Delivery_data[[#This Row],[Order date]], "DDDD")</f>
        <v>Saturday</v>
      </c>
      <c r="F670" s="2">
        <v>0.41944444444444445</v>
      </c>
      <c r="G670" t="s">
        <v>48</v>
      </c>
      <c r="H670" t="str">
        <f>IF(Delivery_data[[#This Row],[Order Status]] = "In Progress", "Backlog", "Complete")</f>
        <v>Backlog</v>
      </c>
      <c r="I670" t="s">
        <v>446</v>
      </c>
      <c r="J670" t="s">
        <v>1637</v>
      </c>
      <c r="K670" t="s">
        <v>61</v>
      </c>
      <c r="L670">
        <v>234</v>
      </c>
      <c r="M670">
        <v>3</v>
      </c>
      <c r="N670" t="s">
        <v>25</v>
      </c>
      <c r="O670" t="s">
        <v>41</v>
      </c>
      <c r="P670" t="s">
        <v>27</v>
      </c>
      <c r="Q670" t="s">
        <v>51</v>
      </c>
      <c r="R670" s="2">
        <v>0.69513888888888886</v>
      </c>
    </row>
    <row r="671" spans="1:18" x14ac:dyDescent="0.25">
      <c r="A671" t="s">
        <v>2880</v>
      </c>
      <c r="B671" t="s">
        <v>1353</v>
      </c>
      <c r="C671" s="1">
        <v>45170</v>
      </c>
      <c r="D671" s="1" t="str">
        <f>TEXT(Delivery_data[[#This Row],[Order date]], "MMMM")</f>
        <v>September</v>
      </c>
      <c r="E671" s="1" t="str">
        <f>TEXT(Delivery_data[[#This Row],[Order date]], "DDDD")</f>
        <v>Friday</v>
      </c>
      <c r="F671" s="2">
        <v>0.69791666666666663</v>
      </c>
      <c r="G671" t="s">
        <v>22</v>
      </c>
      <c r="H671" t="str">
        <f>IF(Delivery_data[[#This Row],[Order Status]] = "In Progress", "Backlog", "Complete")</f>
        <v>Complete</v>
      </c>
      <c r="I671" t="s">
        <v>446</v>
      </c>
      <c r="J671" t="s">
        <v>1637</v>
      </c>
      <c r="K671" t="s">
        <v>37</v>
      </c>
      <c r="L671">
        <v>121</v>
      </c>
      <c r="M671">
        <v>16</v>
      </c>
      <c r="N671" t="s">
        <v>38</v>
      </c>
      <c r="O671" t="s">
        <v>26</v>
      </c>
      <c r="P671" t="s">
        <v>34</v>
      </c>
      <c r="Q671" t="s">
        <v>28</v>
      </c>
      <c r="R671" s="2">
        <v>0.65</v>
      </c>
    </row>
    <row r="672" spans="1:18" x14ac:dyDescent="0.25">
      <c r="A672" t="s">
        <v>2899</v>
      </c>
      <c r="B672" t="s">
        <v>1372</v>
      </c>
      <c r="C672" s="1">
        <v>45173</v>
      </c>
      <c r="D672" s="1" t="str">
        <f>TEXT(Delivery_data[[#This Row],[Order date]], "MMMM")</f>
        <v>September</v>
      </c>
      <c r="E672" s="1" t="str">
        <f>TEXT(Delivery_data[[#This Row],[Order date]], "DDDD")</f>
        <v>Monday</v>
      </c>
      <c r="F672" s="2">
        <v>0.42083333333333334</v>
      </c>
      <c r="G672" t="s">
        <v>22</v>
      </c>
      <c r="H672" t="str">
        <f>IF(Delivery_data[[#This Row],[Order Status]] = "In Progress", "Backlog", "Complete")</f>
        <v>Complete</v>
      </c>
      <c r="I672" t="s">
        <v>446</v>
      </c>
      <c r="J672" t="s">
        <v>1631</v>
      </c>
      <c r="K672" t="s">
        <v>61</v>
      </c>
      <c r="L672">
        <v>66</v>
      </c>
      <c r="M672">
        <v>28</v>
      </c>
      <c r="N672" t="s">
        <v>25</v>
      </c>
      <c r="O672" t="s">
        <v>33</v>
      </c>
      <c r="P672" t="s">
        <v>45</v>
      </c>
      <c r="Q672" t="s">
        <v>51</v>
      </c>
      <c r="R672" s="2">
        <v>0.35416666666666669</v>
      </c>
    </row>
    <row r="673" spans="1:18" x14ac:dyDescent="0.25">
      <c r="A673" t="s">
        <v>2942</v>
      </c>
      <c r="B673" t="s">
        <v>1415</v>
      </c>
      <c r="C673" s="1">
        <v>45175</v>
      </c>
      <c r="D673" s="1" t="str">
        <f>TEXT(Delivery_data[[#This Row],[Order date]], "MMMM")</f>
        <v>September</v>
      </c>
      <c r="E673" s="1" t="str">
        <f>TEXT(Delivery_data[[#This Row],[Order date]], "DDDD")</f>
        <v>Wednesday</v>
      </c>
      <c r="F673" s="2">
        <v>0.51249999999999996</v>
      </c>
      <c r="G673" t="s">
        <v>48</v>
      </c>
      <c r="H673" t="str">
        <f>IF(Delivery_data[[#This Row],[Order Status]] = "In Progress", "Backlog", "Complete")</f>
        <v>Backlog</v>
      </c>
      <c r="I673" t="s">
        <v>446</v>
      </c>
      <c r="J673" t="s">
        <v>1631</v>
      </c>
      <c r="K673" t="s">
        <v>24</v>
      </c>
      <c r="L673">
        <v>232</v>
      </c>
      <c r="M673">
        <v>0</v>
      </c>
      <c r="N673" t="s">
        <v>32</v>
      </c>
      <c r="O673" t="s">
        <v>54</v>
      </c>
      <c r="P673" t="s">
        <v>45</v>
      </c>
      <c r="Q673" t="s">
        <v>51</v>
      </c>
      <c r="R673" s="2">
        <v>0.5625</v>
      </c>
    </row>
    <row r="674" spans="1:18" x14ac:dyDescent="0.25">
      <c r="A674" t="s">
        <v>3004</v>
      </c>
      <c r="B674" t="s">
        <v>1475</v>
      </c>
      <c r="C674" s="1">
        <v>45172</v>
      </c>
      <c r="D674" s="1" t="str">
        <f>TEXT(Delivery_data[[#This Row],[Order date]], "MMMM")</f>
        <v>September</v>
      </c>
      <c r="E674" s="1" t="str">
        <f>TEXT(Delivery_data[[#This Row],[Order date]], "DDDD")</f>
        <v>Sunday</v>
      </c>
      <c r="F674" s="2">
        <v>0.63541666666666663</v>
      </c>
      <c r="G674" t="s">
        <v>48</v>
      </c>
      <c r="H674" t="str">
        <f>IF(Delivery_data[[#This Row],[Order Status]] = "In Progress", "Backlog", "Complete")</f>
        <v>Backlog</v>
      </c>
      <c r="I674" t="s">
        <v>446</v>
      </c>
      <c r="J674" t="s">
        <v>1631</v>
      </c>
      <c r="K674" t="s">
        <v>31</v>
      </c>
      <c r="L674">
        <v>210</v>
      </c>
      <c r="M674">
        <v>21</v>
      </c>
      <c r="N674" t="s">
        <v>32</v>
      </c>
      <c r="O674" t="s">
        <v>50</v>
      </c>
      <c r="P674" t="s">
        <v>27</v>
      </c>
      <c r="Q674" t="s">
        <v>28</v>
      </c>
      <c r="R674" s="2">
        <v>0.60416666666666663</v>
      </c>
    </row>
    <row r="675" spans="1:18" x14ac:dyDescent="0.25">
      <c r="A675" t="s">
        <v>3045</v>
      </c>
      <c r="B675" t="s">
        <v>1515</v>
      </c>
      <c r="C675" s="1">
        <v>45173</v>
      </c>
      <c r="D675" s="1" t="str">
        <f>TEXT(Delivery_data[[#This Row],[Order date]], "MMMM")</f>
        <v>September</v>
      </c>
      <c r="E675" s="1" t="str">
        <f>TEXT(Delivery_data[[#This Row],[Order date]], "DDDD")</f>
        <v>Monday</v>
      </c>
      <c r="F675" s="2">
        <v>0.57361111111111107</v>
      </c>
      <c r="G675" t="s">
        <v>48</v>
      </c>
      <c r="H675" t="str">
        <f>IF(Delivery_data[[#This Row],[Order Status]] = "In Progress", "Backlog", "Complete")</f>
        <v>Backlog</v>
      </c>
      <c r="I675" t="s">
        <v>446</v>
      </c>
      <c r="J675" t="s">
        <v>1633</v>
      </c>
      <c r="K675" t="s">
        <v>31</v>
      </c>
      <c r="L675">
        <v>68</v>
      </c>
      <c r="M675">
        <v>16</v>
      </c>
      <c r="N675" t="s">
        <v>38</v>
      </c>
      <c r="O675" t="s">
        <v>54</v>
      </c>
      <c r="P675" t="s">
        <v>27</v>
      </c>
      <c r="Q675" t="s">
        <v>28</v>
      </c>
      <c r="R675" s="2">
        <v>0.47499999999999998</v>
      </c>
    </row>
    <row r="676" spans="1:18" x14ac:dyDescent="0.25">
      <c r="A676" t="s">
        <v>1673</v>
      </c>
      <c r="B676" t="s">
        <v>117</v>
      </c>
      <c r="C676" s="1">
        <v>45170</v>
      </c>
      <c r="D676" s="1" t="str">
        <f>TEXT(Delivery_data[[#This Row],[Order date]], "MMMM")</f>
        <v>September</v>
      </c>
      <c r="E676" s="1" t="str">
        <f>TEXT(Delivery_data[[#This Row],[Order date]], "DDDD")</f>
        <v>Friday</v>
      </c>
      <c r="F676" s="2">
        <v>0.47013888888888888</v>
      </c>
      <c r="G676" t="s">
        <v>22</v>
      </c>
      <c r="H676" t="str">
        <f>IF(Delivery_data[[#This Row],[Order Status]] = "In Progress", "Backlog", "Complete")</f>
        <v>Complete</v>
      </c>
      <c r="I676" t="s">
        <v>118</v>
      </c>
      <c r="J676" t="s">
        <v>1637</v>
      </c>
      <c r="K676" t="s">
        <v>24</v>
      </c>
      <c r="L676">
        <v>166</v>
      </c>
      <c r="M676">
        <v>5</v>
      </c>
      <c r="N676" t="s">
        <v>25</v>
      </c>
      <c r="O676" t="s">
        <v>54</v>
      </c>
      <c r="P676" t="s">
        <v>45</v>
      </c>
      <c r="Q676" t="s">
        <v>28</v>
      </c>
      <c r="R676" s="2">
        <v>0.55694444444444446</v>
      </c>
    </row>
    <row r="677" spans="1:18" x14ac:dyDescent="0.25">
      <c r="A677" t="s">
        <v>1852</v>
      </c>
      <c r="B677" t="s">
        <v>351</v>
      </c>
      <c r="C677" s="1">
        <v>45174</v>
      </c>
      <c r="D677" s="1" t="str">
        <f>TEXT(Delivery_data[[#This Row],[Order date]], "MMMM")</f>
        <v>September</v>
      </c>
      <c r="E677" s="1" t="str">
        <f>TEXT(Delivery_data[[#This Row],[Order date]], "DDDD")</f>
        <v>Tuesday</v>
      </c>
      <c r="F677" s="2">
        <v>0.55555555555555558</v>
      </c>
      <c r="G677" t="s">
        <v>48</v>
      </c>
      <c r="H677" t="str">
        <f>IF(Delivery_data[[#This Row],[Order Status]] = "In Progress", "Backlog", "Complete")</f>
        <v>Backlog</v>
      </c>
      <c r="I677" t="s">
        <v>118</v>
      </c>
      <c r="J677" t="s">
        <v>1633</v>
      </c>
      <c r="K677" t="s">
        <v>24</v>
      </c>
      <c r="L677">
        <v>86</v>
      </c>
      <c r="M677">
        <v>0</v>
      </c>
      <c r="N677" t="s">
        <v>32</v>
      </c>
      <c r="O677" t="s">
        <v>54</v>
      </c>
      <c r="P677" t="s">
        <v>27</v>
      </c>
      <c r="Q677" t="s">
        <v>28</v>
      </c>
      <c r="R677" s="2">
        <v>0.65069444444444446</v>
      </c>
    </row>
    <row r="678" spans="1:18" x14ac:dyDescent="0.25">
      <c r="A678" t="s">
        <v>1887</v>
      </c>
      <c r="B678" t="s">
        <v>388</v>
      </c>
      <c r="C678" s="1">
        <v>45175</v>
      </c>
      <c r="D678" s="1" t="str">
        <f>TEXT(Delivery_data[[#This Row],[Order date]], "MMMM")</f>
        <v>September</v>
      </c>
      <c r="E678" s="1" t="str">
        <f>TEXT(Delivery_data[[#This Row],[Order date]], "DDDD")</f>
        <v>Wednesday</v>
      </c>
      <c r="F678" s="2">
        <v>0.70486111111111116</v>
      </c>
      <c r="G678" t="s">
        <v>48</v>
      </c>
      <c r="H678" t="str">
        <f>IF(Delivery_data[[#This Row],[Order Status]] = "In Progress", "Backlog", "Complete")</f>
        <v>Backlog</v>
      </c>
      <c r="I678" t="s">
        <v>118</v>
      </c>
      <c r="J678" t="s">
        <v>1631</v>
      </c>
      <c r="K678" t="s">
        <v>61</v>
      </c>
      <c r="L678">
        <v>69</v>
      </c>
      <c r="M678">
        <v>29</v>
      </c>
      <c r="N678" t="s">
        <v>38</v>
      </c>
      <c r="O678" t="s">
        <v>26</v>
      </c>
      <c r="P678" t="s">
        <v>27</v>
      </c>
      <c r="Q678" t="s">
        <v>51</v>
      </c>
      <c r="R678" s="2">
        <v>0.71319444444444446</v>
      </c>
    </row>
    <row r="679" spans="1:18" x14ac:dyDescent="0.25">
      <c r="A679" t="s">
        <v>2301</v>
      </c>
      <c r="B679" t="s">
        <v>799</v>
      </c>
      <c r="C679" s="1">
        <v>45171</v>
      </c>
      <c r="D679" s="1" t="str">
        <f>TEXT(Delivery_data[[#This Row],[Order date]], "MMMM")</f>
        <v>September</v>
      </c>
      <c r="E679" s="1" t="str">
        <f>TEXT(Delivery_data[[#This Row],[Order date]], "DDDD")</f>
        <v>Saturday</v>
      </c>
      <c r="F679" s="2">
        <v>0.3888888888888889</v>
      </c>
      <c r="G679" t="s">
        <v>22</v>
      </c>
      <c r="H679" t="str">
        <f>IF(Delivery_data[[#This Row],[Order Status]] = "In Progress", "Backlog", "Complete")</f>
        <v>Complete</v>
      </c>
      <c r="I679" t="s">
        <v>118</v>
      </c>
      <c r="J679" t="s">
        <v>1637</v>
      </c>
      <c r="K679" t="s">
        <v>37</v>
      </c>
      <c r="L679">
        <v>153</v>
      </c>
      <c r="M679">
        <v>8</v>
      </c>
      <c r="N679" t="s">
        <v>25</v>
      </c>
      <c r="O679" t="s">
        <v>50</v>
      </c>
      <c r="P679" t="s">
        <v>45</v>
      </c>
      <c r="Q679" t="s">
        <v>51</v>
      </c>
      <c r="R679" s="2">
        <v>0.69236111111111109</v>
      </c>
    </row>
    <row r="680" spans="1:18" x14ac:dyDescent="0.25">
      <c r="A680" t="s">
        <v>2463</v>
      </c>
      <c r="B680" t="s">
        <v>955</v>
      </c>
      <c r="C680" s="1">
        <v>45173</v>
      </c>
      <c r="D680" s="1" t="str">
        <f>TEXT(Delivery_data[[#This Row],[Order date]], "MMMM")</f>
        <v>September</v>
      </c>
      <c r="E680" s="1" t="str">
        <f>TEXT(Delivery_data[[#This Row],[Order date]], "DDDD")</f>
        <v>Monday</v>
      </c>
      <c r="F680" s="2">
        <v>0.56527777777777777</v>
      </c>
      <c r="G680" t="s">
        <v>48</v>
      </c>
      <c r="H680" t="str">
        <f>IF(Delivery_data[[#This Row],[Order Status]] = "In Progress", "Backlog", "Complete")</f>
        <v>Backlog</v>
      </c>
      <c r="I680" t="s">
        <v>118</v>
      </c>
      <c r="J680" t="s">
        <v>1633</v>
      </c>
      <c r="K680" t="s">
        <v>24</v>
      </c>
      <c r="L680">
        <v>177</v>
      </c>
      <c r="M680">
        <v>23</v>
      </c>
      <c r="N680" t="s">
        <v>32</v>
      </c>
      <c r="O680" t="s">
        <v>50</v>
      </c>
      <c r="P680" t="s">
        <v>27</v>
      </c>
      <c r="Q680" t="s">
        <v>28</v>
      </c>
      <c r="R680" s="2">
        <v>0.38055555555555554</v>
      </c>
    </row>
    <row r="681" spans="1:18" x14ac:dyDescent="0.25">
      <c r="A681" t="s">
        <v>2661</v>
      </c>
      <c r="B681" t="s">
        <v>1144</v>
      </c>
      <c r="C681" s="1">
        <v>45175</v>
      </c>
      <c r="D681" s="1" t="str">
        <f>TEXT(Delivery_data[[#This Row],[Order date]], "MMMM")</f>
        <v>September</v>
      </c>
      <c r="E681" s="1" t="str">
        <f>TEXT(Delivery_data[[#This Row],[Order date]], "DDDD")</f>
        <v>Wednesday</v>
      </c>
      <c r="F681" s="2">
        <v>0.47152777777777777</v>
      </c>
      <c r="G681" t="s">
        <v>22</v>
      </c>
      <c r="H681" t="str">
        <f>IF(Delivery_data[[#This Row],[Order Status]] = "In Progress", "Backlog", "Complete")</f>
        <v>Complete</v>
      </c>
      <c r="I681" t="s">
        <v>118</v>
      </c>
      <c r="J681" t="s">
        <v>1633</v>
      </c>
      <c r="K681" t="s">
        <v>24</v>
      </c>
      <c r="L681">
        <v>139</v>
      </c>
      <c r="M681">
        <v>3</v>
      </c>
      <c r="N681" t="s">
        <v>32</v>
      </c>
      <c r="O681" t="s">
        <v>54</v>
      </c>
      <c r="P681" t="s">
        <v>34</v>
      </c>
      <c r="Q681" t="s">
        <v>46</v>
      </c>
      <c r="R681" s="2">
        <v>0.46666666666666667</v>
      </c>
    </row>
    <row r="682" spans="1:18" x14ac:dyDescent="0.25">
      <c r="A682" t="s">
        <v>2937</v>
      </c>
      <c r="B682" t="s">
        <v>1410</v>
      </c>
      <c r="C682" s="1">
        <v>45177</v>
      </c>
      <c r="D682" s="1" t="str">
        <f>TEXT(Delivery_data[[#This Row],[Order date]], "MMMM")</f>
        <v>September</v>
      </c>
      <c r="E682" s="1" t="str">
        <f>TEXT(Delivery_data[[#This Row],[Order date]], "DDDD")</f>
        <v>Friday</v>
      </c>
      <c r="F682" s="2">
        <v>0.39305555555555555</v>
      </c>
      <c r="G682" t="s">
        <v>22</v>
      </c>
      <c r="H682" t="str">
        <f>IF(Delivery_data[[#This Row],[Order Status]] = "In Progress", "Backlog", "Complete")</f>
        <v>Complete</v>
      </c>
      <c r="I682" t="s">
        <v>118</v>
      </c>
      <c r="J682" t="s">
        <v>1637</v>
      </c>
      <c r="K682" t="s">
        <v>37</v>
      </c>
      <c r="L682">
        <v>152</v>
      </c>
      <c r="M682">
        <v>5</v>
      </c>
      <c r="N682" t="s">
        <v>32</v>
      </c>
      <c r="O682" t="s">
        <v>41</v>
      </c>
      <c r="P682" t="s">
        <v>27</v>
      </c>
      <c r="Q682" t="s">
        <v>28</v>
      </c>
      <c r="R682" s="2">
        <v>0.61458333333333337</v>
      </c>
    </row>
    <row r="683" spans="1:18" x14ac:dyDescent="0.25">
      <c r="A683" t="s">
        <v>2997</v>
      </c>
      <c r="B683" t="s">
        <v>789</v>
      </c>
      <c r="C683" s="1">
        <v>45171</v>
      </c>
      <c r="D683" s="1" t="str">
        <f>TEXT(Delivery_data[[#This Row],[Order date]], "MMMM")</f>
        <v>September</v>
      </c>
      <c r="E683" s="1" t="str">
        <f>TEXT(Delivery_data[[#This Row],[Order date]], "DDDD")</f>
        <v>Saturday</v>
      </c>
      <c r="F683" s="2">
        <v>0.35486111111111113</v>
      </c>
      <c r="G683" t="s">
        <v>22</v>
      </c>
      <c r="H683" t="str">
        <f>IF(Delivery_data[[#This Row],[Order Status]] = "In Progress", "Backlog", "Complete")</f>
        <v>Complete</v>
      </c>
      <c r="I683" t="s">
        <v>118</v>
      </c>
      <c r="J683" t="s">
        <v>1633</v>
      </c>
      <c r="K683" t="s">
        <v>44</v>
      </c>
      <c r="L683">
        <v>128</v>
      </c>
      <c r="M683">
        <v>18</v>
      </c>
      <c r="N683" t="s">
        <v>38</v>
      </c>
      <c r="O683" t="s">
        <v>54</v>
      </c>
      <c r="P683" t="s">
        <v>27</v>
      </c>
      <c r="Q683" t="s">
        <v>28</v>
      </c>
      <c r="R683" s="2">
        <v>0.4777777777777778</v>
      </c>
    </row>
    <row r="684" spans="1:18" x14ac:dyDescent="0.25">
      <c r="A684" t="s">
        <v>3025</v>
      </c>
      <c r="B684" t="s">
        <v>1495</v>
      </c>
      <c r="C684" s="1">
        <v>45177</v>
      </c>
      <c r="D684" s="1" t="str">
        <f>TEXT(Delivery_data[[#This Row],[Order date]], "MMMM")</f>
        <v>September</v>
      </c>
      <c r="E684" s="1" t="str">
        <f>TEXT(Delivery_data[[#This Row],[Order date]], "DDDD")</f>
        <v>Friday</v>
      </c>
      <c r="F684" s="2">
        <v>0.41180555555555554</v>
      </c>
      <c r="G684" t="s">
        <v>48</v>
      </c>
      <c r="H684" t="str">
        <f>IF(Delivery_data[[#This Row],[Order Status]] = "In Progress", "Backlog", "Complete")</f>
        <v>Backlog</v>
      </c>
      <c r="I684" t="s">
        <v>118</v>
      </c>
      <c r="J684" t="s">
        <v>1631</v>
      </c>
      <c r="K684" t="s">
        <v>37</v>
      </c>
      <c r="L684">
        <v>81</v>
      </c>
      <c r="M684">
        <v>20</v>
      </c>
      <c r="N684" t="s">
        <v>38</v>
      </c>
      <c r="O684" t="s">
        <v>41</v>
      </c>
      <c r="P684" t="s">
        <v>27</v>
      </c>
      <c r="Q684" t="s">
        <v>51</v>
      </c>
      <c r="R684" s="2">
        <v>0.59722222222222221</v>
      </c>
    </row>
    <row r="685" spans="1:18" x14ac:dyDescent="0.25">
      <c r="A685" t="s">
        <v>1641</v>
      </c>
      <c r="B685" t="s">
        <v>57</v>
      </c>
      <c r="C685" s="1">
        <v>45170</v>
      </c>
      <c r="D685" s="1" t="str">
        <f>TEXT(Delivery_data[[#This Row],[Order date]], "MMMM")</f>
        <v>September</v>
      </c>
      <c r="E685" s="1" t="str">
        <f>TEXT(Delivery_data[[#This Row],[Order date]], "DDDD")</f>
        <v>Friday</v>
      </c>
      <c r="F685" s="2">
        <v>0.65</v>
      </c>
      <c r="G685" t="s">
        <v>48</v>
      </c>
      <c r="H685" t="str">
        <f>IF(Delivery_data[[#This Row],[Order Status]] = "In Progress", "Backlog", "Complete")</f>
        <v>Backlog</v>
      </c>
      <c r="I685" t="s">
        <v>58</v>
      </c>
      <c r="J685" t="s">
        <v>1637</v>
      </c>
      <c r="K685" t="s">
        <v>24</v>
      </c>
      <c r="L685">
        <v>135</v>
      </c>
      <c r="M685">
        <v>5</v>
      </c>
      <c r="N685" t="s">
        <v>32</v>
      </c>
      <c r="O685" t="s">
        <v>33</v>
      </c>
      <c r="P685" t="s">
        <v>45</v>
      </c>
      <c r="Q685" t="s">
        <v>51</v>
      </c>
      <c r="R685" s="2">
        <v>0.64930555555555558</v>
      </c>
    </row>
    <row r="686" spans="1:18" x14ac:dyDescent="0.25">
      <c r="A686" t="s">
        <v>1650</v>
      </c>
      <c r="B686" t="s">
        <v>76</v>
      </c>
      <c r="C686" s="1">
        <v>45174</v>
      </c>
      <c r="D686" s="1" t="str">
        <f>TEXT(Delivery_data[[#This Row],[Order date]], "MMMM")</f>
        <v>September</v>
      </c>
      <c r="E686" s="1" t="str">
        <f>TEXT(Delivery_data[[#This Row],[Order date]], "DDDD")</f>
        <v>Tuesday</v>
      </c>
      <c r="F686" s="2">
        <v>0.4465277777777778</v>
      </c>
      <c r="G686" t="s">
        <v>22</v>
      </c>
      <c r="H686" t="str">
        <f>IF(Delivery_data[[#This Row],[Order Status]] = "In Progress", "Backlog", "Complete")</f>
        <v>Complete</v>
      </c>
      <c r="I686" t="s">
        <v>58</v>
      </c>
      <c r="J686" t="s">
        <v>1633</v>
      </c>
      <c r="K686" t="s">
        <v>44</v>
      </c>
      <c r="L686">
        <v>167</v>
      </c>
      <c r="M686">
        <v>1</v>
      </c>
      <c r="N686" t="s">
        <v>38</v>
      </c>
      <c r="O686" t="s">
        <v>26</v>
      </c>
      <c r="P686" t="s">
        <v>45</v>
      </c>
      <c r="Q686" t="s">
        <v>28</v>
      </c>
      <c r="R686" s="2">
        <v>0.54791666666666672</v>
      </c>
    </row>
    <row r="687" spans="1:18" x14ac:dyDescent="0.25">
      <c r="A687" t="s">
        <v>1910</v>
      </c>
      <c r="B687" t="s">
        <v>412</v>
      </c>
      <c r="C687" s="1">
        <v>45177</v>
      </c>
      <c r="D687" s="1" t="str">
        <f>TEXT(Delivery_data[[#This Row],[Order date]], "MMMM")</f>
        <v>September</v>
      </c>
      <c r="E687" s="1" t="str">
        <f>TEXT(Delivery_data[[#This Row],[Order date]], "DDDD")</f>
        <v>Friday</v>
      </c>
      <c r="F687" s="2">
        <v>0.52847222222222223</v>
      </c>
      <c r="G687" t="s">
        <v>22</v>
      </c>
      <c r="H687" t="str">
        <f>IF(Delivery_data[[#This Row],[Order Status]] = "In Progress", "Backlog", "Complete")</f>
        <v>Complete</v>
      </c>
      <c r="I687" t="s">
        <v>58</v>
      </c>
      <c r="J687" t="s">
        <v>1637</v>
      </c>
      <c r="K687" t="s">
        <v>31</v>
      </c>
      <c r="L687">
        <v>106</v>
      </c>
      <c r="M687">
        <v>2</v>
      </c>
      <c r="N687" t="s">
        <v>38</v>
      </c>
      <c r="O687" t="s">
        <v>50</v>
      </c>
      <c r="P687" t="s">
        <v>45</v>
      </c>
      <c r="Q687" t="s">
        <v>46</v>
      </c>
      <c r="R687" s="2">
        <v>0.35555555555555557</v>
      </c>
    </row>
    <row r="688" spans="1:18" x14ac:dyDescent="0.25">
      <c r="A688" t="s">
        <v>1915</v>
      </c>
      <c r="B688" t="s">
        <v>418</v>
      </c>
      <c r="C688" s="1">
        <v>45174</v>
      </c>
      <c r="D688" s="1" t="str">
        <f>TEXT(Delivery_data[[#This Row],[Order date]], "MMMM")</f>
        <v>September</v>
      </c>
      <c r="E688" s="1" t="str">
        <f>TEXT(Delivery_data[[#This Row],[Order date]], "DDDD")</f>
        <v>Tuesday</v>
      </c>
      <c r="F688" s="2">
        <v>0.60972222222222228</v>
      </c>
      <c r="G688" t="s">
        <v>22</v>
      </c>
      <c r="H688" t="str">
        <f>IF(Delivery_data[[#This Row],[Order Status]] = "In Progress", "Backlog", "Complete")</f>
        <v>Complete</v>
      </c>
      <c r="I688" t="s">
        <v>58</v>
      </c>
      <c r="J688" t="s">
        <v>1631</v>
      </c>
      <c r="K688" t="s">
        <v>24</v>
      </c>
      <c r="L688">
        <v>60</v>
      </c>
      <c r="M688">
        <v>21</v>
      </c>
      <c r="N688" t="s">
        <v>38</v>
      </c>
      <c r="O688" t="s">
        <v>50</v>
      </c>
      <c r="P688" t="s">
        <v>34</v>
      </c>
      <c r="Q688" t="s">
        <v>28</v>
      </c>
      <c r="R688" s="2">
        <v>0.69791666666666663</v>
      </c>
    </row>
    <row r="689" spans="1:18" x14ac:dyDescent="0.25">
      <c r="A689" t="s">
        <v>1981</v>
      </c>
      <c r="B689" t="s">
        <v>486</v>
      </c>
      <c r="C689" s="1">
        <v>45173</v>
      </c>
      <c r="D689" s="1" t="str">
        <f>TEXT(Delivery_data[[#This Row],[Order date]], "MMMM")</f>
        <v>September</v>
      </c>
      <c r="E689" s="1" t="str">
        <f>TEXT(Delivery_data[[#This Row],[Order date]], "DDDD")</f>
        <v>Monday</v>
      </c>
      <c r="F689" s="2">
        <v>0.35555555555555557</v>
      </c>
      <c r="G689" t="s">
        <v>48</v>
      </c>
      <c r="H689" t="str">
        <f>IF(Delivery_data[[#This Row],[Order Status]] = "In Progress", "Backlog", "Complete")</f>
        <v>Backlog</v>
      </c>
      <c r="I689" t="s">
        <v>58</v>
      </c>
      <c r="J689" t="s">
        <v>1633</v>
      </c>
      <c r="K689" t="s">
        <v>24</v>
      </c>
      <c r="L689">
        <v>237</v>
      </c>
      <c r="M689">
        <v>6</v>
      </c>
      <c r="N689" t="s">
        <v>38</v>
      </c>
      <c r="O689" t="s">
        <v>26</v>
      </c>
      <c r="P689" t="s">
        <v>27</v>
      </c>
      <c r="Q689" t="s">
        <v>28</v>
      </c>
      <c r="R689" s="2">
        <v>0.66111111111111109</v>
      </c>
    </row>
    <row r="690" spans="1:18" x14ac:dyDescent="0.25">
      <c r="A690" t="s">
        <v>2050</v>
      </c>
      <c r="B690" t="s">
        <v>555</v>
      </c>
      <c r="C690" s="1">
        <v>45172</v>
      </c>
      <c r="D690" s="1" t="str">
        <f>TEXT(Delivery_data[[#This Row],[Order date]], "MMMM")</f>
        <v>September</v>
      </c>
      <c r="E690" s="1" t="str">
        <f>TEXT(Delivery_data[[#This Row],[Order date]], "DDDD")</f>
        <v>Sunday</v>
      </c>
      <c r="F690" s="2">
        <v>0.61805555555555558</v>
      </c>
      <c r="G690" t="s">
        <v>48</v>
      </c>
      <c r="H690" t="str">
        <f>IF(Delivery_data[[#This Row],[Order Status]] = "In Progress", "Backlog", "Complete")</f>
        <v>Backlog</v>
      </c>
      <c r="I690" t="s">
        <v>58</v>
      </c>
      <c r="J690" t="s">
        <v>1633</v>
      </c>
      <c r="K690" t="s">
        <v>44</v>
      </c>
      <c r="L690">
        <v>205</v>
      </c>
      <c r="M690">
        <v>17</v>
      </c>
      <c r="N690" t="s">
        <v>25</v>
      </c>
      <c r="O690" t="s">
        <v>41</v>
      </c>
      <c r="P690" t="s">
        <v>45</v>
      </c>
      <c r="Q690" t="s">
        <v>46</v>
      </c>
      <c r="R690" s="2">
        <v>0.61736111111111114</v>
      </c>
    </row>
    <row r="691" spans="1:18" x14ac:dyDescent="0.25">
      <c r="A691" t="s">
        <v>2084</v>
      </c>
      <c r="B691" t="s">
        <v>589</v>
      </c>
      <c r="C691" s="1">
        <v>45172</v>
      </c>
      <c r="D691" s="1" t="str">
        <f>TEXT(Delivery_data[[#This Row],[Order date]], "MMMM")</f>
        <v>September</v>
      </c>
      <c r="E691" s="1" t="str">
        <f>TEXT(Delivery_data[[#This Row],[Order date]], "DDDD")</f>
        <v>Sunday</v>
      </c>
      <c r="F691" s="2">
        <v>0.55277777777777781</v>
      </c>
      <c r="G691" t="s">
        <v>48</v>
      </c>
      <c r="H691" t="str">
        <f>IF(Delivery_data[[#This Row],[Order Status]] = "In Progress", "Backlog", "Complete")</f>
        <v>Backlog</v>
      </c>
      <c r="I691" t="s">
        <v>58</v>
      </c>
      <c r="J691" t="s">
        <v>1633</v>
      </c>
      <c r="K691" t="s">
        <v>24</v>
      </c>
      <c r="L691">
        <v>136</v>
      </c>
      <c r="M691">
        <v>18</v>
      </c>
      <c r="N691" t="s">
        <v>32</v>
      </c>
      <c r="O691" t="s">
        <v>26</v>
      </c>
      <c r="P691" t="s">
        <v>27</v>
      </c>
      <c r="Q691" t="s">
        <v>51</v>
      </c>
      <c r="R691" s="2">
        <v>0.59097222222222223</v>
      </c>
    </row>
    <row r="692" spans="1:18" x14ac:dyDescent="0.25">
      <c r="A692" t="s">
        <v>2117</v>
      </c>
      <c r="B692" t="s">
        <v>621</v>
      </c>
      <c r="C692" s="1">
        <v>45174</v>
      </c>
      <c r="D692" s="1" t="str">
        <f>TEXT(Delivery_data[[#This Row],[Order date]], "MMMM")</f>
        <v>September</v>
      </c>
      <c r="E692" s="1" t="str">
        <f>TEXT(Delivery_data[[#This Row],[Order date]], "DDDD")</f>
        <v>Tuesday</v>
      </c>
      <c r="F692" s="2">
        <v>0.55277777777777781</v>
      </c>
      <c r="G692" t="s">
        <v>22</v>
      </c>
      <c r="H692" t="str">
        <f>IF(Delivery_data[[#This Row],[Order Status]] = "In Progress", "Backlog", "Complete")</f>
        <v>Complete</v>
      </c>
      <c r="I692" t="s">
        <v>58</v>
      </c>
      <c r="J692" t="s">
        <v>1637</v>
      </c>
      <c r="K692" t="s">
        <v>37</v>
      </c>
      <c r="L692">
        <v>183</v>
      </c>
      <c r="M692">
        <v>15</v>
      </c>
      <c r="N692" t="s">
        <v>32</v>
      </c>
      <c r="O692" t="s">
        <v>50</v>
      </c>
      <c r="P692" t="s">
        <v>27</v>
      </c>
      <c r="Q692" t="s">
        <v>51</v>
      </c>
      <c r="R692" s="2">
        <v>0.67638888888888893</v>
      </c>
    </row>
    <row r="693" spans="1:18" x14ac:dyDescent="0.25">
      <c r="A693" t="s">
        <v>2209</v>
      </c>
      <c r="B693" t="s">
        <v>710</v>
      </c>
      <c r="C693" s="1">
        <v>45174</v>
      </c>
      <c r="D693" s="1" t="str">
        <f>TEXT(Delivery_data[[#This Row],[Order date]], "MMMM")</f>
        <v>September</v>
      </c>
      <c r="E693" s="1" t="str">
        <f>TEXT(Delivery_data[[#This Row],[Order date]], "DDDD")</f>
        <v>Tuesday</v>
      </c>
      <c r="F693" s="2">
        <v>0.62708333333333333</v>
      </c>
      <c r="G693" t="s">
        <v>22</v>
      </c>
      <c r="H693" t="str">
        <f>IF(Delivery_data[[#This Row],[Order Status]] = "In Progress", "Backlog", "Complete")</f>
        <v>Complete</v>
      </c>
      <c r="I693" t="s">
        <v>58</v>
      </c>
      <c r="J693" t="s">
        <v>1637</v>
      </c>
      <c r="K693" t="s">
        <v>61</v>
      </c>
      <c r="L693">
        <v>146</v>
      </c>
      <c r="M693">
        <v>28</v>
      </c>
      <c r="N693" t="s">
        <v>25</v>
      </c>
      <c r="O693" t="s">
        <v>41</v>
      </c>
      <c r="P693" t="s">
        <v>45</v>
      </c>
      <c r="Q693" t="s">
        <v>51</v>
      </c>
      <c r="R693" s="2">
        <v>0.55902777777777779</v>
      </c>
    </row>
    <row r="694" spans="1:18" x14ac:dyDescent="0.25">
      <c r="A694" t="s">
        <v>2329</v>
      </c>
      <c r="B694" t="s">
        <v>827</v>
      </c>
      <c r="C694" s="1">
        <v>45171</v>
      </c>
      <c r="D694" s="1" t="str">
        <f>TEXT(Delivery_data[[#This Row],[Order date]], "MMMM")</f>
        <v>September</v>
      </c>
      <c r="E694" s="1" t="str">
        <f>TEXT(Delivery_data[[#This Row],[Order date]], "DDDD")</f>
        <v>Saturday</v>
      </c>
      <c r="F694" s="2">
        <v>0.66874999999999996</v>
      </c>
      <c r="G694" t="s">
        <v>22</v>
      </c>
      <c r="H694" t="str">
        <f>IF(Delivery_data[[#This Row],[Order Status]] = "In Progress", "Backlog", "Complete")</f>
        <v>Complete</v>
      </c>
      <c r="I694" t="s">
        <v>58</v>
      </c>
      <c r="J694" t="s">
        <v>1637</v>
      </c>
      <c r="K694" t="s">
        <v>24</v>
      </c>
      <c r="L694">
        <v>136</v>
      </c>
      <c r="M694">
        <v>21</v>
      </c>
      <c r="N694" t="s">
        <v>38</v>
      </c>
      <c r="O694" t="s">
        <v>50</v>
      </c>
      <c r="P694" t="s">
        <v>27</v>
      </c>
      <c r="Q694" t="s">
        <v>46</v>
      </c>
      <c r="R694" s="2">
        <v>0.56597222222222221</v>
      </c>
    </row>
    <row r="695" spans="1:18" x14ac:dyDescent="0.25">
      <c r="A695" t="s">
        <v>2477</v>
      </c>
      <c r="B695" t="s">
        <v>968</v>
      </c>
      <c r="C695" s="1">
        <v>45173</v>
      </c>
      <c r="D695" s="1" t="str">
        <f>TEXT(Delivery_data[[#This Row],[Order date]], "MMMM")</f>
        <v>September</v>
      </c>
      <c r="E695" s="1" t="str">
        <f>TEXT(Delivery_data[[#This Row],[Order date]], "DDDD")</f>
        <v>Monday</v>
      </c>
      <c r="F695" s="2">
        <v>0.39374999999999999</v>
      </c>
      <c r="G695" t="s">
        <v>22</v>
      </c>
      <c r="H695" t="str">
        <f>IF(Delivery_data[[#This Row],[Order Status]] = "In Progress", "Backlog", "Complete")</f>
        <v>Complete</v>
      </c>
      <c r="I695" t="s">
        <v>58</v>
      </c>
      <c r="J695" t="s">
        <v>1631</v>
      </c>
      <c r="K695" t="s">
        <v>24</v>
      </c>
      <c r="L695">
        <v>109</v>
      </c>
      <c r="M695">
        <v>21</v>
      </c>
      <c r="N695" t="s">
        <v>25</v>
      </c>
      <c r="O695" t="s">
        <v>41</v>
      </c>
      <c r="P695" t="s">
        <v>45</v>
      </c>
      <c r="Q695" t="s">
        <v>46</v>
      </c>
      <c r="R695" s="2">
        <v>0.46388888888888891</v>
      </c>
    </row>
    <row r="696" spans="1:18" x14ac:dyDescent="0.25">
      <c r="A696" t="s">
        <v>2584</v>
      </c>
      <c r="B696" t="s">
        <v>1068</v>
      </c>
      <c r="C696" s="1">
        <v>45175</v>
      </c>
      <c r="D696" s="1" t="str">
        <f>TEXT(Delivery_data[[#This Row],[Order date]], "MMMM")</f>
        <v>September</v>
      </c>
      <c r="E696" s="1" t="str">
        <f>TEXT(Delivery_data[[#This Row],[Order date]], "DDDD")</f>
        <v>Wednesday</v>
      </c>
      <c r="F696" s="2">
        <v>0.40347222222222223</v>
      </c>
      <c r="G696" t="s">
        <v>48</v>
      </c>
      <c r="H696" t="str">
        <f>IF(Delivery_data[[#This Row],[Order Status]] = "In Progress", "Backlog", "Complete")</f>
        <v>Backlog</v>
      </c>
      <c r="I696" t="s">
        <v>58</v>
      </c>
      <c r="J696" t="s">
        <v>1631</v>
      </c>
      <c r="K696" t="s">
        <v>24</v>
      </c>
      <c r="L696">
        <v>172</v>
      </c>
      <c r="M696">
        <v>24</v>
      </c>
      <c r="N696" t="s">
        <v>32</v>
      </c>
      <c r="O696" t="s">
        <v>41</v>
      </c>
      <c r="P696" t="s">
        <v>27</v>
      </c>
      <c r="Q696" t="s">
        <v>51</v>
      </c>
      <c r="R696" s="2">
        <v>0.43888888888888888</v>
      </c>
    </row>
    <row r="697" spans="1:18" x14ac:dyDescent="0.25">
      <c r="A697" t="s">
        <v>2859</v>
      </c>
      <c r="B697" t="s">
        <v>235</v>
      </c>
      <c r="C697" s="1">
        <v>45174</v>
      </c>
      <c r="D697" s="1" t="str">
        <f>TEXT(Delivery_data[[#This Row],[Order date]], "MMMM")</f>
        <v>September</v>
      </c>
      <c r="E697" s="1" t="str">
        <f>TEXT(Delivery_data[[#This Row],[Order date]], "DDDD")</f>
        <v>Tuesday</v>
      </c>
      <c r="F697" s="2">
        <v>0.41736111111111113</v>
      </c>
      <c r="G697" t="s">
        <v>22</v>
      </c>
      <c r="H697" t="str">
        <f>IF(Delivery_data[[#This Row],[Order Status]] = "In Progress", "Backlog", "Complete")</f>
        <v>Complete</v>
      </c>
      <c r="I697" t="s">
        <v>58</v>
      </c>
      <c r="J697" t="s">
        <v>1631</v>
      </c>
      <c r="K697" t="s">
        <v>44</v>
      </c>
      <c r="L697">
        <v>94</v>
      </c>
      <c r="M697">
        <v>19</v>
      </c>
      <c r="N697" t="s">
        <v>38</v>
      </c>
      <c r="O697" t="s">
        <v>54</v>
      </c>
      <c r="P697" t="s">
        <v>27</v>
      </c>
      <c r="Q697" t="s">
        <v>28</v>
      </c>
      <c r="R697" s="2">
        <v>0.72291666666666665</v>
      </c>
    </row>
    <row r="698" spans="1:18" x14ac:dyDescent="0.25">
      <c r="A698" t="s">
        <v>2939</v>
      </c>
      <c r="B698" t="s">
        <v>1412</v>
      </c>
      <c r="C698" s="1">
        <v>45175</v>
      </c>
      <c r="D698" s="1" t="str">
        <f>TEXT(Delivery_data[[#This Row],[Order date]], "MMMM")</f>
        <v>September</v>
      </c>
      <c r="E698" s="1" t="str">
        <f>TEXT(Delivery_data[[#This Row],[Order date]], "DDDD")</f>
        <v>Wednesday</v>
      </c>
      <c r="F698" s="2">
        <v>0.69444444444444442</v>
      </c>
      <c r="G698" t="s">
        <v>48</v>
      </c>
      <c r="H698" t="str">
        <f>IF(Delivery_data[[#This Row],[Order Status]] = "In Progress", "Backlog", "Complete")</f>
        <v>Backlog</v>
      </c>
      <c r="I698" t="s">
        <v>58</v>
      </c>
      <c r="J698" t="s">
        <v>1637</v>
      </c>
      <c r="K698" t="s">
        <v>31</v>
      </c>
      <c r="L698">
        <v>113</v>
      </c>
      <c r="M698">
        <v>5</v>
      </c>
      <c r="N698" t="s">
        <v>38</v>
      </c>
      <c r="O698" t="s">
        <v>33</v>
      </c>
      <c r="P698" t="s">
        <v>45</v>
      </c>
      <c r="Q698" t="s">
        <v>28</v>
      </c>
      <c r="R698" s="2">
        <v>0.61875000000000002</v>
      </c>
    </row>
    <row r="699" spans="1:18" x14ac:dyDescent="0.25">
      <c r="A699" t="s">
        <v>3007</v>
      </c>
      <c r="B699" t="s">
        <v>1478</v>
      </c>
      <c r="C699" s="1">
        <v>45173</v>
      </c>
      <c r="D699" s="1" t="str">
        <f>TEXT(Delivery_data[[#This Row],[Order date]], "MMMM")</f>
        <v>September</v>
      </c>
      <c r="E699" s="1" t="str">
        <f>TEXT(Delivery_data[[#This Row],[Order date]], "DDDD")</f>
        <v>Monday</v>
      </c>
      <c r="F699" s="2">
        <v>0.69513888888888886</v>
      </c>
      <c r="G699" t="s">
        <v>22</v>
      </c>
      <c r="H699" t="str">
        <f>IF(Delivery_data[[#This Row],[Order Status]] = "In Progress", "Backlog", "Complete")</f>
        <v>Complete</v>
      </c>
      <c r="I699" t="s">
        <v>58</v>
      </c>
      <c r="J699" t="s">
        <v>1637</v>
      </c>
      <c r="K699" t="s">
        <v>24</v>
      </c>
      <c r="L699">
        <v>176</v>
      </c>
      <c r="M699">
        <v>15</v>
      </c>
      <c r="N699" t="s">
        <v>38</v>
      </c>
      <c r="O699" t="s">
        <v>26</v>
      </c>
      <c r="P699" t="s">
        <v>34</v>
      </c>
      <c r="Q699" t="s">
        <v>46</v>
      </c>
      <c r="R699" s="2">
        <v>0.69305555555555554</v>
      </c>
    </row>
    <row r="700" spans="1:18" x14ac:dyDescent="0.25">
      <c r="A700" t="s">
        <v>3107</v>
      </c>
      <c r="B700" t="s">
        <v>1573</v>
      </c>
      <c r="C700" s="1">
        <v>45171</v>
      </c>
      <c r="D700" s="1" t="str">
        <f>TEXT(Delivery_data[[#This Row],[Order date]], "MMMM")</f>
        <v>September</v>
      </c>
      <c r="E700" s="1" t="str">
        <f>TEXT(Delivery_data[[#This Row],[Order date]], "DDDD")</f>
        <v>Saturday</v>
      </c>
      <c r="F700" s="2">
        <v>0.68055555555555558</v>
      </c>
      <c r="G700" t="s">
        <v>22</v>
      </c>
      <c r="H700" t="str">
        <f>IF(Delivery_data[[#This Row],[Order Status]] = "In Progress", "Backlog", "Complete")</f>
        <v>Complete</v>
      </c>
      <c r="I700" t="s">
        <v>58</v>
      </c>
      <c r="J700" t="s">
        <v>1637</v>
      </c>
      <c r="K700" t="s">
        <v>24</v>
      </c>
      <c r="L700">
        <v>216</v>
      </c>
      <c r="M700">
        <v>24</v>
      </c>
      <c r="N700" t="s">
        <v>38</v>
      </c>
      <c r="O700" t="s">
        <v>26</v>
      </c>
      <c r="P700" t="s">
        <v>45</v>
      </c>
      <c r="Q700" t="s">
        <v>51</v>
      </c>
      <c r="R700" s="2">
        <v>0.36805555555555558</v>
      </c>
    </row>
    <row r="701" spans="1:18" x14ac:dyDescent="0.25">
      <c r="A701" t="s">
        <v>1658</v>
      </c>
      <c r="B701" t="s">
        <v>89</v>
      </c>
      <c r="C701" s="1">
        <v>45173</v>
      </c>
      <c r="D701" s="1" t="str">
        <f>TEXT(Delivery_data[[#This Row],[Order date]], "MMMM")</f>
        <v>September</v>
      </c>
      <c r="E701" s="1" t="str">
        <f>TEXT(Delivery_data[[#This Row],[Order date]], "DDDD")</f>
        <v>Monday</v>
      </c>
      <c r="F701" s="2">
        <v>0.60902777777777772</v>
      </c>
      <c r="G701" t="s">
        <v>48</v>
      </c>
      <c r="H701" t="str">
        <f>IF(Delivery_data[[#This Row],[Order Status]] = "In Progress", "Backlog", "Complete")</f>
        <v>Backlog</v>
      </c>
      <c r="I701" t="s">
        <v>90</v>
      </c>
      <c r="J701" t="s">
        <v>1631</v>
      </c>
      <c r="K701" t="s">
        <v>37</v>
      </c>
      <c r="L701">
        <v>154</v>
      </c>
      <c r="M701">
        <v>7</v>
      </c>
      <c r="N701" t="s">
        <v>38</v>
      </c>
      <c r="O701" t="s">
        <v>33</v>
      </c>
      <c r="P701" t="s">
        <v>27</v>
      </c>
      <c r="Q701" t="s">
        <v>51</v>
      </c>
      <c r="R701" s="2">
        <v>0.40625</v>
      </c>
    </row>
    <row r="702" spans="1:18" x14ac:dyDescent="0.25">
      <c r="A702" t="s">
        <v>1675</v>
      </c>
      <c r="B702" t="s">
        <v>121</v>
      </c>
      <c r="C702" s="1">
        <v>45174</v>
      </c>
      <c r="D702" s="1" t="str">
        <f>TEXT(Delivery_data[[#This Row],[Order date]], "MMMM")</f>
        <v>September</v>
      </c>
      <c r="E702" s="1" t="str">
        <f>TEXT(Delivery_data[[#This Row],[Order date]], "DDDD")</f>
        <v>Tuesday</v>
      </c>
      <c r="F702" s="2">
        <v>0.47569444444444442</v>
      </c>
      <c r="G702" t="s">
        <v>22</v>
      </c>
      <c r="H702" t="str">
        <f>IF(Delivery_data[[#This Row],[Order Status]] = "In Progress", "Backlog", "Complete")</f>
        <v>Complete</v>
      </c>
      <c r="I702" t="s">
        <v>90</v>
      </c>
      <c r="J702" t="s">
        <v>1637</v>
      </c>
      <c r="K702" t="s">
        <v>37</v>
      </c>
      <c r="L702">
        <v>235</v>
      </c>
      <c r="M702">
        <v>0</v>
      </c>
      <c r="N702" t="s">
        <v>25</v>
      </c>
      <c r="O702" t="s">
        <v>50</v>
      </c>
      <c r="P702" t="s">
        <v>45</v>
      </c>
      <c r="Q702" t="s">
        <v>28</v>
      </c>
      <c r="R702" s="2">
        <v>0.62708333333333333</v>
      </c>
    </row>
    <row r="703" spans="1:18" x14ac:dyDescent="0.25">
      <c r="A703" t="s">
        <v>1766</v>
      </c>
      <c r="B703" t="s">
        <v>251</v>
      </c>
      <c r="C703" s="1">
        <v>45172</v>
      </c>
      <c r="D703" s="1" t="str">
        <f>TEXT(Delivery_data[[#This Row],[Order date]], "MMMM")</f>
        <v>September</v>
      </c>
      <c r="E703" s="1" t="str">
        <f>TEXT(Delivery_data[[#This Row],[Order date]], "DDDD")</f>
        <v>Sunday</v>
      </c>
      <c r="F703" s="2">
        <v>0.63472222222222219</v>
      </c>
      <c r="G703" t="s">
        <v>48</v>
      </c>
      <c r="H703" t="str">
        <f>IF(Delivery_data[[#This Row],[Order Status]] = "In Progress", "Backlog", "Complete")</f>
        <v>Backlog</v>
      </c>
      <c r="I703" t="s">
        <v>90</v>
      </c>
      <c r="J703" t="s">
        <v>1633</v>
      </c>
      <c r="K703" t="s">
        <v>31</v>
      </c>
      <c r="L703">
        <v>140</v>
      </c>
      <c r="M703">
        <v>0</v>
      </c>
      <c r="N703" t="s">
        <v>25</v>
      </c>
      <c r="O703" t="s">
        <v>41</v>
      </c>
      <c r="P703" t="s">
        <v>27</v>
      </c>
      <c r="Q703" t="s">
        <v>28</v>
      </c>
      <c r="R703" s="2">
        <v>0.40972222222222221</v>
      </c>
    </row>
    <row r="704" spans="1:18" x14ac:dyDescent="0.25">
      <c r="A704" t="s">
        <v>1826</v>
      </c>
      <c r="B704" t="s">
        <v>324</v>
      </c>
      <c r="C704" s="1">
        <v>45175</v>
      </c>
      <c r="D704" s="1" t="str">
        <f>TEXT(Delivery_data[[#This Row],[Order date]], "MMMM")</f>
        <v>September</v>
      </c>
      <c r="E704" s="1" t="str">
        <f>TEXT(Delivery_data[[#This Row],[Order date]], "DDDD")</f>
        <v>Wednesday</v>
      </c>
      <c r="F704" s="2">
        <v>0.35833333333333334</v>
      </c>
      <c r="G704" t="s">
        <v>22</v>
      </c>
      <c r="H704" t="str">
        <f>IF(Delivery_data[[#This Row],[Order Status]] = "In Progress", "Backlog", "Complete")</f>
        <v>Complete</v>
      </c>
      <c r="I704" t="s">
        <v>90</v>
      </c>
      <c r="J704" t="s">
        <v>1637</v>
      </c>
      <c r="K704" t="s">
        <v>44</v>
      </c>
      <c r="L704">
        <v>234</v>
      </c>
      <c r="M704">
        <v>8</v>
      </c>
      <c r="N704" t="s">
        <v>32</v>
      </c>
      <c r="O704" t="s">
        <v>54</v>
      </c>
      <c r="P704" t="s">
        <v>34</v>
      </c>
      <c r="Q704" t="s">
        <v>51</v>
      </c>
      <c r="R704" s="2">
        <v>0.40972222222222221</v>
      </c>
    </row>
    <row r="705" spans="1:18" x14ac:dyDescent="0.25">
      <c r="A705" t="s">
        <v>1907</v>
      </c>
      <c r="B705" t="s">
        <v>409</v>
      </c>
      <c r="C705" s="1">
        <v>45171</v>
      </c>
      <c r="D705" s="1" t="str">
        <f>TEXT(Delivery_data[[#This Row],[Order date]], "MMMM")</f>
        <v>September</v>
      </c>
      <c r="E705" s="1" t="str">
        <f>TEXT(Delivery_data[[#This Row],[Order date]], "DDDD")</f>
        <v>Saturday</v>
      </c>
      <c r="F705" s="2">
        <v>0.55208333333333337</v>
      </c>
      <c r="G705" t="s">
        <v>48</v>
      </c>
      <c r="H705" t="str">
        <f>IF(Delivery_data[[#This Row],[Order Status]] = "In Progress", "Backlog", "Complete")</f>
        <v>Backlog</v>
      </c>
      <c r="I705" t="s">
        <v>90</v>
      </c>
      <c r="J705" t="s">
        <v>1633</v>
      </c>
      <c r="K705" t="s">
        <v>44</v>
      </c>
      <c r="L705">
        <v>114</v>
      </c>
      <c r="M705">
        <v>9</v>
      </c>
      <c r="N705" t="s">
        <v>25</v>
      </c>
      <c r="O705" t="s">
        <v>26</v>
      </c>
      <c r="P705" t="s">
        <v>27</v>
      </c>
      <c r="Q705" t="s">
        <v>51</v>
      </c>
      <c r="R705" s="2">
        <v>0.3972222222222222</v>
      </c>
    </row>
    <row r="706" spans="1:18" x14ac:dyDescent="0.25">
      <c r="A706" t="s">
        <v>1930</v>
      </c>
      <c r="B706" t="s">
        <v>433</v>
      </c>
      <c r="C706" s="1">
        <v>45172</v>
      </c>
      <c r="D706" s="1" t="str">
        <f>TEXT(Delivery_data[[#This Row],[Order date]], "MMMM")</f>
        <v>September</v>
      </c>
      <c r="E706" s="1" t="str">
        <f>TEXT(Delivery_data[[#This Row],[Order date]], "DDDD")</f>
        <v>Sunday</v>
      </c>
      <c r="F706" s="2">
        <v>0.37013888888888891</v>
      </c>
      <c r="G706" t="s">
        <v>48</v>
      </c>
      <c r="H706" t="str">
        <f>IF(Delivery_data[[#This Row],[Order Status]] = "In Progress", "Backlog", "Complete")</f>
        <v>Backlog</v>
      </c>
      <c r="I706" t="s">
        <v>90</v>
      </c>
      <c r="J706" t="s">
        <v>1631</v>
      </c>
      <c r="K706" t="s">
        <v>61</v>
      </c>
      <c r="L706">
        <v>155</v>
      </c>
      <c r="M706">
        <v>3</v>
      </c>
      <c r="N706" t="s">
        <v>32</v>
      </c>
      <c r="O706" t="s">
        <v>33</v>
      </c>
      <c r="P706" t="s">
        <v>34</v>
      </c>
      <c r="Q706" t="s">
        <v>51</v>
      </c>
      <c r="R706" s="2">
        <v>0.53680555555555554</v>
      </c>
    </row>
    <row r="707" spans="1:18" x14ac:dyDescent="0.25">
      <c r="A707" t="s">
        <v>1931</v>
      </c>
      <c r="B707" t="s">
        <v>434</v>
      </c>
      <c r="C707" s="1">
        <v>45174</v>
      </c>
      <c r="D707" s="1" t="str">
        <f>TEXT(Delivery_data[[#This Row],[Order date]], "MMMM")</f>
        <v>September</v>
      </c>
      <c r="E707" s="1" t="str">
        <f>TEXT(Delivery_data[[#This Row],[Order date]], "DDDD")</f>
        <v>Tuesday</v>
      </c>
      <c r="F707" s="2">
        <v>0.3611111111111111</v>
      </c>
      <c r="G707" t="s">
        <v>22</v>
      </c>
      <c r="H707" t="str">
        <f>IF(Delivery_data[[#This Row],[Order Status]] = "In Progress", "Backlog", "Complete")</f>
        <v>Complete</v>
      </c>
      <c r="I707" t="s">
        <v>90</v>
      </c>
      <c r="J707" t="s">
        <v>1637</v>
      </c>
      <c r="K707" t="s">
        <v>31</v>
      </c>
      <c r="L707">
        <v>153</v>
      </c>
      <c r="M707">
        <v>2</v>
      </c>
      <c r="N707" t="s">
        <v>32</v>
      </c>
      <c r="O707" t="s">
        <v>50</v>
      </c>
      <c r="P707" t="s">
        <v>34</v>
      </c>
      <c r="Q707" t="s">
        <v>28</v>
      </c>
      <c r="R707" s="2">
        <v>0.71944444444444444</v>
      </c>
    </row>
    <row r="708" spans="1:18" x14ac:dyDescent="0.25">
      <c r="A708" t="s">
        <v>1972</v>
      </c>
      <c r="B708" t="s">
        <v>477</v>
      </c>
      <c r="C708" s="1">
        <v>45176</v>
      </c>
      <c r="D708" s="1" t="str">
        <f>TEXT(Delivery_data[[#This Row],[Order date]], "MMMM")</f>
        <v>September</v>
      </c>
      <c r="E708" s="1" t="str">
        <f>TEXT(Delivery_data[[#This Row],[Order date]], "DDDD")</f>
        <v>Thursday</v>
      </c>
      <c r="F708" s="2">
        <v>0.54097222222222219</v>
      </c>
      <c r="G708" t="s">
        <v>48</v>
      </c>
      <c r="H708" t="str">
        <f>IF(Delivery_data[[#This Row],[Order Status]] = "In Progress", "Backlog", "Complete")</f>
        <v>Backlog</v>
      </c>
      <c r="I708" t="s">
        <v>90</v>
      </c>
      <c r="J708" t="s">
        <v>1637</v>
      </c>
      <c r="K708" t="s">
        <v>37</v>
      </c>
      <c r="L708">
        <v>215</v>
      </c>
      <c r="M708">
        <v>9</v>
      </c>
      <c r="N708" t="s">
        <v>38</v>
      </c>
      <c r="O708" t="s">
        <v>26</v>
      </c>
      <c r="P708" t="s">
        <v>34</v>
      </c>
      <c r="Q708" t="s">
        <v>28</v>
      </c>
      <c r="R708" s="2">
        <v>0.37847222222222221</v>
      </c>
    </row>
    <row r="709" spans="1:18" x14ac:dyDescent="0.25">
      <c r="A709" t="s">
        <v>2085</v>
      </c>
      <c r="B709" t="s">
        <v>590</v>
      </c>
      <c r="C709" s="1">
        <v>45171</v>
      </c>
      <c r="D709" s="1" t="str">
        <f>TEXT(Delivery_data[[#This Row],[Order date]], "MMMM")</f>
        <v>September</v>
      </c>
      <c r="E709" s="1" t="str">
        <f>TEXT(Delivery_data[[#This Row],[Order date]], "DDDD")</f>
        <v>Saturday</v>
      </c>
      <c r="F709" s="2">
        <v>0.50555555555555554</v>
      </c>
      <c r="G709" t="s">
        <v>48</v>
      </c>
      <c r="H709" t="str">
        <f>IF(Delivery_data[[#This Row],[Order Status]] = "In Progress", "Backlog", "Complete")</f>
        <v>Backlog</v>
      </c>
      <c r="I709" t="s">
        <v>90</v>
      </c>
      <c r="J709" t="s">
        <v>1633</v>
      </c>
      <c r="K709" t="s">
        <v>37</v>
      </c>
      <c r="L709">
        <v>235</v>
      </c>
      <c r="M709">
        <v>27</v>
      </c>
      <c r="N709" t="s">
        <v>38</v>
      </c>
      <c r="O709" t="s">
        <v>41</v>
      </c>
      <c r="P709" t="s">
        <v>45</v>
      </c>
      <c r="Q709" t="s">
        <v>28</v>
      </c>
      <c r="R709" s="2">
        <v>0.35416666666666669</v>
      </c>
    </row>
    <row r="710" spans="1:18" x14ac:dyDescent="0.25">
      <c r="A710" t="s">
        <v>2137</v>
      </c>
      <c r="B710" t="s">
        <v>641</v>
      </c>
      <c r="C710" s="1">
        <v>45173</v>
      </c>
      <c r="D710" s="1" t="str">
        <f>TEXT(Delivery_data[[#This Row],[Order date]], "MMMM")</f>
        <v>September</v>
      </c>
      <c r="E710" s="1" t="str">
        <f>TEXT(Delivery_data[[#This Row],[Order date]], "DDDD")</f>
        <v>Monday</v>
      </c>
      <c r="F710" s="2">
        <v>0.69513888888888886</v>
      </c>
      <c r="G710" t="s">
        <v>22</v>
      </c>
      <c r="H710" t="str">
        <f>IF(Delivery_data[[#This Row],[Order Status]] = "In Progress", "Backlog", "Complete")</f>
        <v>Complete</v>
      </c>
      <c r="I710" t="s">
        <v>90</v>
      </c>
      <c r="J710" t="s">
        <v>1637</v>
      </c>
      <c r="K710" t="s">
        <v>31</v>
      </c>
      <c r="L710">
        <v>77</v>
      </c>
      <c r="M710">
        <v>5</v>
      </c>
      <c r="N710" t="s">
        <v>32</v>
      </c>
      <c r="O710" t="s">
        <v>41</v>
      </c>
      <c r="P710" t="s">
        <v>27</v>
      </c>
      <c r="Q710" t="s">
        <v>46</v>
      </c>
      <c r="R710" s="2">
        <v>0.48402777777777778</v>
      </c>
    </row>
    <row r="711" spans="1:18" x14ac:dyDescent="0.25">
      <c r="A711" t="s">
        <v>2372</v>
      </c>
      <c r="B711" t="s">
        <v>869</v>
      </c>
      <c r="C711" s="1">
        <v>45170</v>
      </c>
      <c r="D711" s="1" t="str">
        <f>TEXT(Delivery_data[[#This Row],[Order date]], "MMMM")</f>
        <v>September</v>
      </c>
      <c r="E711" s="1" t="str">
        <f>TEXT(Delivery_data[[#This Row],[Order date]], "DDDD")</f>
        <v>Friday</v>
      </c>
      <c r="F711" s="2">
        <v>0.42638888888888887</v>
      </c>
      <c r="G711" t="s">
        <v>48</v>
      </c>
      <c r="H711" t="str">
        <f>IF(Delivery_data[[#This Row],[Order Status]] = "In Progress", "Backlog", "Complete")</f>
        <v>Backlog</v>
      </c>
      <c r="I711" t="s">
        <v>90</v>
      </c>
      <c r="J711" t="s">
        <v>1631</v>
      </c>
      <c r="K711" t="s">
        <v>31</v>
      </c>
      <c r="L711">
        <v>159</v>
      </c>
      <c r="M711">
        <v>28</v>
      </c>
      <c r="N711" t="s">
        <v>32</v>
      </c>
      <c r="O711" t="s">
        <v>33</v>
      </c>
      <c r="P711" t="s">
        <v>27</v>
      </c>
      <c r="Q711" t="s">
        <v>51</v>
      </c>
      <c r="R711" s="2">
        <v>0.64444444444444449</v>
      </c>
    </row>
    <row r="712" spans="1:18" x14ac:dyDescent="0.25">
      <c r="A712" t="s">
        <v>2423</v>
      </c>
      <c r="B712" t="s">
        <v>916</v>
      </c>
      <c r="C712" s="1">
        <v>45172</v>
      </c>
      <c r="D712" s="1" t="str">
        <f>TEXT(Delivery_data[[#This Row],[Order date]], "MMMM")</f>
        <v>September</v>
      </c>
      <c r="E712" s="1" t="str">
        <f>TEXT(Delivery_data[[#This Row],[Order date]], "DDDD")</f>
        <v>Sunday</v>
      </c>
      <c r="F712" s="2">
        <v>0.37152777777777779</v>
      </c>
      <c r="G712" t="s">
        <v>48</v>
      </c>
      <c r="H712" t="str">
        <f>IF(Delivery_data[[#This Row],[Order Status]] = "In Progress", "Backlog", "Complete")</f>
        <v>Backlog</v>
      </c>
      <c r="I712" t="s">
        <v>90</v>
      </c>
      <c r="J712" t="s">
        <v>1631</v>
      </c>
      <c r="K712" t="s">
        <v>37</v>
      </c>
      <c r="L712">
        <v>140</v>
      </c>
      <c r="M712">
        <v>9</v>
      </c>
      <c r="N712" t="s">
        <v>32</v>
      </c>
      <c r="O712" t="s">
        <v>41</v>
      </c>
      <c r="P712" t="s">
        <v>27</v>
      </c>
      <c r="Q712" t="s">
        <v>51</v>
      </c>
      <c r="R712" s="2">
        <v>0.68541666666666667</v>
      </c>
    </row>
    <row r="713" spans="1:18" x14ac:dyDescent="0.25">
      <c r="A713" t="s">
        <v>2562</v>
      </c>
      <c r="B713" t="s">
        <v>1047</v>
      </c>
      <c r="C713" s="1">
        <v>45177</v>
      </c>
      <c r="D713" s="1" t="str">
        <f>TEXT(Delivery_data[[#This Row],[Order date]], "MMMM")</f>
        <v>September</v>
      </c>
      <c r="E713" s="1" t="str">
        <f>TEXT(Delivery_data[[#This Row],[Order date]], "DDDD")</f>
        <v>Friday</v>
      </c>
      <c r="F713" s="2">
        <v>0.41249999999999998</v>
      </c>
      <c r="G713" t="s">
        <v>48</v>
      </c>
      <c r="H713" t="str">
        <f>IF(Delivery_data[[#This Row],[Order Status]] = "In Progress", "Backlog", "Complete")</f>
        <v>Backlog</v>
      </c>
      <c r="I713" t="s">
        <v>90</v>
      </c>
      <c r="J713" t="s">
        <v>1637</v>
      </c>
      <c r="K713" t="s">
        <v>61</v>
      </c>
      <c r="L713">
        <v>232</v>
      </c>
      <c r="M713">
        <v>24</v>
      </c>
      <c r="N713" t="s">
        <v>38</v>
      </c>
      <c r="O713" t="s">
        <v>41</v>
      </c>
      <c r="P713" t="s">
        <v>27</v>
      </c>
      <c r="Q713" t="s">
        <v>51</v>
      </c>
      <c r="R713" s="2">
        <v>0.36458333333333331</v>
      </c>
    </row>
    <row r="714" spans="1:18" x14ac:dyDescent="0.25">
      <c r="A714" t="s">
        <v>2709</v>
      </c>
      <c r="B714" t="s">
        <v>1190</v>
      </c>
      <c r="C714" s="1">
        <v>45177</v>
      </c>
      <c r="D714" s="1" t="str">
        <f>TEXT(Delivery_data[[#This Row],[Order date]], "MMMM")</f>
        <v>September</v>
      </c>
      <c r="E714" s="1" t="str">
        <f>TEXT(Delivery_data[[#This Row],[Order date]], "DDDD")</f>
        <v>Friday</v>
      </c>
      <c r="F714" s="2">
        <v>0.47152777777777777</v>
      </c>
      <c r="G714" t="s">
        <v>22</v>
      </c>
      <c r="H714" t="str">
        <f>IF(Delivery_data[[#This Row],[Order Status]] = "In Progress", "Backlog", "Complete")</f>
        <v>Complete</v>
      </c>
      <c r="I714" t="s">
        <v>90</v>
      </c>
      <c r="J714" t="s">
        <v>1633</v>
      </c>
      <c r="K714" t="s">
        <v>44</v>
      </c>
      <c r="L714">
        <v>159</v>
      </c>
      <c r="M714">
        <v>19</v>
      </c>
      <c r="N714" t="s">
        <v>38</v>
      </c>
      <c r="O714" t="s">
        <v>33</v>
      </c>
      <c r="P714" t="s">
        <v>27</v>
      </c>
      <c r="Q714" t="s">
        <v>51</v>
      </c>
      <c r="R714" s="2">
        <v>0.57986111111111116</v>
      </c>
    </row>
    <row r="715" spans="1:18" x14ac:dyDescent="0.25">
      <c r="A715" t="s">
        <v>2837</v>
      </c>
      <c r="B715" t="s">
        <v>1313</v>
      </c>
      <c r="C715" s="1">
        <v>45171</v>
      </c>
      <c r="D715" s="1" t="str">
        <f>TEXT(Delivery_data[[#This Row],[Order date]], "MMMM")</f>
        <v>September</v>
      </c>
      <c r="E715" s="1" t="str">
        <f>TEXT(Delivery_data[[#This Row],[Order date]], "DDDD")</f>
        <v>Saturday</v>
      </c>
      <c r="F715" s="2">
        <v>0.6958333333333333</v>
      </c>
      <c r="G715" t="s">
        <v>48</v>
      </c>
      <c r="H715" t="str">
        <f>IF(Delivery_data[[#This Row],[Order Status]] = "In Progress", "Backlog", "Complete")</f>
        <v>Backlog</v>
      </c>
      <c r="I715" t="s">
        <v>90</v>
      </c>
      <c r="J715" t="s">
        <v>1637</v>
      </c>
      <c r="K715" t="s">
        <v>24</v>
      </c>
      <c r="L715">
        <v>192</v>
      </c>
      <c r="M715">
        <v>13</v>
      </c>
      <c r="N715" t="s">
        <v>32</v>
      </c>
      <c r="O715" t="s">
        <v>50</v>
      </c>
      <c r="P715" t="s">
        <v>34</v>
      </c>
      <c r="Q715" t="s">
        <v>51</v>
      </c>
      <c r="R715" s="2">
        <v>0.5625</v>
      </c>
    </row>
    <row r="716" spans="1:18" x14ac:dyDescent="0.25">
      <c r="A716" t="s">
        <v>2854</v>
      </c>
      <c r="B716" t="s">
        <v>1330</v>
      </c>
      <c r="C716" s="1">
        <v>45172</v>
      </c>
      <c r="D716" s="1" t="str">
        <f>TEXT(Delivery_data[[#This Row],[Order date]], "MMMM")</f>
        <v>September</v>
      </c>
      <c r="E716" s="1" t="str">
        <f>TEXT(Delivery_data[[#This Row],[Order date]], "DDDD")</f>
        <v>Sunday</v>
      </c>
      <c r="F716" s="2">
        <v>0.61527777777777781</v>
      </c>
      <c r="G716" t="s">
        <v>48</v>
      </c>
      <c r="H716" t="str">
        <f>IF(Delivery_data[[#This Row],[Order Status]] = "In Progress", "Backlog", "Complete")</f>
        <v>Backlog</v>
      </c>
      <c r="I716" t="s">
        <v>90</v>
      </c>
      <c r="J716" t="s">
        <v>1637</v>
      </c>
      <c r="K716" t="s">
        <v>24</v>
      </c>
      <c r="L716">
        <v>229</v>
      </c>
      <c r="M716">
        <v>18</v>
      </c>
      <c r="N716" t="s">
        <v>25</v>
      </c>
      <c r="O716" t="s">
        <v>41</v>
      </c>
      <c r="P716" t="s">
        <v>45</v>
      </c>
      <c r="Q716" t="s">
        <v>28</v>
      </c>
      <c r="R716" s="2">
        <v>0.41875000000000001</v>
      </c>
    </row>
    <row r="717" spans="1:18" x14ac:dyDescent="0.25">
      <c r="A717" t="s">
        <v>3033</v>
      </c>
      <c r="B717" t="s">
        <v>1503</v>
      </c>
      <c r="C717" s="1">
        <v>45171</v>
      </c>
      <c r="D717" s="1" t="str">
        <f>TEXT(Delivery_data[[#This Row],[Order date]], "MMMM")</f>
        <v>September</v>
      </c>
      <c r="E717" s="1" t="str">
        <f>TEXT(Delivery_data[[#This Row],[Order date]], "DDDD")</f>
        <v>Saturday</v>
      </c>
      <c r="F717" s="2">
        <v>0.41319444444444442</v>
      </c>
      <c r="G717" t="s">
        <v>48</v>
      </c>
      <c r="H717" t="str">
        <f>IF(Delivery_data[[#This Row],[Order Status]] = "In Progress", "Backlog", "Complete")</f>
        <v>Backlog</v>
      </c>
      <c r="I717" t="s">
        <v>90</v>
      </c>
      <c r="J717" t="s">
        <v>1637</v>
      </c>
      <c r="K717" t="s">
        <v>31</v>
      </c>
      <c r="L717">
        <v>124</v>
      </c>
      <c r="M717">
        <v>27</v>
      </c>
      <c r="N717" t="s">
        <v>38</v>
      </c>
      <c r="O717" t="s">
        <v>54</v>
      </c>
      <c r="P717" t="s">
        <v>27</v>
      </c>
      <c r="Q717" t="s">
        <v>28</v>
      </c>
      <c r="R717" s="2">
        <v>0.43958333333333333</v>
      </c>
    </row>
    <row r="718" spans="1:18" x14ac:dyDescent="0.25">
      <c r="A718" t="s">
        <v>1761</v>
      </c>
      <c r="B718" t="s">
        <v>244</v>
      </c>
      <c r="C718" s="1">
        <v>45175</v>
      </c>
      <c r="D718" s="1" t="str">
        <f>TEXT(Delivery_data[[#This Row],[Order date]], "MMMM")</f>
        <v>September</v>
      </c>
      <c r="E718" s="1" t="str">
        <f>TEXT(Delivery_data[[#This Row],[Order date]], "DDDD")</f>
        <v>Wednesday</v>
      </c>
      <c r="F718" s="2">
        <v>0.57013888888888886</v>
      </c>
      <c r="G718" t="s">
        <v>22</v>
      </c>
      <c r="H718" t="str">
        <f>IF(Delivery_data[[#This Row],[Order Status]] = "In Progress", "Backlog", "Complete")</f>
        <v>Complete</v>
      </c>
      <c r="I718" t="s">
        <v>245</v>
      </c>
      <c r="J718" t="s">
        <v>1633</v>
      </c>
      <c r="K718" t="s">
        <v>61</v>
      </c>
      <c r="L718">
        <v>195</v>
      </c>
      <c r="M718">
        <v>22</v>
      </c>
      <c r="N718" t="s">
        <v>38</v>
      </c>
      <c r="O718" t="s">
        <v>54</v>
      </c>
      <c r="P718" t="s">
        <v>27</v>
      </c>
      <c r="Q718" t="s">
        <v>28</v>
      </c>
      <c r="R718" s="2">
        <v>0.71944444444444444</v>
      </c>
    </row>
    <row r="719" spans="1:18" x14ac:dyDescent="0.25">
      <c r="A719" t="s">
        <v>1880</v>
      </c>
      <c r="B719" t="s">
        <v>381</v>
      </c>
      <c r="C719" s="1">
        <v>45173</v>
      </c>
      <c r="D719" s="1" t="str">
        <f>TEXT(Delivery_data[[#This Row],[Order date]], "MMMM")</f>
        <v>September</v>
      </c>
      <c r="E719" s="1" t="str">
        <f>TEXT(Delivery_data[[#This Row],[Order date]], "DDDD")</f>
        <v>Monday</v>
      </c>
      <c r="F719" s="2">
        <v>0.35347222222222224</v>
      </c>
      <c r="G719" t="s">
        <v>48</v>
      </c>
      <c r="H719" t="str">
        <f>IF(Delivery_data[[#This Row],[Order Status]] = "In Progress", "Backlog", "Complete")</f>
        <v>Backlog</v>
      </c>
      <c r="I719" t="s">
        <v>245</v>
      </c>
      <c r="J719" t="s">
        <v>1637</v>
      </c>
      <c r="K719" t="s">
        <v>44</v>
      </c>
      <c r="L719">
        <v>175</v>
      </c>
      <c r="M719">
        <v>20</v>
      </c>
      <c r="N719" t="s">
        <v>25</v>
      </c>
      <c r="O719" t="s">
        <v>33</v>
      </c>
      <c r="P719" t="s">
        <v>27</v>
      </c>
      <c r="Q719" t="s">
        <v>28</v>
      </c>
      <c r="R719" s="2">
        <v>0.73819444444444449</v>
      </c>
    </row>
    <row r="720" spans="1:18" x14ac:dyDescent="0.25">
      <c r="A720" t="s">
        <v>1989</v>
      </c>
      <c r="B720" t="s">
        <v>494</v>
      </c>
      <c r="C720" s="1">
        <v>45171</v>
      </c>
      <c r="D720" s="1" t="str">
        <f>TEXT(Delivery_data[[#This Row],[Order date]], "MMMM")</f>
        <v>September</v>
      </c>
      <c r="E720" s="1" t="str">
        <f>TEXT(Delivery_data[[#This Row],[Order date]], "DDDD")</f>
        <v>Saturday</v>
      </c>
      <c r="F720" s="2">
        <v>0.3840277777777778</v>
      </c>
      <c r="G720" t="s">
        <v>22</v>
      </c>
      <c r="H720" t="str">
        <f>IF(Delivery_data[[#This Row],[Order Status]] = "In Progress", "Backlog", "Complete")</f>
        <v>Complete</v>
      </c>
      <c r="I720" t="s">
        <v>245</v>
      </c>
      <c r="J720" t="s">
        <v>1633</v>
      </c>
      <c r="K720" t="s">
        <v>61</v>
      </c>
      <c r="L720">
        <v>152</v>
      </c>
      <c r="M720">
        <v>18</v>
      </c>
      <c r="N720" t="s">
        <v>38</v>
      </c>
      <c r="O720" t="s">
        <v>54</v>
      </c>
      <c r="P720" t="s">
        <v>27</v>
      </c>
      <c r="Q720" t="s">
        <v>51</v>
      </c>
      <c r="R720" s="2">
        <v>0.47986111111111113</v>
      </c>
    </row>
    <row r="721" spans="1:18" x14ac:dyDescent="0.25">
      <c r="A721" t="s">
        <v>2237</v>
      </c>
      <c r="B721" t="s">
        <v>737</v>
      </c>
      <c r="C721" s="1">
        <v>45172</v>
      </c>
      <c r="D721" s="1" t="str">
        <f>TEXT(Delivery_data[[#This Row],[Order date]], "MMMM")</f>
        <v>September</v>
      </c>
      <c r="E721" s="1" t="str">
        <f>TEXT(Delivery_data[[#This Row],[Order date]], "DDDD")</f>
        <v>Sunday</v>
      </c>
      <c r="F721" s="2">
        <v>0.3888888888888889</v>
      </c>
      <c r="G721" t="s">
        <v>22</v>
      </c>
      <c r="H721" t="str">
        <f>IF(Delivery_data[[#This Row],[Order Status]] = "In Progress", "Backlog", "Complete")</f>
        <v>Complete</v>
      </c>
      <c r="I721" t="s">
        <v>245</v>
      </c>
      <c r="J721" t="s">
        <v>1637</v>
      </c>
      <c r="K721" t="s">
        <v>24</v>
      </c>
      <c r="L721">
        <v>119</v>
      </c>
      <c r="M721">
        <v>14</v>
      </c>
      <c r="N721" t="s">
        <v>32</v>
      </c>
      <c r="O721" t="s">
        <v>54</v>
      </c>
      <c r="P721" t="s">
        <v>45</v>
      </c>
      <c r="Q721" t="s">
        <v>28</v>
      </c>
      <c r="R721" s="2">
        <v>0.3972222222222222</v>
      </c>
    </row>
    <row r="722" spans="1:18" x14ac:dyDescent="0.25">
      <c r="A722" t="s">
        <v>2261</v>
      </c>
      <c r="B722" t="s">
        <v>761</v>
      </c>
      <c r="C722" s="1">
        <v>45175</v>
      </c>
      <c r="D722" s="1" t="str">
        <f>TEXT(Delivery_data[[#This Row],[Order date]], "MMMM")</f>
        <v>September</v>
      </c>
      <c r="E722" s="1" t="str">
        <f>TEXT(Delivery_data[[#This Row],[Order date]], "DDDD")</f>
        <v>Wednesday</v>
      </c>
      <c r="F722" s="2">
        <v>0.49722222222222223</v>
      </c>
      <c r="G722" t="s">
        <v>48</v>
      </c>
      <c r="H722" t="str">
        <f>IF(Delivery_data[[#This Row],[Order Status]] = "In Progress", "Backlog", "Complete")</f>
        <v>Backlog</v>
      </c>
      <c r="I722" t="s">
        <v>245</v>
      </c>
      <c r="J722" t="s">
        <v>1637</v>
      </c>
      <c r="K722" t="s">
        <v>44</v>
      </c>
      <c r="L722">
        <v>203</v>
      </c>
      <c r="M722">
        <v>27</v>
      </c>
      <c r="N722" t="s">
        <v>38</v>
      </c>
      <c r="O722" t="s">
        <v>50</v>
      </c>
      <c r="P722" t="s">
        <v>27</v>
      </c>
      <c r="Q722" t="s">
        <v>46</v>
      </c>
      <c r="R722" s="2">
        <v>0.61250000000000004</v>
      </c>
    </row>
    <row r="723" spans="1:18" x14ac:dyDescent="0.25">
      <c r="A723" t="s">
        <v>2273</v>
      </c>
      <c r="B723" t="s">
        <v>773</v>
      </c>
      <c r="C723" s="1">
        <v>45172</v>
      </c>
      <c r="D723" s="1" t="str">
        <f>TEXT(Delivery_data[[#This Row],[Order date]], "MMMM")</f>
        <v>September</v>
      </c>
      <c r="E723" s="1" t="str">
        <f>TEXT(Delivery_data[[#This Row],[Order date]], "DDDD")</f>
        <v>Sunday</v>
      </c>
      <c r="F723" s="2">
        <v>0.62361111111111112</v>
      </c>
      <c r="G723" t="s">
        <v>48</v>
      </c>
      <c r="H723" t="str">
        <f>IF(Delivery_data[[#This Row],[Order Status]] = "In Progress", "Backlog", "Complete")</f>
        <v>Backlog</v>
      </c>
      <c r="I723" t="s">
        <v>245</v>
      </c>
      <c r="J723" t="s">
        <v>1633</v>
      </c>
      <c r="K723" t="s">
        <v>37</v>
      </c>
      <c r="L723">
        <v>132</v>
      </c>
      <c r="M723">
        <v>9</v>
      </c>
      <c r="N723" t="s">
        <v>25</v>
      </c>
      <c r="O723" t="s">
        <v>50</v>
      </c>
      <c r="P723" t="s">
        <v>34</v>
      </c>
      <c r="Q723" t="s">
        <v>51</v>
      </c>
      <c r="R723" s="2">
        <v>0.4597222222222222</v>
      </c>
    </row>
    <row r="724" spans="1:18" x14ac:dyDescent="0.25">
      <c r="A724" t="s">
        <v>2489</v>
      </c>
      <c r="B724" t="s">
        <v>979</v>
      </c>
      <c r="C724" s="1">
        <v>45171</v>
      </c>
      <c r="D724" s="1" t="str">
        <f>TEXT(Delivery_data[[#This Row],[Order date]], "MMMM")</f>
        <v>September</v>
      </c>
      <c r="E724" s="1" t="str">
        <f>TEXT(Delivery_data[[#This Row],[Order date]], "DDDD")</f>
        <v>Saturday</v>
      </c>
      <c r="F724" s="2">
        <v>0.5756944444444444</v>
      </c>
      <c r="G724" t="s">
        <v>22</v>
      </c>
      <c r="H724" t="str">
        <f>IF(Delivery_data[[#This Row],[Order Status]] = "In Progress", "Backlog", "Complete")</f>
        <v>Complete</v>
      </c>
      <c r="I724" t="s">
        <v>245</v>
      </c>
      <c r="J724" t="s">
        <v>1633</v>
      </c>
      <c r="K724" t="s">
        <v>24</v>
      </c>
      <c r="L724">
        <v>141</v>
      </c>
      <c r="M724">
        <v>7</v>
      </c>
      <c r="N724" t="s">
        <v>38</v>
      </c>
      <c r="O724" t="s">
        <v>41</v>
      </c>
      <c r="P724" t="s">
        <v>45</v>
      </c>
      <c r="Q724" t="s">
        <v>28</v>
      </c>
      <c r="R724" s="2">
        <v>0.72013888888888888</v>
      </c>
    </row>
    <row r="725" spans="1:18" x14ac:dyDescent="0.25">
      <c r="A725" t="s">
        <v>2534</v>
      </c>
      <c r="B725" t="s">
        <v>1022</v>
      </c>
      <c r="C725" s="1">
        <v>45173</v>
      </c>
      <c r="D725" s="1" t="str">
        <f>TEXT(Delivery_data[[#This Row],[Order date]], "MMMM")</f>
        <v>September</v>
      </c>
      <c r="E725" s="1" t="str">
        <f>TEXT(Delivery_data[[#This Row],[Order date]], "DDDD")</f>
        <v>Monday</v>
      </c>
      <c r="F725" s="2">
        <v>0.46319444444444446</v>
      </c>
      <c r="G725" t="s">
        <v>48</v>
      </c>
      <c r="H725" t="str">
        <f>IF(Delivery_data[[#This Row],[Order Status]] = "In Progress", "Backlog", "Complete")</f>
        <v>Backlog</v>
      </c>
      <c r="I725" t="s">
        <v>245</v>
      </c>
      <c r="J725" t="s">
        <v>1637</v>
      </c>
      <c r="K725" t="s">
        <v>24</v>
      </c>
      <c r="L725">
        <v>158</v>
      </c>
      <c r="M725">
        <v>24</v>
      </c>
      <c r="N725" t="s">
        <v>38</v>
      </c>
      <c r="O725" t="s">
        <v>54</v>
      </c>
      <c r="P725" t="s">
        <v>27</v>
      </c>
      <c r="Q725" t="s">
        <v>28</v>
      </c>
      <c r="R725" s="2">
        <v>0.6694444444444444</v>
      </c>
    </row>
    <row r="726" spans="1:18" x14ac:dyDescent="0.25">
      <c r="A726" t="s">
        <v>2690</v>
      </c>
      <c r="B726" t="s">
        <v>1171</v>
      </c>
      <c r="C726" s="1">
        <v>45175</v>
      </c>
      <c r="D726" s="1" t="str">
        <f>TEXT(Delivery_data[[#This Row],[Order date]], "MMMM")</f>
        <v>September</v>
      </c>
      <c r="E726" s="1" t="str">
        <f>TEXT(Delivery_data[[#This Row],[Order date]], "DDDD")</f>
        <v>Wednesday</v>
      </c>
      <c r="F726" s="2">
        <v>0.45624999999999999</v>
      </c>
      <c r="G726" t="s">
        <v>48</v>
      </c>
      <c r="H726" t="str">
        <f>IF(Delivery_data[[#This Row],[Order Status]] = "In Progress", "Backlog", "Complete")</f>
        <v>Backlog</v>
      </c>
      <c r="I726" t="s">
        <v>245</v>
      </c>
      <c r="J726" t="s">
        <v>1631</v>
      </c>
      <c r="K726" t="s">
        <v>61</v>
      </c>
      <c r="L726">
        <v>127</v>
      </c>
      <c r="M726">
        <v>22</v>
      </c>
      <c r="N726" t="s">
        <v>32</v>
      </c>
      <c r="O726" t="s">
        <v>41</v>
      </c>
      <c r="P726" t="s">
        <v>27</v>
      </c>
      <c r="Q726" t="s">
        <v>51</v>
      </c>
      <c r="R726" s="2">
        <v>0.46527777777777779</v>
      </c>
    </row>
    <row r="727" spans="1:18" x14ac:dyDescent="0.25">
      <c r="A727" t="s">
        <v>2734</v>
      </c>
      <c r="B727" t="s">
        <v>1214</v>
      </c>
      <c r="C727" s="1">
        <v>45171</v>
      </c>
      <c r="D727" s="1" t="str">
        <f>TEXT(Delivery_data[[#This Row],[Order date]], "MMMM")</f>
        <v>September</v>
      </c>
      <c r="E727" s="1" t="str">
        <f>TEXT(Delivery_data[[#This Row],[Order date]], "DDDD")</f>
        <v>Saturday</v>
      </c>
      <c r="F727" s="2">
        <v>0.60833333333333328</v>
      </c>
      <c r="G727" t="s">
        <v>48</v>
      </c>
      <c r="H727" t="str">
        <f>IF(Delivery_data[[#This Row],[Order Status]] = "In Progress", "Backlog", "Complete")</f>
        <v>Backlog</v>
      </c>
      <c r="I727" t="s">
        <v>245</v>
      </c>
      <c r="J727" t="s">
        <v>1637</v>
      </c>
      <c r="K727" t="s">
        <v>37</v>
      </c>
      <c r="L727">
        <v>203</v>
      </c>
      <c r="M727">
        <v>5</v>
      </c>
      <c r="N727" t="s">
        <v>38</v>
      </c>
      <c r="O727" t="s">
        <v>26</v>
      </c>
      <c r="P727" t="s">
        <v>45</v>
      </c>
      <c r="Q727" t="s">
        <v>51</v>
      </c>
      <c r="R727" s="2">
        <v>0.68472222222222223</v>
      </c>
    </row>
    <row r="728" spans="1:18" x14ac:dyDescent="0.25">
      <c r="A728" t="s">
        <v>2808</v>
      </c>
      <c r="B728" t="s">
        <v>1285</v>
      </c>
      <c r="C728" s="1">
        <v>45175</v>
      </c>
      <c r="D728" s="1" t="str">
        <f>TEXT(Delivery_data[[#This Row],[Order date]], "MMMM")</f>
        <v>September</v>
      </c>
      <c r="E728" s="1" t="str">
        <f>TEXT(Delivery_data[[#This Row],[Order date]], "DDDD")</f>
        <v>Wednesday</v>
      </c>
      <c r="F728" s="2">
        <v>0.45555555555555555</v>
      </c>
      <c r="G728" t="s">
        <v>48</v>
      </c>
      <c r="H728" t="str">
        <f>IF(Delivery_data[[#This Row],[Order Status]] = "In Progress", "Backlog", "Complete")</f>
        <v>Backlog</v>
      </c>
      <c r="I728" t="s">
        <v>245</v>
      </c>
      <c r="J728" t="s">
        <v>1631</v>
      </c>
      <c r="K728" t="s">
        <v>37</v>
      </c>
      <c r="L728">
        <v>105</v>
      </c>
      <c r="M728">
        <v>29</v>
      </c>
      <c r="N728" t="s">
        <v>38</v>
      </c>
      <c r="O728" t="s">
        <v>50</v>
      </c>
      <c r="P728" t="s">
        <v>45</v>
      </c>
      <c r="Q728" t="s">
        <v>46</v>
      </c>
      <c r="R728" s="2">
        <v>0.37847222222222221</v>
      </c>
    </row>
    <row r="729" spans="1:18" x14ac:dyDescent="0.25">
      <c r="A729" t="s">
        <v>2855</v>
      </c>
      <c r="B729" t="s">
        <v>1331</v>
      </c>
      <c r="C729" s="1">
        <v>45172</v>
      </c>
      <c r="D729" s="1" t="str">
        <f>TEXT(Delivery_data[[#This Row],[Order date]], "MMMM")</f>
        <v>September</v>
      </c>
      <c r="E729" s="1" t="str">
        <f>TEXT(Delivery_data[[#This Row],[Order date]], "DDDD")</f>
        <v>Sunday</v>
      </c>
      <c r="F729" s="2">
        <v>0.47083333333333333</v>
      </c>
      <c r="G729" t="s">
        <v>22</v>
      </c>
      <c r="H729" t="str">
        <f>IF(Delivery_data[[#This Row],[Order Status]] = "In Progress", "Backlog", "Complete")</f>
        <v>Complete</v>
      </c>
      <c r="I729" t="s">
        <v>245</v>
      </c>
      <c r="J729" t="s">
        <v>1637</v>
      </c>
      <c r="K729" t="s">
        <v>61</v>
      </c>
      <c r="L729">
        <v>123</v>
      </c>
      <c r="M729">
        <v>19</v>
      </c>
      <c r="N729" t="s">
        <v>32</v>
      </c>
      <c r="O729" t="s">
        <v>54</v>
      </c>
      <c r="P729" t="s">
        <v>45</v>
      </c>
      <c r="Q729" t="s">
        <v>46</v>
      </c>
      <c r="R729" s="2">
        <v>0.35416666666666669</v>
      </c>
    </row>
    <row r="730" spans="1:18" x14ac:dyDescent="0.25">
      <c r="A730" t="s">
        <v>2868</v>
      </c>
      <c r="B730" t="s">
        <v>1342</v>
      </c>
      <c r="C730" s="1">
        <v>45173</v>
      </c>
      <c r="D730" s="1" t="str">
        <f>TEXT(Delivery_data[[#This Row],[Order date]], "MMMM")</f>
        <v>September</v>
      </c>
      <c r="E730" s="1" t="str">
        <f>TEXT(Delivery_data[[#This Row],[Order date]], "DDDD")</f>
        <v>Monday</v>
      </c>
      <c r="F730" s="2">
        <v>0.43888888888888888</v>
      </c>
      <c r="G730" t="s">
        <v>48</v>
      </c>
      <c r="H730" t="str">
        <f>IF(Delivery_data[[#This Row],[Order Status]] = "In Progress", "Backlog", "Complete")</f>
        <v>Backlog</v>
      </c>
      <c r="I730" t="s">
        <v>245</v>
      </c>
      <c r="J730" t="s">
        <v>1637</v>
      </c>
      <c r="K730" t="s">
        <v>24</v>
      </c>
      <c r="L730">
        <v>156</v>
      </c>
      <c r="M730">
        <v>13</v>
      </c>
      <c r="N730" t="s">
        <v>32</v>
      </c>
      <c r="O730" t="s">
        <v>33</v>
      </c>
      <c r="P730" t="s">
        <v>34</v>
      </c>
      <c r="Q730" t="s">
        <v>51</v>
      </c>
      <c r="R730" s="2">
        <v>0.68472222222222223</v>
      </c>
    </row>
    <row r="731" spans="1:18" x14ac:dyDescent="0.25">
      <c r="A731" t="s">
        <v>2892</v>
      </c>
      <c r="B731" t="s">
        <v>1365</v>
      </c>
      <c r="C731" s="1">
        <v>45176</v>
      </c>
      <c r="D731" s="1" t="str">
        <f>TEXT(Delivery_data[[#This Row],[Order date]], "MMMM")</f>
        <v>September</v>
      </c>
      <c r="E731" s="1" t="str">
        <f>TEXT(Delivery_data[[#This Row],[Order date]], "DDDD")</f>
        <v>Thursday</v>
      </c>
      <c r="F731" s="2">
        <v>0.70694444444444449</v>
      </c>
      <c r="G731" t="s">
        <v>22</v>
      </c>
      <c r="H731" t="str">
        <f>IF(Delivery_data[[#This Row],[Order Status]] = "In Progress", "Backlog", "Complete")</f>
        <v>Complete</v>
      </c>
      <c r="I731" t="s">
        <v>245</v>
      </c>
      <c r="J731" t="s">
        <v>1637</v>
      </c>
      <c r="K731" t="s">
        <v>31</v>
      </c>
      <c r="L731">
        <v>66</v>
      </c>
      <c r="M731">
        <v>8</v>
      </c>
      <c r="N731" t="s">
        <v>32</v>
      </c>
      <c r="O731" t="s">
        <v>54</v>
      </c>
      <c r="P731" t="s">
        <v>45</v>
      </c>
      <c r="Q731" t="s">
        <v>28</v>
      </c>
      <c r="R731" s="2">
        <v>0.53541666666666665</v>
      </c>
    </row>
    <row r="732" spans="1:18" x14ac:dyDescent="0.25">
      <c r="A732" t="s">
        <v>2946</v>
      </c>
      <c r="B732" t="s">
        <v>1419</v>
      </c>
      <c r="C732" s="1">
        <v>45170</v>
      </c>
      <c r="D732" s="1" t="str">
        <f>TEXT(Delivery_data[[#This Row],[Order date]], "MMMM")</f>
        <v>September</v>
      </c>
      <c r="E732" s="1" t="str">
        <f>TEXT(Delivery_data[[#This Row],[Order date]], "DDDD")</f>
        <v>Friday</v>
      </c>
      <c r="F732" s="2">
        <v>0.41180555555555554</v>
      </c>
      <c r="G732" t="s">
        <v>48</v>
      </c>
      <c r="H732" t="str">
        <f>IF(Delivery_data[[#This Row],[Order Status]] = "In Progress", "Backlog", "Complete")</f>
        <v>Backlog</v>
      </c>
      <c r="I732" t="s">
        <v>245</v>
      </c>
      <c r="J732" t="s">
        <v>1631</v>
      </c>
      <c r="K732" t="s">
        <v>24</v>
      </c>
      <c r="L732">
        <v>132</v>
      </c>
      <c r="M732">
        <v>28</v>
      </c>
      <c r="N732" t="s">
        <v>32</v>
      </c>
      <c r="O732" t="s">
        <v>50</v>
      </c>
      <c r="P732" t="s">
        <v>34</v>
      </c>
      <c r="Q732" t="s">
        <v>46</v>
      </c>
      <c r="R732" s="2">
        <v>0.4826388888888889</v>
      </c>
    </row>
    <row r="733" spans="1:18" x14ac:dyDescent="0.25">
      <c r="A733" t="s">
        <v>3017</v>
      </c>
      <c r="B733" t="s">
        <v>1488</v>
      </c>
      <c r="C733" s="1">
        <v>45170</v>
      </c>
      <c r="D733" s="1" t="str">
        <f>TEXT(Delivery_data[[#This Row],[Order date]], "MMMM")</f>
        <v>September</v>
      </c>
      <c r="E733" s="1" t="str">
        <f>TEXT(Delivery_data[[#This Row],[Order date]], "DDDD")</f>
        <v>Friday</v>
      </c>
      <c r="F733" s="2">
        <v>0.58194444444444449</v>
      </c>
      <c r="G733" t="s">
        <v>48</v>
      </c>
      <c r="H733" t="str">
        <f>IF(Delivery_data[[#This Row],[Order Status]] = "In Progress", "Backlog", "Complete")</f>
        <v>Backlog</v>
      </c>
      <c r="I733" t="s">
        <v>245</v>
      </c>
      <c r="J733" t="s">
        <v>1637</v>
      </c>
      <c r="K733" t="s">
        <v>37</v>
      </c>
      <c r="L733">
        <v>114</v>
      </c>
      <c r="M733">
        <v>8</v>
      </c>
      <c r="N733" t="s">
        <v>38</v>
      </c>
      <c r="O733" t="s">
        <v>33</v>
      </c>
      <c r="P733" t="s">
        <v>45</v>
      </c>
      <c r="Q733" t="s">
        <v>46</v>
      </c>
      <c r="R733" s="2">
        <v>0.59791666666666665</v>
      </c>
    </row>
    <row r="734" spans="1:18" x14ac:dyDescent="0.25">
      <c r="A734" t="s">
        <v>3046</v>
      </c>
      <c r="B734" t="s">
        <v>1516</v>
      </c>
      <c r="C734" s="1">
        <v>45170</v>
      </c>
      <c r="D734" s="1" t="str">
        <f>TEXT(Delivery_data[[#This Row],[Order date]], "MMMM")</f>
        <v>September</v>
      </c>
      <c r="E734" s="1" t="str">
        <f>TEXT(Delivery_data[[#This Row],[Order date]], "DDDD")</f>
        <v>Friday</v>
      </c>
      <c r="F734" s="2">
        <v>0.66041666666666665</v>
      </c>
      <c r="G734" t="s">
        <v>22</v>
      </c>
      <c r="H734" t="str">
        <f>IF(Delivery_data[[#This Row],[Order Status]] = "In Progress", "Backlog", "Complete")</f>
        <v>Complete</v>
      </c>
      <c r="I734" t="s">
        <v>245</v>
      </c>
      <c r="J734" t="s">
        <v>1631</v>
      </c>
      <c r="K734" t="s">
        <v>24</v>
      </c>
      <c r="L734">
        <v>126</v>
      </c>
      <c r="M734">
        <v>12</v>
      </c>
      <c r="N734" t="s">
        <v>32</v>
      </c>
      <c r="O734" t="s">
        <v>50</v>
      </c>
      <c r="P734" t="s">
        <v>34</v>
      </c>
      <c r="Q734" t="s">
        <v>28</v>
      </c>
      <c r="R734" s="2">
        <v>0.37986111111111109</v>
      </c>
    </row>
    <row r="735" spans="1:18" x14ac:dyDescent="0.25">
      <c r="A735" t="s">
        <v>3079</v>
      </c>
      <c r="B735" t="s">
        <v>1546</v>
      </c>
      <c r="C735" s="1">
        <v>45171</v>
      </c>
      <c r="D735" s="1" t="str">
        <f>TEXT(Delivery_data[[#This Row],[Order date]], "MMMM")</f>
        <v>September</v>
      </c>
      <c r="E735" s="1" t="str">
        <f>TEXT(Delivery_data[[#This Row],[Order date]], "DDDD")</f>
        <v>Saturday</v>
      </c>
      <c r="F735" s="2">
        <v>0.57708333333333328</v>
      </c>
      <c r="G735" t="s">
        <v>22</v>
      </c>
      <c r="H735" t="str">
        <f>IF(Delivery_data[[#This Row],[Order Status]] = "In Progress", "Backlog", "Complete")</f>
        <v>Complete</v>
      </c>
      <c r="I735" t="s">
        <v>245</v>
      </c>
      <c r="J735" t="s">
        <v>1633</v>
      </c>
      <c r="K735" t="s">
        <v>44</v>
      </c>
      <c r="L735">
        <v>228</v>
      </c>
      <c r="M735">
        <v>19</v>
      </c>
      <c r="N735" t="s">
        <v>38</v>
      </c>
      <c r="O735" t="s">
        <v>50</v>
      </c>
      <c r="P735" t="s">
        <v>45</v>
      </c>
      <c r="Q735" t="s">
        <v>46</v>
      </c>
      <c r="R735" s="2">
        <v>0.59444444444444444</v>
      </c>
    </row>
    <row r="736" spans="1:18" x14ac:dyDescent="0.25">
      <c r="A736" t="s">
        <v>1813</v>
      </c>
      <c r="B736" t="s">
        <v>310</v>
      </c>
      <c r="C736" s="1">
        <v>45171</v>
      </c>
      <c r="D736" s="1" t="str">
        <f>TEXT(Delivery_data[[#This Row],[Order date]], "MMMM")</f>
        <v>September</v>
      </c>
      <c r="E736" s="1" t="str">
        <f>TEXT(Delivery_data[[#This Row],[Order date]], "DDDD")</f>
        <v>Saturday</v>
      </c>
      <c r="F736" s="2">
        <v>0.41805555555555557</v>
      </c>
      <c r="G736" t="s">
        <v>22</v>
      </c>
      <c r="H736" t="str">
        <f>IF(Delivery_data[[#This Row],[Order Status]] = "In Progress", "Backlog", "Complete")</f>
        <v>Complete</v>
      </c>
      <c r="I736" t="s">
        <v>311</v>
      </c>
      <c r="J736" t="s">
        <v>1631</v>
      </c>
      <c r="K736" t="s">
        <v>37</v>
      </c>
      <c r="L736">
        <v>87</v>
      </c>
      <c r="M736">
        <v>23</v>
      </c>
      <c r="N736" t="s">
        <v>38</v>
      </c>
      <c r="O736" t="s">
        <v>33</v>
      </c>
      <c r="P736" t="s">
        <v>27</v>
      </c>
      <c r="Q736" t="s">
        <v>28</v>
      </c>
      <c r="R736" s="2">
        <v>0.46388888888888891</v>
      </c>
    </row>
    <row r="737" spans="1:18" x14ac:dyDescent="0.25">
      <c r="A737" t="s">
        <v>1936</v>
      </c>
      <c r="B737" t="s">
        <v>439</v>
      </c>
      <c r="C737" s="1">
        <v>45174</v>
      </c>
      <c r="D737" s="1" t="str">
        <f>TEXT(Delivery_data[[#This Row],[Order date]], "MMMM")</f>
        <v>September</v>
      </c>
      <c r="E737" s="1" t="str">
        <f>TEXT(Delivery_data[[#This Row],[Order date]], "DDDD")</f>
        <v>Tuesday</v>
      </c>
      <c r="F737" s="2">
        <v>0.68888888888888888</v>
      </c>
      <c r="G737" t="s">
        <v>48</v>
      </c>
      <c r="H737" t="str">
        <f>IF(Delivery_data[[#This Row],[Order Status]] = "In Progress", "Backlog", "Complete")</f>
        <v>Backlog</v>
      </c>
      <c r="I737" t="s">
        <v>311</v>
      </c>
      <c r="J737" t="s">
        <v>1631</v>
      </c>
      <c r="K737" t="s">
        <v>24</v>
      </c>
      <c r="L737">
        <v>185</v>
      </c>
      <c r="M737">
        <v>5</v>
      </c>
      <c r="N737" t="s">
        <v>38</v>
      </c>
      <c r="O737" t="s">
        <v>26</v>
      </c>
      <c r="P737" t="s">
        <v>27</v>
      </c>
      <c r="Q737" t="s">
        <v>46</v>
      </c>
      <c r="R737" s="2">
        <v>0.60624999999999996</v>
      </c>
    </row>
    <row r="738" spans="1:18" x14ac:dyDescent="0.25">
      <c r="A738" t="s">
        <v>2028</v>
      </c>
      <c r="B738" t="s">
        <v>533</v>
      </c>
      <c r="C738" s="1">
        <v>45176</v>
      </c>
      <c r="D738" s="1" t="str">
        <f>TEXT(Delivery_data[[#This Row],[Order date]], "MMMM")</f>
        <v>September</v>
      </c>
      <c r="E738" s="1" t="str">
        <f>TEXT(Delivery_data[[#This Row],[Order date]], "DDDD")</f>
        <v>Thursday</v>
      </c>
      <c r="F738" s="2">
        <v>0.49513888888888891</v>
      </c>
      <c r="G738" t="s">
        <v>22</v>
      </c>
      <c r="H738" t="str">
        <f>IF(Delivery_data[[#This Row],[Order Status]] = "In Progress", "Backlog", "Complete")</f>
        <v>Complete</v>
      </c>
      <c r="I738" t="s">
        <v>311</v>
      </c>
      <c r="J738" t="s">
        <v>1633</v>
      </c>
      <c r="K738" t="s">
        <v>44</v>
      </c>
      <c r="L738">
        <v>146</v>
      </c>
      <c r="M738">
        <v>29</v>
      </c>
      <c r="N738" t="s">
        <v>32</v>
      </c>
      <c r="O738" t="s">
        <v>33</v>
      </c>
      <c r="P738" t="s">
        <v>34</v>
      </c>
      <c r="Q738" t="s">
        <v>28</v>
      </c>
      <c r="R738" s="2">
        <v>0.71388888888888891</v>
      </c>
    </row>
    <row r="739" spans="1:18" x14ac:dyDescent="0.25">
      <c r="A739" t="s">
        <v>2156</v>
      </c>
      <c r="B739" t="s">
        <v>659</v>
      </c>
      <c r="C739" s="1">
        <v>45174</v>
      </c>
      <c r="D739" s="1" t="str">
        <f>TEXT(Delivery_data[[#This Row],[Order date]], "MMMM")</f>
        <v>September</v>
      </c>
      <c r="E739" s="1" t="str">
        <f>TEXT(Delivery_data[[#This Row],[Order date]], "DDDD")</f>
        <v>Tuesday</v>
      </c>
      <c r="F739" s="2">
        <v>0.49791666666666667</v>
      </c>
      <c r="G739" t="s">
        <v>22</v>
      </c>
      <c r="H739" t="str">
        <f>IF(Delivery_data[[#This Row],[Order Status]] = "In Progress", "Backlog", "Complete")</f>
        <v>Complete</v>
      </c>
      <c r="I739" t="s">
        <v>311</v>
      </c>
      <c r="J739" t="s">
        <v>1633</v>
      </c>
      <c r="K739" t="s">
        <v>61</v>
      </c>
      <c r="L739">
        <v>79</v>
      </c>
      <c r="M739">
        <v>29</v>
      </c>
      <c r="N739" t="s">
        <v>38</v>
      </c>
      <c r="O739" t="s">
        <v>54</v>
      </c>
      <c r="P739" t="s">
        <v>27</v>
      </c>
      <c r="Q739" t="s">
        <v>51</v>
      </c>
      <c r="R739" s="2">
        <v>0.51041666666666663</v>
      </c>
    </row>
    <row r="740" spans="1:18" x14ac:dyDescent="0.25">
      <c r="A740" t="s">
        <v>2370</v>
      </c>
      <c r="B740" t="s">
        <v>867</v>
      </c>
      <c r="C740" s="1">
        <v>45177</v>
      </c>
      <c r="D740" s="1" t="str">
        <f>TEXT(Delivery_data[[#This Row],[Order date]], "MMMM")</f>
        <v>September</v>
      </c>
      <c r="E740" s="1" t="str">
        <f>TEXT(Delivery_data[[#This Row],[Order date]], "DDDD")</f>
        <v>Friday</v>
      </c>
      <c r="F740" s="2">
        <v>0.37361111111111112</v>
      </c>
      <c r="G740" t="s">
        <v>22</v>
      </c>
      <c r="H740" t="str">
        <f>IF(Delivery_data[[#This Row],[Order Status]] = "In Progress", "Backlog", "Complete")</f>
        <v>Complete</v>
      </c>
      <c r="I740" t="s">
        <v>311</v>
      </c>
      <c r="J740" t="s">
        <v>1637</v>
      </c>
      <c r="K740" t="s">
        <v>24</v>
      </c>
      <c r="L740">
        <v>186</v>
      </c>
      <c r="M740">
        <v>13</v>
      </c>
      <c r="N740" t="s">
        <v>38</v>
      </c>
      <c r="O740" t="s">
        <v>50</v>
      </c>
      <c r="P740" t="s">
        <v>34</v>
      </c>
      <c r="Q740" t="s">
        <v>51</v>
      </c>
      <c r="R740" s="2">
        <v>0.66319444444444442</v>
      </c>
    </row>
    <row r="741" spans="1:18" x14ac:dyDescent="0.25">
      <c r="A741" t="s">
        <v>2421</v>
      </c>
      <c r="B741" t="s">
        <v>914</v>
      </c>
      <c r="C741" s="1">
        <v>45171</v>
      </c>
      <c r="D741" s="1" t="str">
        <f>TEXT(Delivery_data[[#This Row],[Order date]], "MMMM")</f>
        <v>September</v>
      </c>
      <c r="E741" s="1" t="str">
        <f>TEXT(Delivery_data[[#This Row],[Order date]], "DDDD")</f>
        <v>Saturday</v>
      </c>
      <c r="F741" s="2">
        <v>0.61319444444444449</v>
      </c>
      <c r="G741" t="s">
        <v>48</v>
      </c>
      <c r="H741" t="str">
        <f>IF(Delivery_data[[#This Row],[Order Status]] = "In Progress", "Backlog", "Complete")</f>
        <v>Backlog</v>
      </c>
      <c r="I741" t="s">
        <v>311</v>
      </c>
      <c r="J741" t="s">
        <v>1637</v>
      </c>
      <c r="K741" t="s">
        <v>31</v>
      </c>
      <c r="L741">
        <v>181</v>
      </c>
      <c r="M741">
        <v>13</v>
      </c>
      <c r="N741" t="s">
        <v>32</v>
      </c>
      <c r="O741" t="s">
        <v>54</v>
      </c>
      <c r="P741" t="s">
        <v>27</v>
      </c>
      <c r="Q741" t="s">
        <v>28</v>
      </c>
      <c r="R741" s="2">
        <v>0.43333333333333335</v>
      </c>
    </row>
    <row r="742" spans="1:18" x14ac:dyDescent="0.25">
      <c r="A742" t="s">
        <v>2527</v>
      </c>
      <c r="B742" t="s">
        <v>1015</v>
      </c>
      <c r="C742" s="1">
        <v>45177</v>
      </c>
      <c r="D742" s="1" t="str">
        <f>TEXT(Delivery_data[[#This Row],[Order date]], "MMMM")</f>
        <v>September</v>
      </c>
      <c r="E742" s="1" t="str">
        <f>TEXT(Delivery_data[[#This Row],[Order date]], "DDDD")</f>
        <v>Friday</v>
      </c>
      <c r="F742" s="2">
        <v>0.43055555555555558</v>
      </c>
      <c r="G742" t="s">
        <v>48</v>
      </c>
      <c r="H742" t="str">
        <f>IF(Delivery_data[[#This Row],[Order Status]] = "In Progress", "Backlog", "Complete")</f>
        <v>Backlog</v>
      </c>
      <c r="I742" t="s">
        <v>311</v>
      </c>
      <c r="J742" t="s">
        <v>1631</v>
      </c>
      <c r="K742" t="s">
        <v>31</v>
      </c>
      <c r="L742">
        <v>181</v>
      </c>
      <c r="M742">
        <v>11</v>
      </c>
      <c r="N742" t="s">
        <v>25</v>
      </c>
      <c r="O742" t="s">
        <v>26</v>
      </c>
      <c r="P742" t="s">
        <v>27</v>
      </c>
      <c r="Q742" t="s">
        <v>28</v>
      </c>
      <c r="R742" s="2">
        <v>0.56527777777777777</v>
      </c>
    </row>
    <row r="743" spans="1:18" x14ac:dyDescent="0.25">
      <c r="A743" t="s">
        <v>2531</v>
      </c>
      <c r="B743" t="s">
        <v>1019</v>
      </c>
      <c r="C743" s="1">
        <v>45176</v>
      </c>
      <c r="D743" s="1" t="str">
        <f>TEXT(Delivery_data[[#This Row],[Order date]], "MMMM")</f>
        <v>September</v>
      </c>
      <c r="E743" s="1" t="str">
        <f>TEXT(Delivery_data[[#This Row],[Order date]], "DDDD")</f>
        <v>Thursday</v>
      </c>
      <c r="F743" s="2">
        <v>0.49166666666666664</v>
      </c>
      <c r="G743" t="s">
        <v>22</v>
      </c>
      <c r="H743" t="str">
        <f>IF(Delivery_data[[#This Row],[Order Status]] = "In Progress", "Backlog", "Complete")</f>
        <v>Complete</v>
      </c>
      <c r="I743" t="s">
        <v>311</v>
      </c>
      <c r="J743" t="s">
        <v>1633</v>
      </c>
      <c r="K743" t="s">
        <v>24</v>
      </c>
      <c r="L743">
        <v>103</v>
      </c>
      <c r="M743">
        <v>6</v>
      </c>
      <c r="N743" t="s">
        <v>32</v>
      </c>
      <c r="O743" t="s">
        <v>54</v>
      </c>
      <c r="P743" t="s">
        <v>27</v>
      </c>
      <c r="Q743" t="s">
        <v>51</v>
      </c>
      <c r="R743" s="2">
        <v>0.44444444444444442</v>
      </c>
    </row>
    <row r="744" spans="1:18" x14ac:dyDescent="0.25">
      <c r="A744" t="s">
        <v>2848</v>
      </c>
      <c r="B744" t="s">
        <v>1324</v>
      </c>
      <c r="C744" s="1">
        <v>45177</v>
      </c>
      <c r="D744" s="1" t="str">
        <f>TEXT(Delivery_data[[#This Row],[Order date]], "MMMM")</f>
        <v>September</v>
      </c>
      <c r="E744" s="1" t="str">
        <f>TEXT(Delivery_data[[#This Row],[Order date]], "DDDD")</f>
        <v>Friday</v>
      </c>
      <c r="F744" s="2">
        <v>0.44166666666666665</v>
      </c>
      <c r="G744" t="s">
        <v>48</v>
      </c>
      <c r="H744" t="str">
        <f>IF(Delivery_data[[#This Row],[Order Status]] = "In Progress", "Backlog", "Complete")</f>
        <v>Backlog</v>
      </c>
      <c r="I744" t="s">
        <v>311</v>
      </c>
      <c r="J744" t="s">
        <v>1637</v>
      </c>
      <c r="K744" t="s">
        <v>37</v>
      </c>
      <c r="L744">
        <v>161</v>
      </c>
      <c r="M744">
        <v>3</v>
      </c>
      <c r="N744" t="s">
        <v>32</v>
      </c>
      <c r="O744" t="s">
        <v>50</v>
      </c>
      <c r="P744" t="s">
        <v>45</v>
      </c>
      <c r="Q744" t="s">
        <v>46</v>
      </c>
      <c r="R744" s="2">
        <v>0.69027777777777777</v>
      </c>
    </row>
    <row r="745" spans="1:18" x14ac:dyDescent="0.25">
      <c r="A745" t="s">
        <v>2852</v>
      </c>
      <c r="B745" t="s">
        <v>1328</v>
      </c>
      <c r="C745" s="1">
        <v>45176</v>
      </c>
      <c r="D745" s="1" t="str">
        <f>TEXT(Delivery_data[[#This Row],[Order date]], "MMMM")</f>
        <v>September</v>
      </c>
      <c r="E745" s="1" t="str">
        <f>TEXT(Delivery_data[[#This Row],[Order date]], "DDDD")</f>
        <v>Thursday</v>
      </c>
      <c r="F745" s="2">
        <v>0.59583333333333333</v>
      </c>
      <c r="G745" t="s">
        <v>22</v>
      </c>
      <c r="H745" t="str">
        <f>IF(Delivery_data[[#This Row],[Order Status]] = "In Progress", "Backlog", "Complete")</f>
        <v>Complete</v>
      </c>
      <c r="I745" t="s">
        <v>311</v>
      </c>
      <c r="J745" t="s">
        <v>1637</v>
      </c>
      <c r="K745" t="s">
        <v>37</v>
      </c>
      <c r="L745">
        <v>219</v>
      </c>
      <c r="M745">
        <v>21</v>
      </c>
      <c r="N745" t="s">
        <v>32</v>
      </c>
      <c r="O745" t="s">
        <v>41</v>
      </c>
      <c r="P745" t="s">
        <v>27</v>
      </c>
      <c r="Q745" t="s">
        <v>46</v>
      </c>
      <c r="R745" s="2">
        <v>0.73055555555555551</v>
      </c>
    </row>
    <row r="746" spans="1:18" x14ac:dyDescent="0.25">
      <c r="A746" t="s">
        <v>2864</v>
      </c>
      <c r="B746" t="s">
        <v>1338</v>
      </c>
      <c r="C746" s="1">
        <v>45171</v>
      </c>
      <c r="D746" s="1" t="str">
        <f>TEXT(Delivery_data[[#This Row],[Order date]], "MMMM")</f>
        <v>September</v>
      </c>
      <c r="E746" s="1" t="str">
        <f>TEXT(Delivery_data[[#This Row],[Order date]], "DDDD")</f>
        <v>Saturday</v>
      </c>
      <c r="F746" s="2">
        <v>0.70694444444444449</v>
      </c>
      <c r="G746" t="s">
        <v>22</v>
      </c>
      <c r="H746" t="str">
        <f>IF(Delivery_data[[#This Row],[Order Status]] = "In Progress", "Backlog", "Complete")</f>
        <v>Complete</v>
      </c>
      <c r="I746" t="s">
        <v>311</v>
      </c>
      <c r="J746" t="s">
        <v>1637</v>
      </c>
      <c r="K746" t="s">
        <v>61</v>
      </c>
      <c r="L746">
        <v>140</v>
      </c>
      <c r="M746">
        <v>22</v>
      </c>
      <c r="N746" t="s">
        <v>32</v>
      </c>
      <c r="O746" t="s">
        <v>41</v>
      </c>
      <c r="P746" t="s">
        <v>45</v>
      </c>
      <c r="Q746" t="s">
        <v>46</v>
      </c>
      <c r="R746" s="2">
        <v>0.52083333333333337</v>
      </c>
    </row>
    <row r="747" spans="1:18" x14ac:dyDescent="0.25">
      <c r="A747" t="s">
        <v>3088</v>
      </c>
      <c r="B747" t="s">
        <v>1554</v>
      </c>
      <c r="C747" s="1">
        <v>45175</v>
      </c>
      <c r="D747" s="1" t="str">
        <f>TEXT(Delivery_data[[#This Row],[Order date]], "MMMM")</f>
        <v>September</v>
      </c>
      <c r="E747" s="1" t="str">
        <f>TEXT(Delivery_data[[#This Row],[Order date]], "DDDD")</f>
        <v>Wednesday</v>
      </c>
      <c r="F747" s="2">
        <v>0.54027777777777775</v>
      </c>
      <c r="G747" t="s">
        <v>22</v>
      </c>
      <c r="H747" t="str">
        <f>IF(Delivery_data[[#This Row],[Order Status]] = "In Progress", "Backlog", "Complete")</f>
        <v>Complete</v>
      </c>
      <c r="I747" t="s">
        <v>311</v>
      </c>
      <c r="J747" t="s">
        <v>1631</v>
      </c>
      <c r="K747" t="s">
        <v>31</v>
      </c>
      <c r="L747">
        <v>147</v>
      </c>
      <c r="M747">
        <v>5</v>
      </c>
      <c r="N747" t="s">
        <v>25</v>
      </c>
      <c r="O747" t="s">
        <v>54</v>
      </c>
      <c r="P747" t="s">
        <v>45</v>
      </c>
      <c r="Q747" t="s">
        <v>28</v>
      </c>
      <c r="R747" s="2">
        <v>0.51736111111111116</v>
      </c>
    </row>
    <row r="748" spans="1:18" x14ac:dyDescent="0.25">
      <c r="A748" t="s">
        <v>1715</v>
      </c>
      <c r="B748" t="s">
        <v>183</v>
      </c>
      <c r="C748" s="1">
        <v>45177</v>
      </c>
      <c r="D748" s="1" t="str">
        <f>TEXT(Delivery_data[[#This Row],[Order date]], "MMMM")</f>
        <v>September</v>
      </c>
      <c r="E748" s="1" t="str">
        <f>TEXT(Delivery_data[[#This Row],[Order date]], "DDDD")</f>
        <v>Friday</v>
      </c>
      <c r="F748" s="2">
        <v>0.55625000000000002</v>
      </c>
      <c r="G748" t="s">
        <v>48</v>
      </c>
      <c r="H748" t="str">
        <f>IF(Delivery_data[[#This Row],[Order Status]] = "In Progress", "Backlog", "Complete")</f>
        <v>Backlog</v>
      </c>
      <c r="I748" t="s">
        <v>184</v>
      </c>
      <c r="J748" t="s">
        <v>1637</v>
      </c>
      <c r="K748" t="s">
        <v>31</v>
      </c>
      <c r="L748">
        <v>63</v>
      </c>
      <c r="M748">
        <v>19</v>
      </c>
      <c r="N748" t="s">
        <v>38</v>
      </c>
      <c r="O748" t="s">
        <v>50</v>
      </c>
      <c r="P748" t="s">
        <v>45</v>
      </c>
      <c r="Q748" t="s">
        <v>46</v>
      </c>
      <c r="R748" s="2">
        <v>0.43194444444444446</v>
      </c>
    </row>
    <row r="749" spans="1:18" x14ac:dyDescent="0.25">
      <c r="A749" t="s">
        <v>1789</v>
      </c>
      <c r="B749" t="s">
        <v>280</v>
      </c>
      <c r="C749" s="1">
        <v>45170</v>
      </c>
      <c r="D749" s="1" t="str">
        <f>TEXT(Delivery_data[[#This Row],[Order date]], "MMMM")</f>
        <v>September</v>
      </c>
      <c r="E749" s="1" t="str">
        <f>TEXT(Delivery_data[[#This Row],[Order date]], "DDDD")</f>
        <v>Friday</v>
      </c>
      <c r="F749" s="2">
        <v>0.36875000000000002</v>
      </c>
      <c r="G749" t="s">
        <v>48</v>
      </c>
      <c r="H749" t="str">
        <f>IF(Delivery_data[[#This Row],[Order Status]] = "In Progress", "Backlog", "Complete")</f>
        <v>Backlog</v>
      </c>
      <c r="I749" t="s">
        <v>184</v>
      </c>
      <c r="J749" t="s">
        <v>1637</v>
      </c>
      <c r="K749" t="s">
        <v>37</v>
      </c>
      <c r="L749">
        <v>147</v>
      </c>
      <c r="M749">
        <v>10</v>
      </c>
      <c r="N749" t="s">
        <v>25</v>
      </c>
      <c r="O749" t="s">
        <v>41</v>
      </c>
      <c r="P749" t="s">
        <v>45</v>
      </c>
      <c r="Q749" t="s">
        <v>51</v>
      </c>
      <c r="R749" s="2">
        <v>0.43472222222222223</v>
      </c>
    </row>
    <row r="750" spans="1:18" x14ac:dyDescent="0.25">
      <c r="A750" t="s">
        <v>1922</v>
      </c>
      <c r="B750" t="s">
        <v>425</v>
      </c>
      <c r="C750" s="1">
        <v>45174</v>
      </c>
      <c r="D750" s="1" t="str">
        <f>TEXT(Delivery_data[[#This Row],[Order date]], "MMMM")</f>
        <v>September</v>
      </c>
      <c r="E750" s="1" t="str">
        <f>TEXT(Delivery_data[[#This Row],[Order date]], "DDDD")</f>
        <v>Tuesday</v>
      </c>
      <c r="F750" s="2">
        <v>0.4909722222222222</v>
      </c>
      <c r="G750" t="s">
        <v>22</v>
      </c>
      <c r="H750" t="str">
        <f>IF(Delivery_data[[#This Row],[Order Status]] = "In Progress", "Backlog", "Complete")</f>
        <v>Complete</v>
      </c>
      <c r="I750" t="s">
        <v>184</v>
      </c>
      <c r="J750" t="s">
        <v>1631</v>
      </c>
      <c r="K750" t="s">
        <v>61</v>
      </c>
      <c r="L750">
        <v>193</v>
      </c>
      <c r="M750">
        <v>26</v>
      </c>
      <c r="N750" t="s">
        <v>25</v>
      </c>
      <c r="O750" t="s">
        <v>33</v>
      </c>
      <c r="P750" t="s">
        <v>45</v>
      </c>
      <c r="Q750" t="s">
        <v>28</v>
      </c>
      <c r="R750" s="2">
        <v>0.66249999999999998</v>
      </c>
    </row>
    <row r="751" spans="1:18" x14ac:dyDescent="0.25">
      <c r="A751" t="s">
        <v>2099</v>
      </c>
      <c r="B751" t="s">
        <v>604</v>
      </c>
      <c r="C751" s="1">
        <v>45174</v>
      </c>
      <c r="D751" s="1" t="str">
        <f>TEXT(Delivery_data[[#This Row],[Order date]], "MMMM")</f>
        <v>September</v>
      </c>
      <c r="E751" s="1" t="str">
        <f>TEXT(Delivery_data[[#This Row],[Order date]], "DDDD")</f>
        <v>Tuesday</v>
      </c>
      <c r="F751" s="2">
        <v>0.48749999999999999</v>
      </c>
      <c r="G751" t="s">
        <v>48</v>
      </c>
      <c r="H751" t="str">
        <f>IF(Delivery_data[[#This Row],[Order Status]] = "In Progress", "Backlog", "Complete")</f>
        <v>Backlog</v>
      </c>
      <c r="I751" t="s">
        <v>184</v>
      </c>
      <c r="J751" t="s">
        <v>1637</v>
      </c>
      <c r="K751" t="s">
        <v>24</v>
      </c>
      <c r="L751">
        <v>207</v>
      </c>
      <c r="M751">
        <v>18</v>
      </c>
      <c r="N751" t="s">
        <v>32</v>
      </c>
      <c r="O751" t="s">
        <v>50</v>
      </c>
      <c r="P751" t="s">
        <v>45</v>
      </c>
      <c r="Q751" t="s">
        <v>51</v>
      </c>
      <c r="R751" s="2">
        <v>0.66041666666666665</v>
      </c>
    </row>
    <row r="752" spans="1:18" x14ac:dyDescent="0.25">
      <c r="A752" t="s">
        <v>2148</v>
      </c>
      <c r="B752" t="s">
        <v>651</v>
      </c>
      <c r="C752" s="1">
        <v>45176</v>
      </c>
      <c r="D752" s="1" t="str">
        <f>TEXT(Delivery_data[[#This Row],[Order date]], "MMMM")</f>
        <v>September</v>
      </c>
      <c r="E752" s="1" t="str">
        <f>TEXT(Delivery_data[[#This Row],[Order date]], "DDDD")</f>
        <v>Thursday</v>
      </c>
      <c r="F752" s="2">
        <v>0.33611111111111114</v>
      </c>
      <c r="G752" t="s">
        <v>22</v>
      </c>
      <c r="H752" t="str">
        <f>IF(Delivery_data[[#This Row],[Order Status]] = "In Progress", "Backlog", "Complete")</f>
        <v>Complete</v>
      </c>
      <c r="I752" t="s">
        <v>184</v>
      </c>
      <c r="J752" t="s">
        <v>1631</v>
      </c>
      <c r="K752" t="s">
        <v>61</v>
      </c>
      <c r="L752">
        <v>172</v>
      </c>
      <c r="M752">
        <v>3</v>
      </c>
      <c r="N752" t="s">
        <v>38</v>
      </c>
      <c r="O752" t="s">
        <v>50</v>
      </c>
      <c r="P752" t="s">
        <v>27</v>
      </c>
      <c r="Q752" t="s">
        <v>51</v>
      </c>
      <c r="R752" s="2">
        <v>0.41736111111111113</v>
      </c>
    </row>
    <row r="753" spans="1:18" x14ac:dyDescent="0.25">
      <c r="A753" t="s">
        <v>2214</v>
      </c>
      <c r="B753" t="s">
        <v>715</v>
      </c>
      <c r="C753" s="1">
        <v>45170</v>
      </c>
      <c r="D753" s="1" t="str">
        <f>TEXT(Delivery_data[[#This Row],[Order date]], "MMMM")</f>
        <v>September</v>
      </c>
      <c r="E753" s="1" t="str">
        <f>TEXT(Delivery_data[[#This Row],[Order date]], "DDDD")</f>
        <v>Friday</v>
      </c>
      <c r="F753" s="2">
        <v>0.67222222222222228</v>
      </c>
      <c r="G753" t="s">
        <v>22</v>
      </c>
      <c r="H753" t="str">
        <f>IF(Delivery_data[[#This Row],[Order Status]] = "In Progress", "Backlog", "Complete")</f>
        <v>Complete</v>
      </c>
      <c r="I753" t="s">
        <v>184</v>
      </c>
      <c r="J753" t="s">
        <v>1637</v>
      </c>
      <c r="K753" t="s">
        <v>31</v>
      </c>
      <c r="L753">
        <v>217</v>
      </c>
      <c r="M753">
        <v>12</v>
      </c>
      <c r="N753" t="s">
        <v>25</v>
      </c>
      <c r="O753" t="s">
        <v>26</v>
      </c>
      <c r="P753" t="s">
        <v>27</v>
      </c>
      <c r="Q753" t="s">
        <v>28</v>
      </c>
      <c r="R753" s="2">
        <v>0.48055555555555557</v>
      </c>
    </row>
    <row r="754" spans="1:18" x14ac:dyDescent="0.25">
      <c r="A754" t="s">
        <v>2232</v>
      </c>
      <c r="B754" t="s">
        <v>732</v>
      </c>
      <c r="C754" s="1">
        <v>45175</v>
      </c>
      <c r="D754" s="1" t="str">
        <f>TEXT(Delivery_data[[#This Row],[Order date]], "MMMM")</f>
        <v>September</v>
      </c>
      <c r="E754" s="1" t="str">
        <f>TEXT(Delivery_data[[#This Row],[Order date]], "DDDD")</f>
        <v>Wednesday</v>
      </c>
      <c r="F754" s="2">
        <v>0.36805555555555558</v>
      </c>
      <c r="G754" t="s">
        <v>22</v>
      </c>
      <c r="H754" t="str">
        <f>IF(Delivery_data[[#This Row],[Order Status]] = "In Progress", "Backlog", "Complete")</f>
        <v>Complete</v>
      </c>
      <c r="I754" t="s">
        <v>184</v>
      </c>
      <c r="J754" t="s">
        <v>1631</v>
      </c>
      <c r="K754" t="s">
        <v>61</v>
      </c>
      <c r="L754">
        <v>110</v>
      </c>
      <c r="M754">
        <v>20</v>
      </c>
      <c r="N754" t="s">
        <v>38</v>
      </c>
      <c r="O754" t="s">
        <v>41</v>
      </c>
      <c r="P754" t="s">
        <v>34</v>
      </c>
      <c r="Q754" t="s">
        <v>28</v>
      </c>
      <c r="R754" s="2">
        <v>0.67708333333333337</v>
      </c>
    </row>
    <row r="755" spans="1:18" x14ac:dyDescent="0.25">
      <c r="A755" t="s">
        <v>2338</v>
      </c>
      <c r="B755" t="s">
        <v>836</v>
      </c>
      <c r="C755" s="1">
        <v>45172</v>
      </c>
      <c r="D755" s="1" t="str">
        <f>TEXT(Delivery_data[[#This Row],[Order date]], "MMMM")</f>
        <v>September</v>
      </c>
      <c r="E755" s="1" t="str">
        <f>TEXT(Delivery_data[[#This Row],[Order date]], "DDDD")</f>
        <v>Sunday</v>
      </c>
      <c r="F755" s="2">
        <v>0.6166666666666667</v>
      </c>
      <c r="G755" t="s">
        <v>22</v>
      </c>
      <c r="H755" t="str">
        <f>IF(Delivery_data[[#This Row],[Order Status]] = "In Progress", "Backlog", "Complete")</f>
        <v>Complete</v>
      </c>
      <c r="I755" t="s">
        <v>184</v>
      </c>
      <c r="J755" t="s">
        <v>1637</v>
      </c>
      <c r="K755" t="s">
        <v>44</v>
      </c>
      <c r="L755">
        <v>206</v>
      </c>
      <c r="M755">
        <v>27</v>
      </c>
      <c r="N755" t="s">
        <v>38</v>
      </c>
      <c r="O755" t="s">
        <v>41</v>
      </c>
      <c r="P755" t="s">
        <v>27</v>
      </c>
      <c r="Q755" t="s">
        <v>46</v>
      </c>
      <c r="R755" s="2">
        <v>0.42430555555555555</v>
      </c>
    </row>
    <row r="756" spans="1:18" x14ac:dyDescent="0.25">
      <c r="A756" t="s">
        <v>2537</v>
      </c>
      <c r="B756" t="s">
        <v>1025</v>
      </c>
      <c r="C756" s="1">
        <v>45176</v>
      </c>
      <c r="D756" s="1" t="str">
        <f>TEXT(Delivery_data[[#This Row],[Order date]], "MMMM")</f>
        <v>September</v>
      </c>
      <c r="E756" s="1" t="str">
        <f>TEXT(Delivery_data[[#This Row],[Order date]], "DDDD")</f>
        <v>Thursday</v>
      </c>
      <c r="F756" s="2">
        <v>0.7006944444444444</v>
      </c>
      <c r="G756" t="s">
        <v>22</v>
      </c>
      <c r="H756" t="str">
        <f>IF(Delivery_data[[#This Row],[Order Status]] = "In Progress", "Backlog", "Complete")</f>
        <v>Complete</v>
      </c>
      <c r="I756" t="s">
        <v>184</v>
      </c>
      <c r="J756" t="s">
        <v>1637</v>
      </c>
      <c r="K756" t="s">
        <v>24</v>
      </c>
      <c r="L756">
        <v>108</v>
      </c>
      <c r="M756">
        <v>23</v>
      </c>
      <c r="N756" t="s">
        <v>38</v>
      </c>
      <c r="O756" t="s">
        <v>26</v>
      </c>
      <c r="P756" t="s">
        <v>34</v>
      </c>
      <c r="Q756" t="s">
        <v>51</v>
      </c>
      <c r="R756" s="2">
        <v>0.72083333333333333</v>
      </c>
    </row>
    <row r="757" spans="1:18" x14ac:dyDescent="0.25">
      <c r="A757" t="s">
        <v>2604</v>
      </c>
      <c r="B757" t="s">
        <v>1088</v>
      </c>
      <c r="C757" s="1">
        <v>45172</v>
      </c>
      <c r="D757" s="1" t="str">
        <f>TEXT(Delivery_data[[#This Row],[Order date]], "MMMM")</f>
        <v>September</v>
      </c>
      <c r="E757" s="1" t="str">
        <f>TEXT(Delivery_data[[#This Row],[Order date]], "DDDD")</f>
        <v>Sunday</v>
      </c>
      <c r="F757" s="2">
        <v>0.43541666666666667</v>
      </c>
      <c r="G757" t="s">
        <v>48</v>
      </c>
      <c r="H757" t="str">
        <f>IF(Delivery_data[[#This Row],[Order Status]] = "In Progress", "Backlog", "Complete")</f>
        <v>Backlog</v>
      </c>
      <c r="I757" t="s">
        <v>184</v>
      </c>
      <c r="J757" t="s">
        <v>1633</v>
      </c>
      <c r="K757" t="s">
        <v>37</v>
      </c>
      <c r="L757">
        <v>93</v>
      </c>
      <c r="M757">
        <v>6</v>
      </c>
      <c r="N757" t="s">
        <v>32</v>
      </c>
      <c r="O757" t="s">
        <v>54</v>
      </c>
      <c r="P757" t="s">
        <v>45</v>
      </c>
      <c r="Q757" t="s">
        <v>28</v>
      </c>
      <c r="R757" s="2">
        <v>0.45624999999999999</v>
      </c>
    </row>
    <row r="758" spans="1:18" x14ac:dyDescent="0.25">
      <c r="A758" t="s">
        <v>2649</v>
      </c>
      <c r="B758" t="s">
        <v>1132</v>
      </c>
      <c r="C758" s="1">
        <v>45176</v>
      </c>
      <c r="D758" s="1" t="str">
        <f>TEXT(Delivery_data[[#This Row],[Order date]], "MMMM")</f>
        <v>September</v>
      </c>
      <c r="E758" s="1" t="str">
        <f>TEXT(Delivery_data[[#This Row],[Order date]], "DDDD")</f>
        <v>Thursday</v>
      </c>
      <c r="F758" s="2">
        <v>0.44166666666666665</v>
      </c>
      <c r="G758" t="s">
        <v>48</v>
      </c>
      <c r="H758" t="str">
        <f>IF(Delivery_data[[#This Row],[Order Status]] = "In Progress", "Backlog", "Complete")</f>
        <v>Backlog</v>
      </c>
      <c r="I758" t="s">
        <v>184</v>
      </c>
      <c r="J758" t="s">
        <v>1637</v>
      </c>
      <c r="K758" t="s">
        <v>37</v>
      </c>
      <c r="L758">
        <v>193</v>
      </c>
      <c r="M758">
        <v>27</v>
      </c>
      <c r="N758" t="s">
        <v>32</v>
      </c>
      <c r="O758" t="s">
        <v>54</v>
      </c>
      <c r="P758" t="s">
        <v>27</v>
      </c>
      <c r="Q758" t="s">
        <v>46</v>
      </c>
      <c r="R758" s="2">
        <v>0.68541666666666667</v>
      </c>
    </row>
    <row r="759" spans="1:18" x14ac:dyDescent="0.25">
      <c r="A759" t="s">
        <v>2650</v>
      </c>
      <c r="B759" t="s">
        <v>1133</v>
      </c>
      <c r="C759" s="1">
        <v>45173</v>
      </c>
      <c r="D759" s="1" t="str">
        <f>TEXT(Delivery_data[[#This Row],[Order date]], "MMMM")</f>
        <v>September</v>
      </c>
      <c r="E759" s="1" t="str">
        <f>TEXT(Delivery_data[[#This Row],[Order date]], "DDDD")</f>
        <v>Monday</v>
      </c>
      <c r="F759" s="2">
        <v>0.47222222222222221</v>
      </c>
      <c r="G759" t="s">
        <v>22</v>
      </c>
      <c r="H759" t="str">
        <f>IF(Delivery_data[[#This Row],[Order Status]] = "In Progress", "Backlog", "Complete")</f>
        <v>Complete</v>
      </c>
      <c r="I759" t="s">
        <v>184</v>
      </c>
      <c r="J759" t="s">
        <v>1633</v>
      </c>
      <c r="K759" t="s">
        <v>61</v>
      </c>
      <c r="L759">
        <v>219</v>
      </c>
      <c r="M759">
        <v>14</v>
      </c>
      <c r="N759" t="s">
        <v>25</v>
      </c>
      <c r="O759" t="s">
        <v>54</v>
      </c>
      <c r="P759" t="s">
        <v>34</v>
      </c>
      <c r="Q759" t="s">
        <v>28</v>
      </c>
      <c r="R759" s="2">
        <v>0.70347222222222228</v>
      </c>
    </row>
    <row r="760" spans="1:18" x14ac:dyDescent="0.25">
      <c r="A760" t="s">
        <v>2674</v>
      </c>
      <c r="B760" t="s">
        <v>1157</v>
      </c>
      <c r="C760" s="1">
        <v>45174</v>
      </c>
      <c r="D760" s="1" t="str">
        <f>TEXT(Delivery_data[[#This Row],[Order date]], "MMMM")</f>
        <v>September</v>
      </c>
      <c r="E760" s="1" t="str">
        <f>TEXT(Delivery_data[[#This Row],[Order date]], "DDDD")</f>
        <v>Tuesday</v>
      </c>
      <c r="F760" s="2">
        <v>0.48333333333333334</v>
      </c>
      <c r="G760" t="s">
        <v>22</v>
      </c>
      <c r="H760" t="str">
        <f>IF(Delivery_data[[#This Row],[Order Status]] = "In Progress", "Backlog", "Complete")</f>
        <v>Complete</v>
      </c>
      <c r="I760" t="s">
        <v>184</v>
      </c>
      <c r="J760" t="s">
        <v>1633</v>
      </c>
      <c r="K760" t="s">
        <v>44</v>
      </c>
      <c r="L760">
        <v>238</v>
      </c>
      <c r="M760">
        <v>8</v>
      </c>
      <c r="N760" t="s">
        <v>25</v>
      </c>
      <c r="O760" t="s">
        <v>50</v>
      </c>
      <c r="P760" t="s">
        <v>34</v>
      </c>
      <c r="Q760" t="s">
        <v>51</v>
      </c>
      <c r="R760" s="2">
        <v>0.48333333333333334</v>
      </c>
    </row>
    <row r="761" spans="1:18" x14ac:dyDescent="0.25">
      <c r="A761" t="s">
        <v>2949</v>
      </c>
      <c r="B761" t="s">
        <v>1422</v>
      </c>
      <c r="C761" s="1">
        <v>45170</v>
      </c>
      <c r="D761" s="1" t="str">
        <f>TEXT(Delivery_data[[#This Row],[Order date]], "MMMM")</f>
        <v>September</v>
      </c>
      <c r="E761" s="1" t="str">
        <f>TEXT(Delivery_data[[#This Row],[Order date]], "DDDD")</f>
        <v>Friday</v>
      </c>
      <c r="F761" s="2">
        <v>0.59583333333333333</v>
      </c>
      <c r="G761" t="s">
        <v>48</v>
      </c>
      <c r="H761" t="str">
        <f>IF(Delivery_data[[#This Row],[Order Status]] = "In Progress", "Backlog", "Complete")</f>
        <v>Backlog</v>
      </c>
      <c r="I761" t="s">
        <v>184</v>
      </c>
      <c r="J761" t="s">
        <v>1631</v>
      </c>
      <c r="K761" t="s">
        <v>44</v>
      </c>
      <c r="L761">
        <v>67</v>
      </c>
      <c r="M761">
        <v>26</v>
      </c>
      <c r="N761" t="s">
        <v>25</v>
      </c>
      <c r="O761" t="s">
        <v>50</v>
      </c>
      <c r="P761" t="s">
        <v>27</v>
      </c>
      <c r="Q761" t="s">
        <v>28</v>
      </c>
      <c r="R761" s="2">
        <v>0.49375000000000002</v>
      </c>
    </row>
    <row r="762" spans="1:18" x14ac:dyDescent="0.25">
      <c r="A762" t="s">
        <v>3091</v>
      </c>
      <c r="B762" t="s">
        <v>1557</v>
      </c>
      <c r="C762" s="1">
        <v>45170</v>
      </c>
      <c r="D762" s="1" t="str">
        <f>TEXT(Delivery_data[[#This Row],[Order date]], "MMMM")</f>
        <v>September</v>
      </c>
      <c r="E762" s="1" t="str">
        <f>TEXT(Delivery_data[[#This Row],[Order date]], "DDDD")</f>
        <v>Friday</v>
      </c>
      <c r="F762" s="2">
        <v>0.64513888888888893</v>
      </c>
      <c r="G762" t="s">
        <v>48</v>
      </c>
      <c r="H762" t="str">
        <f>IF(Delivery_data[[#This Row],[Order Status]] = "In Progress", "Backlog", "Complete")</f>
        <v>Backlog</v>
      </c>
      <c r="I762" t="s">
        <v>184</v>
      </c>
      <c r="J762" t="s">
        <v>1633</v>
      </c>
      <c r="K762" t="s">
        <v>31</v>
      </c>
      <c r="L762">
        <v>194</v>
      </c>
      <c r="M762">
        <v>24</v>
      </c>
      <c r="N762" t="s">
        <v>32</v>
      </c>
      <c r="O762" t="s">
        <v>50</v>
      </c>
      <c r="P762" t="s">
        <v>34</v>
      </c>
      <c r="Q762" t="s">
        <v>28</v>
      </c>
      <c r="R762" s="2">
        <v>0.52361111111111114</v>
      </c>
    </row>
    <row r="763" spans="1:18" x14ac:dyDescent="0.25">
      <c r="A763" t="s">
        <v>3119</v>
      </c>
      <c r="B763" t="s">
        <v>1585</v>
      </c>
      <c r="C763" s="1">
        <v>45170</v>
      </c>
      <c r="D763" s="1" t="str">
        <f>TEXT(Delivery_data[[#This Row],[Order date]], "MMMM")</f>
        <v>September</v>
      </c>
      <c r="E763" s="1" t="str">
        <f>TEXT(Delivery_data[[#This Row],[Order date]], "DDDD")</f>
        <v>Friday</v>
      </c>
      <c r="F763" s="2">
        <v>0.49375000000000002</v>
      </c>
      <c r="G763" t="s">
        <v>22</v>
      </c>
      <c r="H763" t="str">
        <f>IF(Delivery_data[[#This Row],[Order Status]] = "In Progress", "Backlog", "Complete")</f>
        <v>Complete</v>
      </c>
      <c r="I763" t="s">
        <v>184</v>
      </c>
      <c r="J763" t="s">
        <v>1631</v>
      </c>
      <c r="K763" t="s">
        <v>61</v>
      </c>
      <c r="L763">
        <v>211</v>
      </c>
      <c r="M763">
        <v>26</v>
      </c>
      <c r="N763" t="s">
        <v>32</v>
      </c>
      <c r="O763" t="s">
        <v>41</v>
      </c>
      <c r="P763" t="s">
        <v>34</v>
      </c>
      <c r="Q763" t="s">
        <v>51</v>
      </c>
      <c r="R763" s="2">
        <v>0.68958333333333333</v>
      </c>
    </row>
    <row r="764" spans="1:18" x14ac:dyDescent="0.25">
      <c r="A764" t="s">
        <v>1642</v>
      </c>
      <c r="B764" t="s">
        <v>59</v>
      </c>
      <c r="C764" s="1">
        <v>45171</v>
      </c>
      <c r="D764" s="1" t="str">
        <f>TEXT(Delivery_data[[#This Row],[Order date]], "MMMM")</f>
        <v>September</v>
      </c>
      <c r="E764" s="1" t="str">
        <f>TEXT(Delivery_data[[#This Row],[Order date]], "DDDD")</f>
        <v>Saturday</v>
      </c>
      <c r="F764" s="2">
        <v>0.36319444444444443</v>
      </c>
      <c r="G764" t="s">
        <v>22</v>
      </c>
      <c r="H764" t="str">
        <f>IF(Delivery_data[[#This Row],[Order Status]] = "In Progress", "Backlog", "Complete")</f>
        <v>Complete</v>
      </c>
      <c r="I764" t="s">
        <v>60</v>
      </c>
      <c r="J764" t="s">
        <v>1637</v>
      </c>
      <c r="K764" t="s">
        <v>61</v>
      </c>
      <c r="L764">
        <v>233</v>
      </c>
      <c r="M764">
        <v>19</v>
      </c>
      <c r="N764" t="s">
        <v>25</v>
      </c>
      <c r="O764" t="s">
        <v>33</v>
      </c>
      <c r="P764" t="s">
        <v>45</v>
      </c>
      <c r="Q764" t="s">
        <v>51</v>
      </c>
      <c r="R764" s="2">
        <v>0.39583333333333331</v>
      </c>
    </row>
    <row r="765" spans="1:18" x14ac:dyDescent="0.25">
      <c r="A765" t="s">
        <v>1656</v>
      </c>
      <c r="B765" t="s">
        <v>86</v>
      </c>
      <c r="C765" s="1">
        <v>45175</v>
      </c>
      <c r="D765" s="1" t="str">
        <f>TEXT(Delivery_data[[#This Row],[Order date]], "MMMM")</f>
        <v>September</v>
      </c>
      <c r="E765" s="1" t="str">
        <f>TEXT(Delivery_data[[#This Row],[Order date]], "DDDD")</f>
        <v>Wednesday</v>
      </c>
      <c r="F765" s="2">
        <v>0.63263888888888886</v>
      </c>
      <c r="G765" t="s">
        <v>22</v>
      </c>
      <c r="H765" t="str">
        <f>IF(Delivery_data[[#This Row],[Order Status]] = "In Progress", "Backlog", "Complete")</f>
        <v>Complete</v>
      </c>
      <c r="I765" t="s">
        <v>60</v>
      </c>
      <c r="J765" t="s">
        <v>1631</v>
      </c>
      <c r="K765" t="s">
        <v>61</v>
      </c>
      <c r="L765">
        <v>78</v>
      </c>
      <c r="M765">
        <v>29</v>
      </c>
      <c r="N765" t="s">
        <v>25</v>
      </c>
      <c r="O765" t="s">
        <v>33</v>
      </c>
      <c r="P765" t="s">
        <v>27</v>
      </c>
      <c r="Q765" t="s">
        <v>28</v>
      </c>
      <c r="R765" s="2">
        <v>0.35486111111111113</v>
      </c>
    </row>
    <row r="766" spans="1:18" x14ac:dyDescent="0.25">
      <c r="A766" t="s">
        <v>1670</v>
      </c>
      <c r="B766" t="s">
        <v>112</v>
      </c>
      <c r="C766" s="1">
        <v>45177</v>
      </c>
      <c r="D766" s="1" t="str">
        <f>TEXT(Delivery_data[[#This Row],[Order date]], "MMMM")</f>
        <v>September</v>
      </c>
      <c r="E766" s="1" t="str">
        <f>TEXT(Delivery_data[[#This Row],[Order date]], "DDDD")</f>
        <v>Friday</v>
      </c>
      <c r="F766" s="2">
        <v>0.4152777777777778</v>
      </c>
      <c r="G766" t="s">
        <v>48</v>
      </c>
      <c r="H766" t="str">
        <f>IF(Delivery_data[[#This Row],[Order Status]] = "In Progress", "Backlog", "Complete")</f>
        <v>Backlog</v>
      </c>
      <c r="I766" t="s">
        <v>60</v>
      </c>
      <c r="J766" t="s">
        <v>1631</v>
      </c>
      <c r="K766" t="s">
        <v>37</v>
      </c>
      <c r="L766">
        <v>95</v>
      </c>
      <c r="M766">
        <v>22</v>
      </c>
      <c r="N766" t="s">
        <v>38</v>
      </c>
      <c r="O766" t="s">
        <v>41</v>
      </c>
      <c r="P766" t="s">
        <v>34</v>
      </c>
      <c r="Q766" t="s">
        <v>28</v>
      </c>
      <c r="R766" s="2">
        <v>0.40416666666666667</v>
      </c>
    </row>
    <row r="767" spans="1:18" x14ac:dyDescent="0.25">
      <c r="A767" t="s">
        <v>1710</v>
      </c>
      <c r="B767" t="s">
        <v>177</v>
      </c>
      <c r="C767" s="1">
        <v>45173</v>
      </c>
      <c r="D767" s="1" t="str">
        <f>TEXT(Delivery_data[[#This Row],[Order date]], "MMMM")</f>
        <v>September</v>
      </c>
      <c r="E767" s="1" t="str">
        <f>TEXT(Delivery_data[[#This Row],[Order date]], "DDDD")</f>
        <v>Monday</v>
      </c>
      <c r="F767" s="2">
        <v>0.56944444444444442</v>
      </c>
      <c r="G767" t="s">
        <v>48</v>
      </c>
      <c r="H767" t="str">
        <f>IF(Delivery_data[[#This Row],[Order Status]] = "In Progress", "Backlog", "Complete")</f>
        <v>Backlog</v>
      </c>
      <c r="I767" t="s">
        <v>60</v>
      </c>
      <c r="J767" t="s">
        <v>1631</v>
      </c>
      <c r="K767" t="s">
        <v>31</v>
      </c>
      <c r="L767">
        <v>232</v>
      </c>
      <c r="M767">
        <v>21</v>
      </c>
      <c r="N767" t="s">
        <v>32</v>
      </c>
      <c r="O767" t="s">
        <v>26</v>
      </c>
      <c r="P767" t="s">
        <v>34</v>
      </c>
      <c r="Q767" t="s">
        <v>51</v>
      </c>
      <c r="R767" s="2">
        <v>0.47499999999999998</v>
      </c>
    </row>
    <row r="768" spans="1:18" x14ac:dyDescent="0.25">
      <c r="A768" t="s">
        <v>1883</v>
      </c>
      <c r="B768" t="s">
        <v>384</v>
      </c>
      <c r="C768" s="1">
        <v>45173</v>
      </c>
      <c r="D768" s="1" t="str">
        <f>TEXT(Delivery_data[[#This Row],[Order date]], "MMMM")</f>
        <v>September</v>
      </c>
      <c r="E768" s="1" t="str">
        <f>TEXT(Delivery_data[[#This Row],[Order date]], "DDDD")</f>
        <v>Monday</v>
      </c>
      <c r="F768" s="2">
        <v>0.6381944444444444</v>
      </c>
      <c r="G768" t="s">
        <v>22</v>
      </c>
      <c r="H768" t="str">
        <f>IF(Delivery_data[[#This Row],[Order Status]] = "In Progress", "Backlog", "Complete")</f>
        <v>Complete</v>
      </c>
      <c r="I768" t="s">
        <v>60</v>
      </c>
      <c r="J768" t="s">
        <v>1631</v>
      </c>
      <c r="K768" t="s">
        <v>31</v>
      </c>
      <c r="L768">
        <v>79</v>
      </c>
      <c r="M768">
        <v>26</v>
      </c>
      <c r="N768" t="s">
        <v>38</v>
      </c>
      <c r="O768" t="s">
        <v>26</v>
      </c>
      <c r="P768" t="s">
        <v>45</v>
      </c>
      <c r="Q768" t="s">
        <v>46</v>
      </c>
      <c r="R768" s="2">
        <v>0.44861111111111113</v>
      </c>
    </row>
    <row r="769" spans="1:18" x14ac:dyDescent="0.25">
      <c r="A769" t="s">
        <v>1944</v>
      </c>
      <c r="B769" t="s">
        <v>448</v>
      </c>
      <c r="C769" s="1">
        <v>45170</v>
      </c>
      <c r="D769" s="1" t="str">
        <f>TEXT(Delivery_data[[#This Row],[Order date]], "MMMM")</f>
        <v>September</v>
      </c>
      <c r="E769" s="1" t="str">
        <f>TEXT(Delivery_data[[#This Row],[Order date]], "DDDD")</f>
        <v>Friday</v>
      </c>
      <c r="F769" s="2">
        <v>0.66597222222222219</v>
      </c>
      <c r="G769" t="s">
        <v>48</v>
      </c>
      <c r="H769" t="str">
        <f>IF(Delivery_data[[#This Row],[Order Status]] = "In Progress", "Backlog", "Complete")</f>
        <v>Backlog</v>
      </c>
      <c r="I769" t="s">
        <v>60</v>
      </c>
      <c r="J769" t="s">
        <v>1637</v>
      </c>
      <c r="K769" t="s">
        <v>24</v>
      </c>
      <c r="L769">
        <v>69</v>
      </c>
      <c r="M769">
        <v>20</v>
      </c>
      <c r="N769" t="s">
        <v>38</v>
      </c>
      <c r="O769" t="s">
        <v>41</v>
      </c>
      <c r="P769" t="s">
        <v>27</v>
      </c>
      <c r="Q769" t="s">
        <v>46</v>
      </c>
      <c r="R769" s="2">
        <v>0.50902777777777775</v>
      </c>
    </row>
    <row r="770" spans="1:18" x14ac:dyDescent="0.25">
      <c r="A770" t="s">
        <v>2001</v>
      </c>
      <c r="B770" t="s">
        <v>506</v>
      </c>
      <c r="C770" s="1">
        <v>45170</v>
      </c>
      <c r="D770" s="1" t="str">
        <f>TEXT(Delivery_data[[#This Row],[Order date]], "MMMM")</f>
        <v>September</v>
      </c>
      <c r="E770" s="1" t="str">
        <f>TEXT(Delivery_data[[#This Row],[Order date]], "DDDD")</f>
        <v>Friday</v>
      </c>
      <c r="F770" s="2">
        <v>0.59722222222222221</v>
      </c>
      <c r="G770" t="s">
        <v>22</v>
      </c>
      <c r="H770" t="str">
        <f>IF(Delivery_data[[#This Row],[Order Status]] = "In Progress", "Backlog", "Complete")</f>
        <v>Complete</v>
      </c>
      <c r="I770" t="s">
        <v>60</v>
      </c>
      <c r="J770" t="s">
        <v>1633</v>
      </c>
      <c r="K770" t="s">
        <v>24</v>
      </c>
      <c r="L770">
        <v>155</v>
      </c>
      <c r="M770">
        <v>2</v>
      </c>
      <c r="N770" t="s">
        <v>38</v>
      </c>
      <c r="O770" t="s">
        <v>33</v>
      </c>
      <c r="P770" t="s">
        <v>45</v>
      </c>
      <c r="Q770" t="s">
        <v>51</v>
      </c>
      <c r="R770" s="2">
        <v>0.56388888888888888</v>
      </c>
    </row>
    <row r="771" spans="1:18" x14ac:dyDescent="0.25">
      <c r="A771" t="s">
        <v>2015</v>
      </c>
      <c r="B771" t="s">
        <v>520</v>
      </c>
      <c r="C771" s="1">
        <v>45176</v>
      </c>
      <c r="D771" s="1" t="str">
        <f>TEXT(Delivery_data[[#This Row],[Order date]], "MMMM")</f>
        <v>September</v>
      </c>
      <c r="E771" s="1" t="str">
        <f>TEXT(Delivery_data[[#This Row],[Order date]], "DDDD")</f>
        <v>Thursday</v>
      </c>
      <c r="F771" s="2">
        <v>0.59444444444444444</v>
      </c>
      <c r="G771" t="s">
        <v>48</v>
      </c>
      <c r="H771" t="str">
        <f>IF(Delivery_data[[#This Row],[Order Status]] = "In Progress", "Backlog", "Complete")</f>
        <v>Backlog</v>
      </c>
      <c r="I771" t="s">
        <v>60</v>
      </c>
      <c r="J771" t="s">
        <v>1631</v>
      </c>
      <c r="K771" t="s">
        <v>24</v>
      </c>
      <c r="L771">
        <v>152</v>
      </c>
      <c r="M771">
        <v>18</v>
      </c>
      <c r="N771" t="s">
        <v>25</v>
      </c>
      <c r="O771" t="s">
        <v>41</v>
      </c>
      <c r="P771" t="s">
        <v>34</v>
      </c>
      <c r="Q771" t="s">
        <v>46</v>
      </c>
      <c r="R771" s="2">
        <v>0.3923611111111111</v>
      </c>
    </row>
    <row r="772" spans="1:18" x14ac:dyDescent="0.25">
      <c r="A772" t="s">
        <v>2065</v>
      </c>
      <c r="B772" t="s">
        <v>570</v>
      </c>
      <c r="C772" s="1">
        <v>45171</v>
      </c>
      <c r="D772" s="1" t="str">
        <f>TEXT(Delivery_data[[#This Row],[Order date]], "MMMM")</f>
        <v>September</v>
      </c>
      <c r="E772" s="1" t="str">
        <f>TEXT(Delivery_data[[#This Row],[Order date]], "DDDD")</f>
        <v>Saturday</v>
      </c>
      <c r="F772" s="2">
        <v>0.53125</v>
      </c>
      <c r="G772" t="s">
        <v>22</v>
      </c>
      <c r="H772" t="str">
        <f>IF(Delivery_data[[#This Row],[Order Status]] = "In Progress", "Backlog", "Complete")</f>
        <v>Complete</v>
      </c>
      <c r="I772" t="s">
        <v>60</v>
      </c>
      <c r="J772" t="s">
        <v>1633</v>
      </c>
      <c r="K772" t="s">
        <v>31</v>
      </c>
      <c r="L772">
        <v>144</v>
      </c>
      <c r="M772">
        <v>2</v>
      </c>
      <c r="N772" t="s">
        <v>38</v>
      </c>
      <c r="O772" t="s">
        <v>50</v>
      </c>
      <c r="P772" t="s">
        <v>45</v>
      </c>
      <c r="Q772" t="s">
        <v>28</v>
      </c>
      <c r="R772" s="2">
        <v>0.44722222222222224</v>
      </c>
    </row>
    <row r="773" spans="1:18" x14ac:dyDescent="0.25">
      <c r="A773" t="s">
        <v>2106</v>
      </c>
      <c r="B773" t="s">
        <v>610</v>
      </c>
      <c r="C773" s="1">
        <v>45173</v>
      </c>
      <c r="D773" s="1" t="str">
        <f>TEXT(Delivery_data[[#This Row],[Order date]], "MMMM")</f>
        <v>September</v>
      </c>
      <c r="E773" s="1" t="str">
        <f>TEXT(Delivery_data[[#This Row],[Order date]], "DDDD")</f>
        <v>Monday</v>
      </c>
      <c r="F773" s="2">
        <v>0.51458333333333328</v>
      </c>
      <c r="G773" t="s">
        <v>48</v>
      </c>
      <c r="H773" t="str">
        <f>IF(Delivery_data[[#This Row],[Order Status]] = "In Progress", "Backlog", "Complete")</f>
        <v>Backlog</v>
      </c>
      <c r="I773" t="s">
        <v>60</v>
      </c>
      <c r="J773" t="s">
        <v>1633</v>
      </c>
      <c r="K773" t="s">
        <v>24</v>
      </c>
      <c r="L773">
        <v>97</v>
      </c>
      <c r="M773">
        <v>23</v>
      </c>
      <c r="N773" t="s">
        <v>38</v>
      </c>
      <c r="O773" t="s">
        <v>50</v>
      </c>
      <c r="P773" t="s">
        <v>45</v>
      </c>
      <c r="Q773" t="s">
        <v>51</v>
      </c>
      <c r="R773" s="2">
        <v>0.56944444444444442</v>
      </c>
    </row>
    <row r="774" spans="1:18" x14ac:dyDescent="0.25">
      <c r="A774" t="s">
        <v>2178</v>
      </c>
      <c r="B774" t="s">
        <v>679</v>
      </c>
      <c r="C774" s="1">
        <v>45170</v>
      </c>
      <c r="D774" s="1" t="str">
        <f>TEXT(Delivery_data[[#This Row],[Order date]], "MMMM")</f>
        <v>September</v>
      </c>
      <c r="E774" s="1" t="str">
        <f>TEXT(Delivery_data[[#This Row],[Order date]], "DDDD")</f>
        <v>Friday</v>
      </c>
      <c r="F774" s="2">
        <v>0.62638888888888888</v>
      </c>
      <c r="G774" t="s">
        <v>48</v>
      </c>
      <c r="H774" t="str">
        <f>IF(Delivery_data[[#This Row],[Order Status]] = "In Progress", "Backlog", "Complete")</f>
        <v>Backlog</v>
      </c>
      <c r="I774" t="s">
        <v>60</v>
      </c>
      <c r="J774" t="s">
        <v>1633</v>
      </c>
      <c r="K774" t="s">
        <v>31</v>
      </c>
      <c r="L774">
        <v>130</v>
      </c>
      <c r="M774">
        <v>3</v>
      </c>
      <c r="N774" t="s">
        <v>25</v>
      </c>
      <c r="O774" t="s">
        <v>26</v>
      </c>
      <c r="P774" t="s">
        <v>45</v>
      </c>
      <c r="Q774" t="s">
        <v>46</v>
      </c>
      <c r="R774" s="2">
        <v>0.67083333333333328</v>
      </c>
    </row>
    <row r="775" spans="1:18" x14ac:dyDescent="0.25">
      <c r="A775" t="s">
        <v>2324</v>
      </c>
      <c r="B775" t="s">
        <v>822</v>
      </c>
      <c r="C775" s="1">
        <v>45175</v>
      </c>
      <c r="D775" s="1" t="str">
        <f>TEXT(Delivery_data[[#This Row],[Order date]], "MMMM")</f>
        <v>September</v>
      </c>
      <c r="E775" s="1" t="str">
        <f>TEXT(Delivery_data[[#This Row],[Order date]], "DDDD")</f>
        <v>Wednesday</v>
      </c>
      <c r="F775" s="2">
        <v>0.41805555555555557</v>
      </c>
      <c r="G775" t="s">
        <v>48</v>
      </c>
      <c r="H775" t="str">
        <f>IF(Delivery_data[[#This Row],[Order Status]] = "In Progress", "Backlog", "Complete")</f>
        <v>Backlog</v>
      </c>
      <c r="I775" t="s">
        <v>60</v>
      </c>
      <c r="J775" t="s">
        <v>1633</v>
      </c>
      <c r="K775" t="s">
        <v>37</v>
      </c>
      <c r="L775">
        <v>114</v>
      </c>
      <c r="M775">
        <v>14</v>
      </c>
      <c r="N775" t="s">
        <v>25</v>
      </c>
      <c r="O775" t="s">
        <v>26</v>
      </c>
      <c r="P775" t="s">
        <v>45</v>
      </c>
      <c r="Q775" t="s">
        <v>51</v>
      </c>
      <c r="R775" s="2">
        <v>0.72013888888888888</v>
      </c>
    </row>
    <row r="776" spans="1:18" x14ac:dyDescent="0.25">
      <c r="A776" t="s">
        <v>2325</v>
      </c>
      <c r="B776" t="s">
        <v>823</v>
      </c>
      <c r="C776" s="1">
        <v>45170</v>
      </c>
      <c r="D776" s="1" t="str">
        <f>TEXT(Delivery_data[[#This Row],[Order date]], "MMMM")</f>
        <v>September</v>
      </c>
      <c r="E776" s="1" t="str">
        <f>TEXT(Delivery_data[[#This Row],[Order date]], "DDDD")</f>
        <v>Friday</v>
      </c>
      <c r="F776" s="2">
        <v>0.58611111111111114</v>
      </c>
      <c r="G776" t="s">
        <v>48</v>
      </c>
      <c r="H776" t="str">
        <f>IF(Delivery_data[[#This Row],[Order Status]] = "In Progress", "Backlog", "Complete")</f>
        <v>Backlog</v>
      </c>
      <c r="I776" t="s">
        <v>60</v>
      </c>
      <c r="J776" t="s">
        <v>1631</v>
      </c>
      <c r="K776" t="s">
        <v>44</v>
      </c>
      <c r="L776">
        <v>199</v>
      </c>
      <c r="M776">
        <v>21</v>
      </c>
      <c r="N776" t="s">
        <v>32</v>
      </c>
      <c r="O776" t="s">
        <v>41</v>
      </c>
      <c r="P776" t="s">
        <v>45</v>
      </c>
      <c r="Q776" t="s">
        <v>28</v>
      </c>
      <c r="R776" s="2">
        <v>0.47708333333333336</v>
      </c>
    </row>
    <row r="777" spans="1:18" x14ac:dyDescent="0.25">
      <c r="A777" t="s">
        <v>2387</v>
      </c>
      <c r="B777" t="s">
        <v>883</v>
      </c>
      <c r="C777" s="1">
        <v>45176</v>
      </c>
      <c r="D777" s="1" t="str">
        <f>TEXT(Delivery_data[[#This Row],[Order date]], "MMMM")</f>
        <v>September</v>
      </c>
      <c r="E777" s="1" t="str">
        <f>TEXT(Delivery_data[[#This Row],[Order date]], "DDDD")</f>
        <v>Thursday</v>
      </c>
      <c r="F777" s="2">
        <v>0.39930555555555558</v>
      </c>
      <c r="G777" t="s">
        <v>48</v>
      </c>
      <c r="H777" t="str">
        <f>IF(Delivery_data[[#This Row],[Order Status]] = "In Progress", "Backlog", "Complete")</f>
        <v>Backlog</v>
      </c>
      <c r="I777" t="s">
        <v>60</v>
      </c>
      <c r="J777" t="s">
        <v>1631</v>
      </c>
      <c r="K777" t="s">
        <v>61</v>
      </c>
      <c r="L777">
        <v>143</v>
      </c>
      <c r="M777">
        <v>11</v>
      </c>
      <c r="N777" t="s">
        <v>38</v>
      </c>
      <c r="O777" t="s">
        <v>33</v>
      </c>
      <c r="P777" t="s">
        <v>34</v>
      </c>
      <c r="Q777" t="s">
        <v>51</v>
      </c>
      <c r="R777" s="2">
        <v>0.55763888888888891</v>
      </c>
    </row>
    <row r="778" spans="1:18" x14ac:dyDescent="0.25">
      <c r="A778" t="s">
        <v>2432</v>
      </c>
      <c r="B778" t="s">
        <v>925</v>
      </c>
      <c r="C778" s="1">
        <v>45175</v>
      </c>
      <c r="D778" s="1" t="str">
        <f>TEXT(Delivery_data[[#This Row],[Order date]], "MMMM")</f>
        <v>September</v>
      </c>
      <c r="E778" s="1" t="str">
        <f>TEXT(Delivery_data[[#This Row],[Order date]], "DDDD")</f>
        <v>Wednesday</v>
      </c>
      <c r="F778" s="2">
        <v>0.55902777777777779</v>
      </c>
      <c r="G778" t="s">
        <v>48</v>
      </c>
      <c r="H778" t="str">
        <f>IF(Delivery_data[[#This Row],[Order Status]] = "In Progress", "Backlog", "Complete")</f>
        <v>Backlog</v>
      </c>
      <c r="I778" t="s">
        <v>60</v>
      </c>
      <c r="J778" t="s">
        <v>1633</v>
      </c>
      <c r="K778" t="s">
        <v>31</v>
      </c>
      <c r="L778">
        <v>87</v>
      </c>
      <c r="M778">
        <v>14</v>
      </c>
      <c r="N778" t="s">
        <v>32</v>
      </c>
      <c r="O778" t="s">
        <v>33</v>
      </c>
      <c r="P778" t="s">
        <v>34</v>
      </c>
      <c r="Q778" t="s">
        <v>51</v>
      </c>
      <c r="R778" s="2">
        <v>0.69236111111111109</v>
      </c>
    </row>
    <row r="779" spans="1:18" x14ac:dyDescent="0.25">
      <c r="A779" t="s">
        <v>2514</v>
      </c>
      <c r="B779" t="s">
        <v>1003</v>
      </c>
      <c r="C779" s="1">
        <v>45177</v>
      </c>
      <c r="D779" s="1" t="str">
        <f>TEXT(Delivery_data[[#This Row],[Order date]], "MMMM")</f>
        <v>September</v>
      </c>
      <c r="E779" s="1" t="str">
        <f>TEXT(Delivery_data[[#This Row],[Order date]], "DDDD")</f>
        <v>Friday</v>
      </c>
      <c r="F779" s="2">
        <v>0.49791666666666667</v>
      </c>
      <c r="G779" t="s">
        <v>48</v>
      </c>
      <c r="H779" t="str">
        <f>IF(Delivery_data[[#This Row],[Order Status]] = "In Progress", "Backlog", "Complete")</f>
        <v>Backlog</v>
      </c>
      <c r="I779" t="s">
        <v>60</v>
      </c>
      <c r="J779" t="s">
        <v>1631</v>
      </c>
      <c r="K779" t="s">
        <v>24</v>
      </c>
      <c r="L779">
        <v>228</v>
      </c>
      <c r="M779">
        <v>13</v>
      </c>
      <c r="N779" t="s">
        <v>25</v>
      </c>
      <c r="O779" t="s">
        <v>26</v>
      </c>
      <c r="P779" t="s">
        <v>34</v>
      </c>
      <c r="Q779" t="s">
        <v>46</v>
      </c>
      <c r="R779" s="2">
        <v>0.67222222222222228</v>
      </c>
    </row>
    <row r="780" spans="1:18" x14ac:dyDescent="0.25">
      <c r="A780" t="s">
        <v>2544</v>
      </c>
      <c r="B780" t="s">
        <v>1030</v>
      </c>
      <c r="C780" s="1">
        <v>45173</v>
      </c>
      <c r="D780" s="1" t="str">
        <f>TEXT(Delivery_data[[#This Row],[Order date]], "MMMM")</f>
        <v>September</v>
      </c>
      <c r="E780" s="1" t="str">
        <f>TEXT(Delivery_data[[#This Row],[Order date]], "DDDD")</f>
        <v>Monday</v>
      </c>
      <c r="F780" s="2">
        <v>0.63472222222222219</v>
      </c>
      <c r="G780" t="s">
        <v>22</v>
      </c>
      <c r="H780" t="str">
        <f>IF(Delivery_data[[#This Row],[Order Status]] = "In Progress", "Backlog", "Complete")</f>
        <v>Complete</v>
      </c>
      <c r="I780" t="s">
        <v>60</v>
      </c>
      <c r="J780" t="s">
        <v>1631</v>
      </c>
      <c r="K780" t="s">
        <v>44</v>
      </c>
      <c r="L780">
        <v>85</v>
      </c>
      <c r="M780">
        <v>2</v>
      </c>
      <c r="N780" t="s">
        <v>25</v>
      </c>
      <c r="O780" t="s">
        <v>50</v>
      </c>
      <c r="P780" t="s">
        <v>45</v>
      </c>
      <c r="Q780" t="s">
        <v>28</v>
      </c>
      <c r="R780" s="2">
        <v>0.42083333333333334</v>
      </c>
    </row>
    <row r="781" spans="1:18" x14ac:dyDescent="0.25">
      <c r="A781" t="s">
        <v>2563</v>
      </c>
      <c r="B781" t="s">
        <v>1048</v>
      </c>
      <c r="C781" s="1">
        <v>45174</v>
      </c>
      <c r="D781" s="1" t="str">
        <f>TEXT(Delivery_data[[#This Row],[Order date]], "MMMM")</f>
        <v>September</v>
      </c>
      <c r="E781" s="1" t="str">
        <f>TEXT(Delivery_data[[#This Row],[Order date]], "DDDD")</f>
        <v>Tuesday</v>
      </c>
      <c r="F781" s="2">
        <v>0.62430555555555556</v>
      </c>
      <c r="G781" t="s">
        <v>22</v>
      </c>
      <c r="H781" t="str">
        <f>IF(Delivery_data[[#This Row],[Order Status]] = "In Progress", "Backlog", "Complete")</f>
        <v>Complete</v>
      </c>
      <c r="I781" t="s">
        <v>60</v>
      </c>
      <c r="J781" t="s">
        <v>1633</v>
      </c>
      <c r="K781" t="s">
        <v>24</v>
      </c>
      <c r="L781">
        <v>196</v>
      </c>
      <c r="M781">
        <v>5</v>
      </c>
      <c r="N781" t="s">
        <v>38</v>
      </c>
      <c r="O781" t="s">
        <v>50</v>
      </c>
      <c r="P781" t="s">
        <v>34</v>
      </c>
      <c r="Q781" t="s">
        <v>46</v>
      </c>
      <c r="R781" s="2">
        <v>0.61388888888888893</v>
      </c>
    </row>
    <row r="782" spans="1:18" x14ac:dyDescent="0.25">
      <c r="A782" t="s">
        <v>2889</v>
      </c>
      <c r="B782" t="s">
        <v>1362</v>
      </c>
      <c r="C782" s="1">
        <v>45177</v>
      </c>
      <c r="D782" s="1" t="str">
        <f>TEXT(Delivery_data[[#This Row],[Order date]], "MMMM")</f>
        <v>September</v>
      </c>
      <c r="E782" s="1" t="str">
        <f>TEXT(Delivery_data[[#This Row],[Order date]], "DDDD")</f>
        <v>Friday</v>
      </c>
      <c r="F782" s="2">
        <v>0.46736111111111112</v>
      </c>
      <c r="G782" t="s">
        <v>22</v>
      </c>
      <c r="H782" t="str">
        <f>IF(Delivery_data[[#This Row],[Order Status]] = "In Progress", "Backlog", "Complete")</f>
        <v>Complete</v>
      </c>
      <c r="I782" t="s">
        <v>60</v>
      </c>
      <c r="J782" t="s">
        <v>1637</v>
      </c>
      <c r="K782" t="s">
        <v>37</v>
      </c>
      <c r="L782">
        <v>181</v>
      </c>
      <c r="M782">
        <v>8</v>
      </c>
      <c r="N782" t="s">
        <v>25</v>
      </c>
      <c r="O782" t="s">
        <v>41</v>
      </c>
      <c r="P782" t="s">
        <v>27</v>
      </c>
      <c r="Q782" t="s">
        <v>46</v>
      </c>
      <c r="R782" s="2">
        <v>0.47916666666666669</v>
      </c>
    </row>
    <row r="783" spans="1:18" x14ac:dyDescent="0.25">
      <c r="A783" t="s">
        <v>1638</v>
      </c>
      <c r="B783" t="s">
        <v>47</v>
      </c>
      <c r="C783" s="1">
        <v>45170</v>
      </c>
      <c r="D783" s="1" t="str">
        <f>TEXT(Delivery_data[[#This Row],[Order date]], "MMMM")</f>
        <v>September</v>
      </c>
      <c r="E783" s="1" t="str">
        <f>TEXT(Delivery_data[[#This Row],[Order date]], "DDDD")</f>
        <v>Friday</v>
      </c>
      <c r="F783" s="2">
        <v>0.53888888888888886</v>
      </c>
      <c r="G783" t="s">
        <v>48</v>
      </c>
      <c r="H783" t="str">
        <f>IF(Delivery_data[[#This Row],[Order Status]] = "In Progress", "Backlog", "Complete")</f>
        <v>Backlog</v>
      </c>
      <c r="I783" t="s">
        <v>49</v>
      </c>
      <c r="J783" t="s">
        <v>1631</v>
      </c>
      <c r="K783" t="s">
        <v>24</v>
      </c>
      <c r="L783">
        <v>153</v>
      </c>
      <c r="M783">
        <v>22</v>
      </c>
      <c r="N783" t="s">
        <v>25</v>
      </c>
      <c r="O783" t="s">
        <v>50</v>
      </c>
      <c r="P783" t="s">
        <v>45</v>
      </c>
      <c r="Q783" t="s">
        <v>51</v>
      </c>
      <c r="R783" s="2">
        <v>0.50486111111111109</v>
      </c>
    </row>
    <row r="784" spans="1:18" x14ac:dyDescent="0.25">
      <c r="A784" t="s">
        <v>1688</v>
      </c>
      <c r="B784" t="s">
        <v>142</v>
      </c>
      <c r="C784" s="1">
        <v>45176</v>
      </c>
      <c r="D784" s="1" t="str">
        <f>TEXT(Delivery_data[[#This Row],[Order date]], "MMMM")</f>
        <v>September</v>
      </c>
      <c r="E784" s="1" t="str">
        <f>TEXT(Delivery_data[[#This Row],[Order date]], "DDDD")</f>
        <v>Thursday</v>
      </c>
      <c r="F784" s="2">
        <v>0.43680555555555556</v>
      </c>
      <c r="G784" t="s">
        <v>48</v>
      </c>
      <c r="H784" t="str">
        <f>IF(Delivery_data[[#This Row],[Order Status]] = "In Progress", "Backlog", "Complete")</f>
        <v>Backlog</v>
      </c>
      <c r="I784" t="s">
        <v>49</v>
      </c>
      <c r="J784" t="s">
        <v>1631</v>
      </c>
      <c r="K784" t="s">
        <v>61</v>
      </c>
      <c r="L784">
        <v>235</v>
      </c>
      <c r="M784">
        <v>23</v>
      </c>
      <c r="N784" t="s">
        <v>38</v>
      </c>
      <c r="O784" t="s">
        <v>26</v>
      </c>
      <c r="P784" t="s">
        <v>34</v>
      </c>
      <c r="Q784" t="s">
        <v>51</v>
      </c>
      <c r="R784" s="2">
        <v>0.3611111111111111</v>
      </c>
    </row>
    <row r="785" spans="1:18" x14ac:dyDescent="0.25">
      <c r="A785" t="s">
        <v>1713</v>
      </c>
      <c r="B785" t="s">
        <v>180</v>
      </c>
      <c r="C785" s="1">
        <v>45175</v>
      </c>
      <c r="D785" s="1" t="str">
        <f>TEXT(Delivery_data[[#This Row],[Order date]], "MMMM")</f>
        <v>September</v>
      </c>
      <c r="E785" s="1" t="str">
        <f>TEXT(Delivery_data[[#This Row],[Order date]], "DDDD")</f>
        <v>Wednesday</v>
      </c>
      <c r="F785" s="2">
        <v>0.57986111111111116</v>
      </c>
      <c r="G785" t="s">
        <v>48</v>
      </c>
      <c r="H785" t="str">
        <f>IF(Delivery_data[[#This Row],[Order Status]] = "In Progress", "Backlog", "Complete")</f>
        <v>Backlog</v>
      </c>
      <c r="I785" t="s">
        <v>49</v>
      </c>
      <c r="J785" t="s">
        <v>1631</v>
      </c>
      <c r="K785" t="s">
        <v>37</v>
      </c>
      <c r="L785">
        <v>157</v>
      </c>
      <c r="M785">
        <v>4</v>
      </c>
      <c r="N785" t="s">
        <v>38</v>
      </c>
      <c r="O785" t="s">
        <v>33</v>
      </c>
      <c r="P785" t="s">
        <v>45</v>
      </c>
      <c r="Q785" t="s">
        <v>51</v>
      </c>
      <c r="R785" s="2">
        <v>0.58819444444444446</v>
      </c>
    </row>
    <row r="786" spans="1:18" x14ac:dyDescent="0.25">
      <c r="A786" t="s">
        <v>1808</v>
      </c>
      <c r="B786" t="s">
        <v>303</v>
      </c>
      <c r="C786" s="1">
        <v>45177</v>
      </c>
      <c r="D786" s="1" t="str">
        <f>TEXT(Delivery_data[[#This Row],[Order date]], "MMMM")</f>
        <v>September</v>
      </c>
      <c r="E786" s="1" t="str">
        <f>TEXT(Delivery_data[[#This Row],[Order date]], "DDDD")</f>
        <v>Friday</v>
      </c>
      <c r="F786" s="2">
        <v>0.41319444444444442</v>
      </c>
      <c r="G786" t="s">
        <v>22</v>
      </c>
      <c r="H786" t="str">
        <f>IF(Delivery_data[[#This Row],[Order Status]] = "In Progress", "Backlog", "Complete")</f>
        <v>Complete</v>
      </c>
      <c r="I786" t="s">
        <v>49</v>
      </c>
      <c r="J786" t="s">
        <v>1633</v>
      </c>
      <c r="K786" t="s">
        <v>24</v>
      </c>
      <c r="L786">
        <v>172</v>
      </c>
      <c r="M786">
        <v>12</v>
      </c>
      <c r="N786" t="s">
        <v>38</v>
      </c>
      <c r="O786" t="s">
        <v>50</v>
      </c>
      <c r="P786" t="s">
        <v>34</v>
      </c>
      <c r="Q786" t="s">
        <v>46</v>
      </c>
      <c r="R786" s="2">
        <v>0.59027777777777779</v>
      </c>
    </row>
    <row r="787" spans="1:18" x14ac:dyDescent="0.25">
      <c r="A787" t="s">
        <v>1901</v>
      </c>
      <c r="B787" t="s">
        <v>402</v>
      </c>
      <c r="C787" s="1">
        <v>45171</v>
      </c>
      <c r="D787" s="1" t="str">
        <f>TEXT(Delivery_data[[#This Row],[Order date]], "MMMM")</f>
        <v>September</v>
      </c>
      <c r="E787" s="1" t="str">
        <f>TEXT(Delivery_data[[#This Row],[Order date]], "DDDD")</f>
        <v>Saturday</v>
      </c>
      <c r="F787" s="2">
        <v>0.40972222222222221</v>
      </c>
      <c r="G787" t="s">
        <v>48</v>
      </c>
      <c r="H787" t="str">
        <f>IF(Delivery_data[[#This Row],[Order Status]] = "In Progress", "Backlog", "Complete")</f>
        <v>Backlog</v>
      </c>
      <c r="I787" t="s">
        <v>49</v>
      </c>
      <c r="J787" t="s">
        <v>1637</v>
      </c>
      <c r="K787" t="s">
        <v>44</v>
      </c>
      <c r="L787">
        <v>237</v>
      </c>
      <c r="M787">
        <v>20</v>
      </c>
      <c r="N787" t="s">
        <v>25</v>
      </c>
      <c r="O787" t="s">
        <v>41</v>
      </c>
      <c r="P787" t="s">
        <v>45</v>
      </c>
      <c r="Q787" t="s">
        <v>46</v>
      </c>
      <c r="R787" s="2">
        <v>0.66388888888888886</v>
      </c>
    </row>
    <row r="788" spans="1:18" x14ac:dyDescent="0.25">
      <c r="A788" t="s">
        <v>1937</v>
      </c>
      <c r="B788" t="s">
        <v>440</v>
      </c>
      <c r="C788" s="1">
        <v>45171</v>
      </c>
      <c r="D788" s="1" t="str">
        <f>TEXT(Delivery_data[[#This Row],[Order date]], "MMMM")</f>
        <v>September</v>
      </c>
      <c r="E788" s="1" t="str">
        <f>TEXT(Delivery_data[[#This Row],[Order date]], "DDDD")</f>
        <v>Saturday</v>
      </c>
      <c r="F788" s="2">
        <v>0.66736111111111107</v>
      </c>
      <c r="G788" t="s">
        <v>48</v>
      </c>
      <c r="H788" t="str">
        <f>IF(Delivery_data[[#This Row],[Order Status]] = "In Progress", "Backlog", "Complete")</f>
        <v>Backlog</v>
      </c>
      <c r="I788" t="s">
        <v>49</v>
      </c>
      <c r="J788" t="s">
        <v>1631</v>
      </c>
      <c r="K788" t="s">
        <v>61</v>
      </c>
      <c r="L788">
        <v>200</v>
      </c>
      <c r="M788">
        <v>2</v>
      </c>
      <c r="N788" t="s">
        <v>32</v>
      </c>
      <c r="O788" t="s">
        <v>33</v>
      </c>
      <c r="P788" t="s">
        <v>45</v>
      </c>
      <c r="Q788" t="s">
        <v>28</v>
      </c>
      <c r="R788" s="2">
        <v>0.50902777777777775</v>
      </c>
    </row>
    <row r="789" spans="1:18" x14ac:dyDescent="0.25">
      <c r="A789" t="s">
        <v>2056</v>
      </c>
      <c r="B789" t="s">
        <v>561</v>
      </c>
      <c r="C789" s="1">
        <v>45176</v>
      </c>
      <c r="D789" s="1" t="str">
        <f>TEXT(Delivery_data[[#This Row],[Order date]], "MMMM")</f>
        <v>September</v>
      </c>
      <c r="E789" s="1" t="str">
        <f>TEXT(Delivery_data[[#This Row],[Order date]], "DDDD")</f>
        <v>Thursday</v>
      </c>
      <c r="F789" s="2">
        <v>0.36388888888888887</v>
      </c>
      <c r="G789" t="s">
        <v>22</v>
      </c>
      <c r="H789" t="str">
        <f>IF(Delivery_data[[#This Row],[Order Status]] = "In Progress", "Backlog", "Complete")</f>
        <v>Complete</v>
      </c>
      <c r="I789" t="s">
        <v>49</v>
      </c>
      <c r="J789" t="s">
        <v>1631</v>
      </c>
      <c r="K789" t="s">
        <v>61</v>
      </c>
      <c r="L789">
        <v>69</v>
      </c>
      <c r="M789">
        <v>8</v>
      </c>
      <c r="N789" t="s">
        <v>38</v>
      </c>
      <c r="O789" t="s">
        <v>41</v>
      </c>
      <c r="P789" t="s">
        <v>45</v>
      </c>
      <c r="Q789" t="s">
        <v>28</v>
      </c>
      <c r="R789" s="2">
        <v>0.71805555555555556</v>
      </c>
    </row>
    <row r="790" spans="1:18" x14ac:dyDescent="0.25">
      <c r="A790" t="s">
        <v>2113</v>
      </c>
      <c r="B790" t="s">
        <v>617</v>
      </c>
      <c r="C790" s="1">
        <v>45177</v>
      </c>
      <c r="D790" s="1" t="str">
        <f>TEXT(Delivery_data[[#This Row],[Order date]], "MMMM")</f>
        <v>September</v>
      </c>
      <c r="E790" s="1" t="str">
        <f>TEXT(Delivery_data[[#This Row],[Order date]], "DDDD")</f>
        <v>Friday</v>
      </c>
      <c r="F790" s="2">
        <v>0.60277777777777775</v>
      </c>
      <c r="G790" t="s">
        <v>48</v>
      </c>
      <c r="H790" t="str">
        <f>IF(Delivery_data[[#This Row],[Order Status]] = "In Progress", "Backlog", "Complete")</f>
        <v>Backlog</v>
      </c>
      <c r="I790" t="s">
        <v>49</v>
      </c>
      <c r="J790" t="s">
        <v>1631</v>
      </c>
      <c r="K790" t="s">
        <v>61</v>
      </c>
      <c r="L790">
        <v>128</v>
      </c>
      <c r="M790">
        <v>13</v>
      </c>
      <c r="N790" t="s">
        <v>38</v>
      </c>
      <c r="O790" t="s">
        <v>50</v>
      </c>
      <c r="P790" t="s">
        <v>34</v>
      </c>
      <c r="Q790" t="s">
        <v>46</v>
      </c>
      <c r="R790" s="2">
        <v>0.63263888888888886</v>
      </c>
    </row>
    <row r="791" spans="1:18" x14ac:dyDescent="0.25">
      <c r="A791" t="s">
        <v>2410</v>
      </c>
      <c r="B791" t="s">
        <v>904</v>
      </c>
      <c r="C791" s="1">
        <v>45172</v>
      </c>
      <c r="D791" s="1" t="str">
        <f>TEXT(Delivery_data[[#This Row],[Order date]], "MMMM")</f>
        <v>September</v>
      </c>
      <c r="E791" s="1" t="str">
        <f>TEXT(Delivery_data[[#This Row],[Order date]], "DDDD")</f>
        <v>Sunday</v>
      </c>
      <c r="F791" s="2">
        <v>0.4597222222222222</v>
      </c>
      <c r="G791" t="s">
        <v>22</v>
      </c>
      <c r="H791" t="str">
        <f>IF(Delivery_data[[#This Row],[Order Status]] = "In Progress", "Backlog", "Complete")</f>
        <v>Complete</v>
      </c>
      <c r="I791" t="s">
        <v>49</v>
      </c>
      <c r="J791" t="s">
        <v>1631</v>
      </c>
      <c r="K791" t="s">
        <v>24</v>
      </c>
      <c r="L791">
        <v>143</v>
      </c>
      <c r="M791">
        <v>4</v>
      </c>
      <c r="N791" t="s">
        <v>32</v>
      </c>
      <c r="O791" t="s">
        <v>26</v>
      </c>
      <c r="P791" t="s">
        <v>34</v>
      </c>
      <c r="Q791" t="s">
        <v>51</v>
      </c>
      <c r="R791" s="2">
        <v>0.43263888888888891</v>
      </c>
    </row>
    <row r="792" spans="1:18" x14ac:dyDescent="0.25">
      <c r="A792" t="s">
        <v>2485</v>
      </c>
      <c r="B792" t="s">
        <v>452</v>
      </c>
      <c r="C792" s="1">
        <v>45174</v>
      </c>
      <c r="D792" s="1" t="str">
        <f>TEXT(Delivery_data[[#This Row],[Order date]], "MMMM")</f>
        <v>September</v>
      </c>
      <c r="E792" s="1" t="str">
        <f>TEXT(Delivery_data[[#This Row],[Order date]], "DDDD")</f>
        <v>Tuesday</v>
      </c>
      <c r="F792" s="2">
        <v>0.60069444444444442</v>
      </c>
      <c r="G792" t="s">
        <v>22</v>
      </c>
      <c r="H792" t="str">
        <f>IF(Delivery_data[[#This Row],[Order Status]] = "In Progress", "Backlog", "Complete")</f>
        <v>Complete</v>
      </c>
      <c r="I792" t="s">
        <v>49</v>
      </c>
      <c r="J792" t="s">
        <v>1631</v>
      </c>
      <c r="K792" t="s">
        <v>31</v>
      </c>
      <c r="L792">
        <v>111</v>
      </c>
      <c r="M792">
        <v>4</v>
      </c>
      <c r="N792" t="s">
        <v>38</v>
      </c>
      <c r="O792" t="s">
        <v>26</v>
      </c>
      <c r="P792" t="s">
        <v>27</v>
      </c>
      <c r="Q792" t="s">
        <v>46</v>
      </c>
      <c r="R792" s="2">
        <v>0.49444444444444446</v>
      </c>
    </row>
    <row r="793" spans="1:18" x14ac:dyDescent="0.25">
      <c r="A793" t="s">
        <v>2511</v>
      </c>
      <c r="B793" t="s">
        <v>1000</v>
      </c>
      <c r="C793" s="1">
        <v>45172</v>
      </c>
      <c r="D793" s="1" t="str">
        <f>TEXT(Delivery_data[[#This Row],[Order date]], "MMMM")</f>
        <v>September</v>
      </c>
      <c r="E793" s="1" t="str">
        <f>TEXT(Delivery_data[[#This Row],[Order date]], "DDDD")</f>
        <v>Sunday</v>
      </c>
      <c r="F793" s="2">
        <v>0.48680555555555555</v>
      </c>
      <c r="G793" t="s">
        <v>22</v>
      </c>
      <c r="H793" t="str">
        <f>IF(Delivery_data[[#This Row],[Order Status]] = "In Progress", "Backlog", "Complete")</f>
        <v>Complete</v>
      </c>
      <c r="I793" t="s">
        <v>49</v>
      </c>
      <c r="J793" t="s">
        <v>1631</v>
      </c>
      <c r="K793" t="s">
        <v>24</v>
      </c>
      <c r="L793">
        <v>176</v>
      </c>
      <c r="M793">
        <v>28</v>
      </c>
      <c r="N793" t="s">
        <v>38</v>
      </c>
      <c r="O793" t="s">
        <v>50</v>
      </c>
      <c r="P793" t="s">
        <v>34</v>
      </c>
      <c r="Q793" t="s">
        <v>46</v>
      </c>
      <c r="R793" s="2">
        <v>0.50277777777777777</v>
      </c>
    </row>
    <row r="794" spans="1:18" x14ac:dyDescent="0.25">
      <c r="A794" t="s">
        <v>2532</v>
      </c>
      <c r="B794" t="s">
        <v>1020</v>
      </c>
      <c r="C794" s="1">
        <v>45171</v>
      </c>
      <c r="D794" s="1" t="str">
        <f>TEXT(Delivery_data[[#This Row],[Order date]], "MMMM")</f>
        <v>September</v>
      </c>
      <c r="E794" s="1" t="str">
        <f>TEXT(Delivery_data[[#This Row],[Order date]], "DDDD")</f>
        <v>Saturday</v>
      </c>
      <c r="F794" s="2">
        <v>0.70208333333333328</v>
      </c>
      <c r="G794" t="s">
        <v>22</v>
      </c>
      <c r="H794" t="str">
        <f>IF(Delivery_data[[#This Row],[Order Status]] = "In Progress", "Backlog", "Complete")</f>
        <v>Complete</v>
      </c>
      <c r="I794" t="s">
        <v>49</v>
      </c>
      <c r="J794" t="s">
        <v>1633</v>
      </c>
      <c r="K794" t="s">
        <v>61</v>
      </c>
      <c r="L794">
        <v>226</v>
      </c>
      <c r="M794">
        <v>12</v>
      </c>
      <c r="N794" t="s">
        <v>25</v>
      </c>
      <c r="O794" t="s">
        <v>41</v>
      </c>
      <c r="P794" t="s">
        <v>34</v>
      </c>
      <c r="Q794" t="s">
        <v>46</v>
      </c>
      <c r="R794" s="2">
        <v>0.53333333333333333</v>
      </c>
    </row>
    <row r="795" spans="1:18" x14ac:dyDescent="0.25">
      <c r="A795" t="s">
        <v>2581</v>
      </c>
      <c r="B795" t="s">
        <v>1065</v>
      </c>
      <c r="C795" s="1">
        <v>45173</v>
      </c>
      <c r="D795" s="1" t="str">
        <f>TEXT(Delivery_data[[#This Row],[Order date]], "MMMM")</f>
        <v>September</v>
      </c>
      <c r="E795" s="1" t="str">
        <f>TEXT(Delivery_data[[#This Row],[Order date]], "DDDD")</f>
        <v>Monday</v>
      </c>
      <c r="F795" s="2">
        <v>0.50416666666666665</v>
      </c>
      <c r="G795" t="s">
        <v>48</v>
      </c>
      <c r="H795" t="str">
        <f>IF(Delivery_data[[#This Row],[Order Status]] = "In Progress", "Backlog", "Complete")</f>
        <v>Backlog</v>
      </c>
      <c r="I795" t="s">
        <v>49</v>
      </c>
      <c r="J795" t="s">
        <v>1631</v>
      </c>
      <c r="K795" t="s">
        <v>24</v>
      </c>
      <c r="L795">
        <v>233</v>
      </c>
      <c r="M795">
        <v>24</v>
      </c>
      <c r="N795" t="s">
        <v>32</v>
      </c>
      <c r="O795" t="s">
        <v>50</v>
      </c>
      <c r="P795" t="s">
        <v>45</v>
      </c>
      <c r="Q795" t="s">
        <v>28</v>
      </c>
      <c r="R795" s="2">
        <v>0.36944444444444446</v>
      </c>
    </row>
    <row r="796" spans="1:18" x14ac:dyDescent="0.25">
      <c r="A796" t="s">
        <v>2646</v>
      </c>
      <c r="B796" t="s">
        <v>1129</v>
      </c>
      <c r="C796" s="1">
        <v>45176</v>
      </c>
      <c r="D796" s="1" t="str">
        <f>TEXT(Delivery_data[[#This Row],[Order date]], "MMMM")</f>
        <v>September</v>
      </c>
      <c r="E796" s="1" t="str">
        <f>TEXT(Delivery_data[[#This Row],[Order date]], "DDDD")</f>
        <v>Thursday</v>
      </c>
      <c r="F796" s="2">
        <v>0.52500000000000002</v>
      </c>
      <c r="G796" t="s">
        <v>48</v>
      </c>
      <c r="H796" t="str">
        <f>IF(Delivery_data[[#This Row],[Order Status]] = "In Progress", "Backlog", "Complete")</f>
        <v>Backlog</v>
      </c>
      <c r="I796" t="s">
        <v>49</v>
      </c>
      <c r="J796" t="s">
        <v>1631</v>
      </c>
      <c r="K796" t="s">
        <v>31</v>
      </c>
      <c r="L796">
        <v>221</v>
      </c>
      <c r="M796">
        <v>8</v>
      </c>
      <c r="N796" t="s">
        <v>38</v>
      </c>
      <c r="O796" t="s">
        <v>50</v>
      </c>
      <c r="P796" t="s">
        <v>45</v>
      </c>
      <c r="Q796" t="s">
        <v>51</v>
      </c>
      <c r="R796" s="2">
        <v>0.60902777777777772</v>
      </c>
    </row>
    <row r="797" spans="1:18" x14ac:dyDescent="0.25">
      <c r="A797" t="s">
        <v>2727</v>
      </c>
      <c r="B797" t="s">
        <v>1208</v>
      </c>
      <c r="C797" s="1">
        <v>45174</v>
      </c>
      <c r="D797" s="1" t="str">
        <f>TEXT(Delivery_data[[#This Row],[Order date]], "MMMM")</f>
        <v>September</v>
      </c>
      <c r="E797" s="1" t="str">
        <f>TEXT(Delivery_data[[#This Row],[Order date]], "DDDD")</f>
        <v>Tuesday</v>
      </c>
      <c r="F797" s="2">
        <v>0.69374999999999998</v>
      </c>
      <c r="G797" t="s">
        <v>22</v>
      </c>
      <c r="H797" t="str">
        <f>IF(Delivery_data[[#This Row],[Order Status]] = "In Progress", "Backlog", "Complete")</f>
        <v>Complete</v>
      </c>
      <c r="I797" t="s">
        <v>49</v>
      </c>
      <c r="J797" t="s">
        <v>1633</v>
      </c>
      <c r="K797" t="s">
        <v>37</v>
      </c>
      <c r="L797">
        <v>197</v>
      </c>
      <c r="M797">
        <v>4</v>
      </c>
      <c r="N797" t="s">
        <v>32</v>
      </c>
      <c r="O797" t="s">
        <v>26</v>
      </c>
      <c r="P797" t="s">
        <v>27</v>
      </c>
      <c r="Q797" t="s">
        <v>46</v>
      </c>
      <c r="R797" s="2">
        <v>0.58402777777777781</v>
      </c>
    </row>
    <row r="798" spans="1:18" x14ac:dyDescent="0.25">
      <c r="A798" t="s">
        <v>2789</v>
      </c>
      <c r="B798" t="s">
        <v>1266</v>
      </c>
      <c r="C798" s="1">
        <v>45174</v>
      </c>
      <c r="D798" s="1" t="str">
        <f>TEXT(Delivery_data[[#This Row],[Order date]], "MMMM")</f>
        <v>September</v>
      </c>
      <c r="E798" s="1" t="str">
        <f>TEXT(Delivery_data[[#This Row],[Order date]], "DDDD")</f>
        <v>Tuesday</v>
      </c>
      <c r="F798" s="2">
        <v>0.57916666666666672</v>
      </c>
      <c r="G798" t="s">
        <v>48</v>
      </c>
      <c r="H798" t="str">
        <f>IF(Delivery_data[[#This Row],[Order Status]] = "In Progress", "Backlog", "Complete")</f>
        <v>Backlog</v>
      </c>
      <c r="I798" t="s">
        <v>49</v>
      </c>
      <c r="J798" t="s">
        <v>1637</v>
      </c>
      <c r="K798" t="s">
        <v>61</v>
      </c>
      <c r="L798">
        <v>131</v>
      </c>
      <c r="M798">
        <v>27</v>
      </c>
      <c r="N798" t="s">
        <v>38</v>
      </c>
      <c r="O798" t="s">
        <v>50</v>
      </c>
      <c r="P798" t="s">
        <v>45</v>
      </c>
      <c r="Q798" t="s">
        <v>46</v>
      </c>
      <c r="R798" s="2">
        <v>0.57152777777777775</v>
      </c>
    </row>
    <row r="799" spans="1:18" x14ac:dyDescent="0.25">
      <c r="A799" t="s">
        <v>2821</v>
      </c>
      <c r="B799" t="s">
        <v>1298</v>
      </c>
      <c r="C799" s="1">
        <v>45175</v>
      </c>
      <c r="D799" s="1" t="str">
        <f>TEXT(Delivery_data[[#This Row],[Order date]], "MMMM")</f>
        <v>September</v>
      </c>
      <c r="E799" s="1" t="str">
        <f>TEXT(Delivery_data[[#This Row],[Order date]], "DDDD")</f>
        <v>Wednesday</v>
      </c>
      <c r="F799" s="2">
        <v>0.44236111111111109</v>
      </c>
      <c r="G799" t="s">
        <v>22</v>
      </c>
      <c r="H799" t="str">
        <f>IF(Delivery_data[[#This Row],[Order Status]] = "In Progress", "Backlog", "Complete")</f>
        <v>Complete</v>
      </c>
      <c r="I799" t="s">
        <v>49</v>
      </c>
      <c r="J799" t="s">
        <v>1631</v>
      </c>
      <c r="K799" t="s">
        <v>24</v>
      </c>
      <c r="L799">
        <v>98</v>
      </c>
      <c r="M799">
        <v>10</v>
      </c>
      <c r="N799" t="s">
        <v>32</v>
      </c>
      <c r="O799" t="s">
        <v>33</v>
      </c>
      <c r="P799" t="s">
        <v>27</v>
      </c>
      <c r="Q799" t="s">
        <v>51</v>
      </c>
      <c r="R799" s="2">
        <v>0.63749999999999996</v>
      </c>
    </row>
    <row r="800" spans="1:18" x14ac:dyDescent="0.25">
      <c r="A800" t="s">
        <v>2968</v>
      </c>
      <c r="B800" t="s">
        <v>1441</v>
      </c>
      <c r="C800" s="1">
        <v>45170</v>
      </c>
      <c r="D800" s="1" t="str">
        <f>TEXT(Delivery_data[[#This Row],[Order date]], "MMMM")</f>
        <v>September</v>
      </c>
      <c r="E800" s="1" t="str">
        <f>TEXT(Delivery_data[[#This Row],[Order date]], "DDDD")</f>
        <v>Friday</v>
      </c>
      <c r="F800" s="2">
        <v>0.60277777777777775</v>
      </c>
      <c r="G800" t="s">
        <v>48</v>
      </c>
      <c r="H800" t="str">
        <f>IF(Delivery_data[[#This Row],[Order Status]] = "In Progress", "Backlog", "Complete")</f>
        <v>Backlog</v>
      </c>
      <c r="I800" t="s">
        <v>49</v>
      </c>
      <c r="J800" t="s">
        <v>1633</v>
      </c>
      <c r="K800" t="s">
        <v>37</v>
      </c>
      <c r="L800">
        <v>122</v>
      </c>
      <c r="M800">
        <v>1</v>
      </c>
      <c r="N800" t="s">
        <v>32</v>
      </c>
      <c r="O800" t="s">
        <v>41</v>
      </c>
      <c r="P800" t="s">
        <v>45</v>
      </c>
      <c r="Q800" t="s">
        <v>28</v>
      </c>
      <c r="R800" s="2">
        <v>0.39027777777777778</v>
      </c>
    </row>
    <row r="801" spans="1:18" x14ac:dyDescent="0.25">
      <c r="A801" t="s">
        <v>3100</v>
      </c>
      <c r="B801" t="s">
        <v>1566</v>
      </c>
      <c r="C801" s="1">
        <v>45171</v>
      </c>
      <c r="D801" s="1" t="str">
        <f>TEXT(Delivery_data[[#This Row],[Order date]], "MMMM")</f>
        <v>September</v>
      </c>
      <c r="E801" s="1" t="str">
        <f>TEXT(Delivery_data[[#This Row],[Order date]], "DDDD")</f>
        <v>Saturday</v>
      </c>
      <c r="F801" s="2">
        <v>0.58402777777777781</v>
      </c>
      <c r="G801" t="s">
        <v>48</v>
      </c>
      <c r="H801" t="str">
        <f>IF(Delivery_data[[#This Row],[Order Status]] = "In Progress", "Backlog", "Complete")</f>
        <v>Backlog</v>
      </c>
      <c r="I801" t="s">
        <v>49</v>
      </c>
      <c r="J801" t="s">
        <v>1637</v>
      </c>
      <c r="K801" t="s">
        <v>44</v>
      </c>
      <c r="L801">
        <v>144</v>
      </c>
      <c r="M801">
        <v>0</v>
      </c>
      <c r="N801" t="s">
        <v>38</v>
      </c>
      <c r="O801" t="s">
        <v>26</v>
      </c>
      <c r="P801" t="s">
        <v>27</v>
      </c>
      <c r="Q801" t="s">
        <v>51</v>
      </c>
      <c r="R801" s="2">
        <v>0.35555555555555557</v>
      </c>
    </row>
    <row r="802" spans="1:18" x14ac:dyDescent="0.25">
      <c r="A802" t="s">
        <v>3121</v>
      </c>
      <c r="B802" t="s">
        <v>443</v>
      </c>
      <c r="C802" s="1">
        <v>45176</v>
      </c>
      <c r="D802" s="1" t="str">
        <f>TEXT(Delivery_data[[#This Row],[Order date]], "MMMM")</f>
        <v>September</v>
      </c>
      <c r="E802" s="1" t="str">
        <f>TEXT(Delivery_data[[#This Row],[Order date]], "DDDD")</f>
        <v>Thursday</v>
      </c>
      <c r="F802" s="2">
        <v>0.68055555555555558</v>
      </c>
      <c r="G802" t="s">
        <v>22</v>
      </c>
      <c r="H802" t="str">
        <f>IF(Delivery_data[[#This Row],[Order Status]] = "In Progress", "Backlog", "Complete")</f>
        <v>Complete</v>
      </c>
      <c r="I802" t="s">
        <v>49</v>
      </c>
      <c r="J802" t="s">
        <v>1633</v>
      </c>
      <c r="K802" t="s">
        <v>44</v>
      </c>
      <c r="L802">
        <v>92</v>
      </c>
      <c r="M802">
        <v>29</v>
      </c>
      <c r="N802" t="s">
        <v>32</v>
      </c>
      <c r="O802" t="s">
        <v>26</v>
      </c>
      <c r="P802" t="s">
        <v>45</v>
      </c>
      <c r="Q802" t="s">
        <v>46</v>
      </c>
      <c r="R802" s="2">
        <v>0.38611111111111113</v>
      </c>
    </row>
    <row r="803" spans="1:18" x14ac:dyDescent="0.25">
      <c r="A803" t="s">
        <v>1690</v>
      </c>
      <c r="B803" t="s">
        <v>144</v>
      </c>
      <c r="C803" s="1">
        <v>45172</v>
      </c>
      <c r="D803" s="1" t="str">
        <f>TEXT(Delivery_data[[#This Row],[Order date]], "MMMM")</f>
        <v>September</v>
      </c>
      <c r="E803" s="1" t="str">
        <f>TEXT(Delivery_data[[#This Row],[Order date]], "DDDD")</f>
        <v>Sunday</v>
      </c>
      <c r="F803" s="2">
        <v>0.66874999999999996</v>
      </c>
      <c r="G803" t="s">
        <v>48</v>
      </c>
      <c r="H803" t="str">
        <f>IF(Delivery_data[[#This Row],[Order Status]] = "In Progress", "Backlog", "Complete")</f>
        <v>Backlog</v>
      </c>
      <c r="I803" t="s">
        <v>145</v>
      </c>
      <c r="J803" t="s">
        <v>1633</v>
      </c>
      <c r="K803" t="s">
        <v>37</v>
      </c>
      <c r="L803">
        <v>214</v>
      </c>
      <c r="M803">
        <v>0</v>
      </c>
      <c r="N803" t="s">
        <v>32</v>
      </c>
      <c r="O803" t="s">
        <v>50</v>
      </c>
      <c r="P803" t="s">
        <v>27</v>
      </c>
      <c r="Q803" t="s">
        <v>51</v>
      </c>
      <c r="R803" s="2">
        <v>0.51388888888888884</v>
      </c>
    </row>
    <row r="804" spans="1:18" x14ac:dyDescent="0.25">
      <c r="A804" t="s">
        <v>1755</v>
      </c>
      <c r="B804" t="s">
        <v>237</v>
      </c>
      <c r="C804" s="1">
        <v>45173</v>
      </c>
      <c r="D804" s="1" t="str">
        <f>TEXT(Delivery_data[[#This Row],[Order date]], "MMMM")</f>
        <v>September</v>
      </c>
      <c r="E804" s="1" t="str">
        <f>TEXT(Delivery_data[[#This Row],[Order date]], "DDDD")</f>
        <v>Monday</v>
      </c>
      <c r="F804" s="2">
        <v>0.42291666666666666</v>
      </c>
      <c r="G804" t="s">
        <v>22</v>
      </c>
      <c r="H804" t="str">
        <f>IF(Delivery_data[[#This Row],[Order Status]] = "In Progress", "Backlog", "Complete")</f>
        <v>Complete</v>
      </c>
      <c r="I804" t="s">
        <v>145</v>
      </c>
      <c r="J804" t="s">
        <v>1631</v>
      </c>
      <c r="K804" t="s">
        <v>24</v>
      </c>
      <c r="L804">
        <v>186</v>
      </c>
      <c r="M804">
        <v>26</v>
      </c>
      <c r="N804" t="s">
        <v>25</v>
      </c>
      <c r="O804" t="s">
        <v>41</v>
      </c>
      <c r="P804" t="s">
        <v>27</v>
      </c>
      <c r="Q804" t="s">
        <v>28</v>
      </c>
      <c r="R804" s="2">
        <v>0.55486111111111114</v>
      </c>
    </row>
    <row r="805" spans="1:18" x14ac:dyDescent="0.25">
      <c r="A805" t="s">
        <v>2110</v>
      </c>
      <c r="B805" t="s">
        <v>614</v>
      </c>
      <c r="C805" s="1">
        <v>45173</v>
      </c>
      <c r="D805" s="1" t="str">
        <f>TEXT(Delivery_data[[#This Row],[Order date]], "MMMM")</f>
        <v>September</v>
      </c>
      <c r="E805" s="1" t="str">
        <f>TEXT(Delivery_data[[#This Row],[Order date]], "DDDD")</f>
        <v>Monday</v>
      </c>
      <c r="F805" s="2">
        <v>0.57916666666666672</v>
      </c>
      <c r="G805" t="s">
        <v>22</v>
      </c>
      <c r="H805" t="str">
        <f>IF(Delivery_data[[#This Row],[Order Status]] = "In Progress", "Backlog", "Complete")</f>
        <v>Complete</v>
      </c>
      <c r="I805" t="s">
        <v>145</v>
      </c>
      <c r="J805" t="s">
        <v>1633</v>
      </c>
      <c r="K805" t="s">
        <v>37</v>
      </c>
      <c r="L805">
        <v>121</v>
      </c>
      <c r="M805">
        <v>3</v>
      </c>
      <c r="N805" t="s">
        <v>32</v>
      </c>
      <c r="O805" t="s">
        <v>26</v>
      </c>
      <c r="P805" t="s">
        <v>34</v>
      </c>
      <c r="Q805" t="s">
        <v>46</v>
      </c>
      <c r="R805" s="2">
        <v>0.54097222222222219</v>
      </c>
    </row>
    <row r="806" spans="1:18" x14ac:dyDescent="0.25">
      <c r="A806" t="s">
        <v>2270</v>
      </c>
      <c r="B806" t="s">
        <v>770</v>
      </c>
      <c r="C806" s="1">
        <v>45172</v>
      </c>
      <c r="D806" s="1" t="str">
        <f>TEXT(Delivery_data[[#This Row],[Order date]], "MMMM")</f>
        <v>September</v>
      </c>
      <c r="E806" s="1" t="str">
        <f>TEXT(Delivery_data[[#This Row],[Order date]], "DDDD")</f>
        <v>Sunday</v>
      </c>
      <c r="F806" s="2">
        <v>0.67986111111111114</v>
      </c>
      <c r="G806" t="s">
        <v>48</v>
      </c>
      <c r="H806" t="str">
        <f>IF(Delivery_data[[#This Row],[Order Status]] = "In Progress", "Backlog", "Complete")</f>
        <v>Backlog</v>
      </c>
      <c r="I806" t="s">
        <v>145</v>
      </c>
      <c r="J806" t="s">
        <v>1637</v>
      </c>
      <c r="K806" t="s">
        <v>61</v>
      </c>
      <c r="L806">
        <v>92</v>
      </c>
      <c r="M806">
        <v>25</v>
      </c>
      <c r="N806" t="s">
        <v>32</v>
      </c>
      <c r="O806" t="s">
        <v>54</v>
      </c>
      <c r="P806" t="s">
        <v>45</v>
      </c>
      <c r="Q806" t="s">
        <v>46</v>
      </c>
      <c r="R806" s="2">
        <v>0.64166666666666672</v>
      </c>
    </row>
    <row r="807" spans="1:18" x14ac:dyDescent="0.25">
      <c r="A807" t="s">
        <v>2431</v>
      </c>
      <c r="B807" t="s">
        <v>924</v>
      </c>
      <c r="C807" s="1">
        <v>45170</v>
      </c>
      <c r="D807" s="1" t="str">
        <f>TEXT(Delivery_data[[#This Row],[Order date]], "MMMM")</f>
        <v>September</v>
      </c>
      <c r="E807" s="1" t="str">
        <f>TEXT(Delivery_data[[#This Row],[Order date]], "DDDD")</f>
        <v>Friday</v>
      </c>
      <c r="F807" s="2">
        <v>0.35555555555555557</v>
      </c>
      <c r="G807" t="s">
        <v>48</v>
      </c>
      <c r="H807" t="str">
        <f>IF(Delivery_data[[#This Row],[Order Status]] = "In Progress", "Backlog", "Complete")</f>
        <v>Backlog</v>
      </c>
      <c r="I807" t="s">
        <v>145</v>
      </c>
      <c r="J807" t="s">
        <v>1637</v>
      </c>
      <c r="K807" t="s">
        <v>44</v>
      </c>
      <c r="L807">
        <v>68</v>
      </c>
      <c r="M807">
        <v>4</v>
      </c>
      <c r="N807" t="s">
        <v>25</v>
      </c>
      <c r="O807" t="s">
        <v>54</v>
      </c>
      <c r="P807" t="s">
        <v>45</v>
      </c>
      <c r="Q807" t="s">
        <v>28</v>
      </c>
      <c r="R807" s="2">
        <v>0.35208333333333336</v>
      </c>
    </row>
    <row r="808" spans="1:18" x14ac:dyDescent="0.25">
      <c r="A808" t="s">
        <v>2453</v>
      </c>
      <c r="B808" t="s">
        <v>945</v>
      </c>
      <c r="C808" s="1">
        <v>45170</v>
      </c>
      <c r="D808" s="1" t="str">
        <f>TEXT(Delivery_data[[#This Row],[Order date]], "MMMM")</f>
        <v>September</v>
      </c>
      <c r="E808" s="1" t="str">
        <f>TEXT(Delivery_data[[#This Row],[Order date]], "DDDD")</f>
        <v>Friday</v>
      </c>
      <c r="F808" s="2">
        <v>0.40486111111111112</v>
      </c>
      <c r="G808" t="s">
        <v>48</v>
      </c>
      <c r="H808" t="str">
        <f>IF(Delivery_data[[#This Row],[Order Status]] = "In Progress", "Backlog", "Complete")</f>
        <v>Backlog</v>
      </c>
      <c r="I808" t="s">
        <v>145</v>
      </c>
      <c r="J808" t="s">
        <v>1631</v>
      </c>
      <c r="K808" t="s">
        <v>61</v>
      </c>
      <c r="L808">
        <v>142</v>
      </c>
      <c r="M808">
        <v>2</v>
      </c>
      <c r="N808" t="s">
        <v>25</v>
      </c>
      <c r="O808" t="s">
        <v>50</v>
      </c>
      <c r="P808" t="s">
        <v>27</v>
      </c>
      <c r="Q808" t="s">
        <v>28</v>
      </c>
      <c r="R808" s="2">
        <v>0.41666666666666669</v>
      </c>
    </row>
    <row r="809" spans="1:18" x14ac:dyDescent="0.25">
      <c r="A809" t="s">
        <v>2467</v>
      </c>
      <c r="B809" t="s">
        <v>959</v>
      </c>
      <c r="C809" s="1">
        <v>45177</v>
      </c>
      <c r="D809" s="1" t="str">
        <f>TEXT(Delivery_data[[#This Row],[Order date]], "MMMM")</f>
        <v>September</v>
      </c>
      <c r="E809" s="1" t="str">
        <f>TEXT(Delivery_data[[#This Row],[Order date]], "DDDD")</f>
        <v>Friday</v>
      </c>
      <c r="F809" s="2">
        <v>0.57916666666666672</v>
      </c>
      <c r="G809" t="s">
        <v>22</v>
      </c>
      <c r="H809" t="str">
        <f>IF(Delivery_data[[#This Row],[Order Status]] = "In Progress", "Backlog", "Complete")</f>
        <v>Complete</v>
      </c>
      <c r="I809" t="s">
        <v>145</v>
      </c>
      <c r="J809" t="s">
        <v>1637</v>
      </c>
      <c r="K809" t="s">
        <v>37</v>
      </c>
      <c r="L809">
        <v>195</v>
      </c>
      <c r="M809">
        <v>13</v>
      </c>
      <c r="N809" t="s">
        <v>32</v>
      </c>
      <c r="O809" t="s">
        <v>33</v>
      </c>
      <c r="P809" t="s">
        <v>45</v>
      </c>
      <c r="Q809" t="s">
        <v>46</v>
      </c>
      <c r="R809" s="2">
        <v>0.54583333333333328</v>
      </c>
    </row>
    <row r="810" spans="1:18" x14ac:dyDescent="0.25">
      <c r="A810" t="s">
        <v>2629</v>
      </c>
      <c r="B810" t="s">
        <v>1112</v>
      </c>
      <c r="C810" s="1">
        <v>45177</v>
      </c>
      <c r="D810" s="1" t="str">
        <f>TEXT(Delivery_data[[#This Row],[Order date]], "MMMM")</f>
        <v>September</v>
      </c>
      <c r="E810" s="1" t="str">
        <f>TEXT(Delivery_data[[#This Row],[Order date]], "DDDD")</f>
        <v>Friday</v>
      </c>
      <c r="F810" s="2">
        <v>0.51249999999999996</v>
      </c>
      <c r="G810" t="s">
        <v>22</v>
      </c>
      <c r="H810" t="str">
        <f>IF(Delivery_data[[#This Row],[Order Status]] = "In Progress", "Backlog", "Complete")</f>
        <v>Complete</v>
      </c>
      <c r="I810" t="s">
        <v>145</v>
      </c>
      <c r="J810" t="s">
        <v>1637</v>
      </c>
      <c r="K810" t="s">
        <v>61</v>
      </c>
      <c r="L810">
        <v>145</v>
      </c>
      <c r="M810">
        <v>14</v>
      </c>
      <c r="N810" t="s">
        <v>32</v>
      </c>
      <c r="O810" t="s">
        <v>26</v>
      </c>
      <c r="P810" t="s">
        <v>34</v>
      </c>
      <c r="Q810" t="s">
        <v>28</v>
      </c>
      <c r="R810" s="2">
        <v>0.36249999999999999</v>
      </c>
    </row>
    <row r="811" spans="1:18" x14ac:dyDescent="0.25">
      <c r="A811" t="s">
        <v>2680</v>
      </c>
      <c r="B811" t="s">
        <v>1162</v>
      </c>
      <c r="C811" s="1">
        <v>45175</v>
      </c>
      <c r="D811" s="1" t="str">
        <f>TEXT(Delivery_data[[#This Row],[Order date]], "MMMM")</f>
        <v>September</v>
      </c>
      <c r="E811" s="1" t="str">
        <f>TEXT(Delivery_data[[#This Row],[Order date]], "DDDD")</f>
        <v>Wednesday</v>
      </c>
      <c r="F811" s="2">
        <v>0.5395833333333333</v>
      </c>
      <c r="G811" t="s">
        <v>48</v>
      </c>
      <c r="H811" t="str">
        <f>IF(Delivery_data[[#This Row],[Order Status]] = "In Progress", "Backlog", "Complete")</f>
        <v>Backlog</v>
      </c>
      <c r="I811" t="s">
        <v>145</v>
      </c>
      <c r="J811" t="s">
        <v>1637</v>
      </c>
      <c r="K811" t="s">
        <v>37</v>
      </c>
      <c r="L811">
        <v>232</v>
      </c>
      <c r="M811">
        <v>24</v>
      </c>
      <c r="N811" t="s">
        <v>38</v>
      </c>
      <c r="O811" t="s">
        <v>33</v>
      </c>
      <c r="P811" t="s">
        <v>27</v>
      </c>
      <c r="Q811" t="s">
        <v>46</v>
      </c>
      <c r="R811" s="2">
        <v>0.71111111111111114</v>
      </c>
    </row>
    <row r="812" spans="1:18" x14ac:dyDescent="0.25">
      <c r="A812" t="s">
        <v>2791</v>
      </c>
      <c r="B812" t="s">
        <v>1268</v>
      </c>
      <c r="C812" s="1">
        <v>45176</v>
      </c>
      <c r="D812" s="1" t="str">
        <f>TEXT(Delivery_data[[#This Row],[Order date]], "MMMM")</f>
        <v>September</v>
      </c>
      <c r="E812" s="1" t="str">
        <f>TEXT(Delivery_data[[#This Row],[Order date]], "DDDD")</f>
        <v>Thursday</v>
      </c>
      <c r="F812" s="2">
        <v>0.59097222222222223</v>
      </c>
      <c r="G812" t="s">
        <v>48</v>
      </c>
      <c r="H812" t="str">
        <f>IF(Delivery_data[[#This Row],[Order Status]] = "In Progress", "Backlog", "Complete")</f>
        <v>Backlog</v>
      </c>
      <c r="I812" t="s">
        <v>145</v>
      </c>
      <c r="J812" t="s">
        <v>1637</v>
      </c>
      <c r="K812" t="s">
        <v>37</v>
      </c>
      <c r="L812">
        <v>139</v>
      </c>
      <c r="M812">
        <v>26</v>
      </c>
      <c r="N812" t="s">
        <v>25</v>
      </c>
      <c r="O812" t="s">
        <v>54</v>
      </c>
      <c r="P812" t="s">
        <v>27</v>
      </c>
      <c r="Q812" t="s">
        <v>46</v>
      </c>
      <c r="R812" s="2">
        <v>0.72847222222222219</v>
      </c>
    </row>
    <row r="813" spans="1:18" x14ac:dyDescent="0.25">
      <c r="A813" t="s">
        <v>2928</v>
      </c>
      <c r="B813" t="s">
        <v>1401</v>
      </c>
      <c r="C813" s="1">
        <v>45174</v>
      </c>
      <c r="D813" s="1" t="str">
        <f>TEXT(Delivery_data[[#This Row],[Order date]], "MMMM")</f>
        <v>September</v>
      </c>
      <c r="E813" s="1" t="str">
        <f>TEXT(Delivery_data[[#This Row],[Order date]], "DDDD")</f>
        <v>Tuesday</v>
      </c>
      <c r="F813" s="2">
        <v>0.60902777777777772</v>
      </c>
      <c r="G813" t="s">
        <v>48</v>
      </c>
      <c r="H813" t="str">
        <f>IF(Delivery_data[[#This Row],[Order Status]] = "In Progress", "Backlog", "Complete")</f>
        <v>Backlog</v>
      </c>
      <c r="I813" t="s">
        <v>145</v>
      </c>
      <c r="J813" t="s">
        <v>1637</v>
      </c>
      <c r="K813" t="s">
        <v>24</v>
      </c>
      <c r="L813">
        <v>117</v>
      </c>
      <c r="M813">
        <v>14</v>
      </c>
      <c r="N813" t="s">
        <v>38</v>
      </c>
      <c r="O813" t="s">
        <v>41</v>
      </c>
      <c r="P813" t="s">
        <v>45</v>
      </c>
      <c r="Q813" t="s">
        <v>46</v>
      </c>
      <c r="R813" s="2">
        <v>0.48194444444444445</v>
      </c>
    </row>
    <row r="814" spans="1:18" x14ac:dyDescent="0.25">
      <c r="A814" t="s">
        <v>2975</v>
      </c>
      <c r="B814" t="s">
        <v>1448</v>
      </c>
      <c r="C814" s="1">
        <v>45174</v>
      </c>
      <c r="D814" s="1" t="str">
        <f>TEXT(Delivery_data[[#This Row],[Order date]], "MMMM")</f>
        <v>September</v>
      </c>
      <c r="E814" s="1" t="str">
        <f>TEXT(Delivery_data[[#This Row],[Order date]], "DDDD")</f>
        <v>Tuesday</v>
      </c>
      <c r="F814" s="2">
        <v>0.34305555555555556</v>
      </c>
      <c r="G814" t="s">
        <v>48</v>
      </c>
      <c r="H814" t="str">
        <f>IF(Delivery_data[[#This Row],[Order Status]] = "In Progress", "Backlog", "Complete")</f>
        <v>Backlog</v>
      </c>
      <c r="I814" t="s">
        <v>145</v>
      </c>
      <c r="J814" t="s">
        <v>1633</v>
      </c>
      <c r="K814" t="s">
        <v>37</v>
      </c>
      <c r="L814">
        <v>125</v>
      </c>
      <c r="M814">
        <v>22</v>
      </c>
      <c r="N814" t="s">
        <v>32</v>
      </c>
      <c r="O814" t="s">
        <v>33</v>
      </c>
      <c r="P814" t="s">
        <v>45</v>
      </c>
      <c r="Q814" t="s">
        <v>28</v>
      </c>
      <c r="R814" s="2">
        <v>0.49791666666666667</v>
      </c>
    </row>
    <row r="815" spans="1:18" x14ac:dyDescent="0.25">
      <c r="A815" t="s">
        <v>3028</v>
      </c>
      <c r="B815" t="s">
        <v>1498</v>
      </c>
      <c r="C815" s="1">
        <v>45173</v>
      </c>
      <c r="D815" s="1" t="str">
        <f>TEXT(Delivery_data[[#This Row],[Order date]], "MMMM")</f>
        <v>September</v>
      </c>
      <c r="E815" s="1" t="str">
        <f>TEXT(Delivery_data[[#This Row],[Order date]], "DDDD")</f>
        <v>Monday</v>
      </c>
      <c r="F815" s="2">
        <v>0.53749999999999998</v>
      </c>
      <c r="G815" t="s">
        <v>48</v>
      </c>
      <c r="H815" t="str">
        <f>IF(Delivery_data[[#This Row],[Order Status]] = "In Progress", "Backlog", "Complete")</f>
        <v>Backlog</v>
      </c>
      <c r="I815" t="s">
        <v>145</v>
      </c>
      <c r="J815" t="s">
        <v>1633</v>
      </c>
      <c r="K815" t="s">
        <v>24</v>
      </c>
      <c r="L815">
        <v>75</v>
      </c>
      <c r="M815">
        <v>4</v>
      </c>
      <c r="N815" t="s">
        <v>38</v>
      </c>
      <c r="O815" t="s">
        <v>50</v>
      </c>
      <c r="P815" t="s">
        <v>27</v>
      </c>
      <c r="Q815" t="s">
        <v>28</v>
      </c>
      <c r="R815" s="2">
        <v>0.40833333333333333</v>
      </c>
    </row>
    <row r="816" spans="1:18" x14ac:dyDescent="0.25">
      <c r="A816" t="s">
        <v>3101</v>
      </c>
      <c r="B816" t="s">
        <v>1567</v>
      </c>
      <c r="C816" s="1">
        <v>45173</v>
      </c>
      <c r="D816" s="1" t="str">
        <f>TEXT(Delivery_data[[#This Row],[Order date]], "MMMM")</f>
        <v>September</v>
      </c>
      <c r="E816" s="1" t="str">
        <f>TEXT(Delivery_data[[#This Row],[Order date]], "DDDD")</f>
        <v>Monday</v>
      </c>
      <c r="F816" s="2">
        <v>0.4</v>
      </c>
      <c r="G816" t="s">
        <v>48</v>
      </c>
      <c r="H816" t="str">
        <f>IF(Delivery_data[[#This Row],[Order Status]] = "In Progress", "Backlog", "Complete")</f>
        <v>Backlog</v>
      </c>
      <c r="I816" t="s">
        <v>145</v>
      </c>
      <c r="J816" t="s">
        <v>1631</v>
      </c>
      <c r="K816" t="s">
        <v>31</v>
      </c>
      <c r="L816">
        <v>130</v>
      </c>
      <c r="M816">
        <v>24</v>
      </c>
      <c r="N816" t="s">
        <v>25</v>
      </c>
      <c r="O816" t="s">
        <v>33</v>
      </c>
      <c r="P816" t="s">
        <v>34</v>
      </c>
      <c r="Q816" t="s">
        <v>51</v>
      </c>
      <c r="R816" s="2">
        <v>0.4777777777777778</v>
      </c>
    </row>
    <row r="817" spans="1:18" x14ac:dyDescent="0.25">
      <c r="A817" t="s">
        <v>1912</v>
      </c>
      <c r="B817" t="s">
        <v>414</v>
      </c>
      <c r="C817" s="1">
        <v>45171</v>
      </c>
      <c r="D817" s="1" t="str">
        <f>TEXT(Delivery_data[[#This Row],[Order date]], "MMMM")</f>
        <v>September</v>
      </c>
      <c r="E817" s="1" t="str">
        <f>TEXT(Delivery_data[[#This Row],[Order date]], "DDDD")</f>
        <v>Saturday</v>
      </c>
      <c r="F817" s="2">
        <v>0.48680555555555555</v>
      </c>
      <c r="G817" t="s">
        <v>22</v>
      </c>
      <c r="H817" t="str">
        <f>IF(Delivery_data[[#This Row],[Order Status]] = "In Progress", "Backlog", "Complete")</f>
        <v>Complete</v>
      </c>
      <c r="I817" t="s">
        <v>415</v>
      </c>
      <c r="J817" t="s">
        <v>1633</v>
      </c>
      <c r="K817" t="s">
        <v>37</v>
      </c>
      <c r="L817">
        <v>98</v>
      </c>
      <c r="M817">
        <v>25</v>
      </c>
      <c r="N817" t="s">
        <v>25</v>
      </c>
      <c r="O817" t="s">
        <v>50</v>
      </c>
      <c r="P817" t="s">
        <v>45</v>
      </c>
      <c r="Q817" t="s">
        <v>46</v>
      </c>
      <c r="R817" s="2">
        <v>0.59305555555555556</v>
      </c>
    </row>
    <row r="818" spans="1:18" x14ac:dyDescent="0.25">
      <c r="A818" t="s">
        <v>2097</v>
      </c>
      <c r="B818" t="s">
        <v>602</v>
      </c>
      <c r="C818" s="1">
        <v>45177</v>
      </c>
      <c r="D818" s="1" t="str">
        <f>TEXT(Delivery_data[[#This Row],[Order date]], "MMMM")</f>
        <v>September</v>
      </c>
      <c r="E818" s="1" t="str">
        <f>TEXT(Delivery_data[[#This Row],[Order date]], "DDDD")</f>
        <v>Friday</v>
      </c>
      <c r="F818" s="2">
        <v>0.39444444444444443</v>
      </c>
      <c r="G818" t="s">
        <v>48</v>
      </c>
      <c r="H818" t="str">
        <f>IF(Delivery_data[[#This Row],[Order Status]] = "In Progress", "Backlog", "Complete")</f>
        <v>Backlog</v>
      </c>
      <c r="I818" t="s">
        <v>415</v>
      </c>
      <c r="J818" t="s">
        <v>1631</v>
      </c>
      <c r="K818" t="s">
        <v>44</v>
      </c>
      <c r="L818">
        <v>80</v>
      </c>
      <c r="M818">
        <v>9</v>
      </c>
      <c r="N818" t="s">
        <v>25</v>
      </c>
      <c r="O818" t="s">
        <v>50</v>
      </c>
      <c r="P818" t="s">
        <v>34</v>
      </c>
      <c r="Q818" t="s">
        <v>28</v>
      </c>
      <c r="R818" s="2">
        <v>0.49930555555555556</v>
      </c>
    </row>
    <row r="819" spans="1:18" x14ac:dyDescent="0.25">
      <c r="A819" t="s">
        <v>2144</v>
      </c>
      <c r="B819" t="s">
        <v>647</v>
      </c>
      <c r="C819" s="1">
        <v>45171</v>
      </c>
      <c r="D819" s="1" t="str">
        <f>TEXT(Delivery_data[[#This Row],[Order date]], "MMMM")</f>
        <v>September</v>
      </c>
      <c r="E819" s="1" t="str">
        <f>TEXT(Delivery_data[[#This Row],[Order date]], "DDDD")</f>
        <v>Saturday</v>
      </c>
      <c r="F819" s="2">
        <v>0.42291666666666666</v>
      </c>
      <c r="G819" t="s">
        <v>48</v>
      </c>
      <c r="H819" t="str">
        <f>IF(Delivery_data[[#This Row],[Order Status]] = "In Progress", "Backlog", "Complete")</f>
        <v>Backlog</v>
      </c>
      <c r="I819" t="s">
        <v>415</v>
      </c>
      <c r="J819" t="s">
        <v>1631</v>
      </c>
      <c r="K819" t="s">
        <v>37</v>
      </c>
      <c r="L819">
        <v>129</v>
      </c>
      <c r="M819">
        <v>8</v>
      </c>
      <c r="N819" t="s">
        <v>38</v>
      </c>
      <c r="O819" t="s">
        <v>54</v>
      </c>
      <c r="P819" t="s">
        <v>34</v>
      </c>
      <c r="Q819" t="s">
        <v>46</v>
      </c>
      <c r="R819" s="2">
        <v>0.39652777777777776</v>
      </c>
    </row>
    <row r="820" spans="1:18" x14ac:dyDescent="0.25">
      <c r="A820" t="s">
        <v>2168</v>
      </c>
      <c r="B820" t="s">
        <v>669</v>
      </c>
      <c r="C820" s="1">
        <v>45171</v>
      </c>
      <c r="D820" s="1" t="str">
        <f>TEXT(Delivery_data[[#This Row],[Order date]], "MMMM")</f>
        <v>September</v>
      </c>
      <c r="E820" s="1" t="str">
        <f>TEXT(Delivery_data[[#This Row],[Order date]], "DDDD")</f>
        <v>Saturday</v>
      </c>
      <c r="F820" s="2">
        <v>0.66180555555555554</v>
      </c>
      <c r="G820" t="s">
        <v>22</v>
      </c>
      <c r="H820" t="str">
        <f>IF(Delivery_data[[#This Row],[Order Status]] = "In Progress", "Backlog", "Complete")</f>
        <v>Complete</v>
      </c>
      <c r="I820" t="s">
        <v>415</v>
      </c>
      <c r="J820" t="s">
        <v>1633</v>
      </c>
      <c r="K820" t="s">
        <v>37</v>
      </c>
      <c r="L820">
        <v>191</v>
      </c>
      <c r="M820">
        <v>7</v>
      </c>
      <c r="N820" t="s">
        <v>32</v>
      </c>
      <c r="O820" t="s">
        <v>33</v>
      </c>
      <c r="P820" t="s">
        <v>45</v>
      </c>
      <c r="Q820" t="s">
        <v>46</v>
      </c>
      <c r="R820" s="2">
        <v>0.49305555555555558</v>
      </c>
    </row>
    <row r="821" spans="1:18" x14ac:dyDescent="0.25">
      <c r="A821" t="s">
        <v>2181</v>
      </c>
      <c r="B821" t="s">
        <v>682</v>
      </c>
      <c r="C821" s="1">
        <v>45172</v>
      </c>
      <c r="D821" s="1" t="str">
        <f>TEXT(Delivery_data[[#This Row],[Order date]], "MMMM")</f>
        <v>September</v>
      </c>
      <c r="E821" s="1" t="str">
        <f>TEXT(Delivery_data[[#This Row],[Order date]], "DDDD")</f>
        <v>Sunday</v>
      </c>
      <c r="F821" s="2">
        <v>0.52430555555555558</v>
      </c>
      <c r="G821" t="s">
        <v>48</v>
      </c>
      <c r="H821" t="str">
        <f>IF(Delivery_data[[#This Row],[Order Status]] = "In Progress", "Backlog", "Complete")</f>
        <v>Backlog</v>
      </c>
      <c r="I821" t="s">
        <v>415</v>
      </c>
      <c r="J821" t="s">
        <v>1637</v>
      </c>
      <c r="K821" t="s">
        <v>37</v>
      </c>
      <c r="L821">
        <v>75</v>
      </c>
      <c r="M821">
        <v>4</v>
      </c>
      <c r="N821" t="s">
        <v>38</v>
      </c>
      <c r="O821" t="s">
        <v>41</v>
      </c>
      <c r="P821" t="s">
        <v>34</v>
      </c>
      <c r="Q821" t="s">
        <v>46</v>
      </c>
      <c r="R821" s="2">
        <v>0.62013888888888891</v>
      </c>
    </row>
    <row r="822" spans="1:18" x14ac:dyDescent="0.25">
      <c r="A822" t="s">
        <v>2285</v>
      </c>
      <c r="B822" t="s">
        <v>784</v>
      </c>
      <c r="C822" s="1">
        <v>45171</v>
      </c>
      <c r="D822" s="1" t="str">
        <f>TEXT(Delivery_data[[#This Row],[Order date]], "MMMM")</f>
        <v>September</v>
      </c>
      <c r="E822" s="1" t="str">
        <f>TEXT(Delivery_data[[#This Row],[Order date]], "DDDD")</f>
        <v>Saturday</v>
      </c>
      <c r="F822" s="2">
        <v>0.36249999999999999</v>
      </c>
      <c r="G822" t="s">
        <v>48</v>
      </c>
      <c r="H822" t="str">
        <f>IF(Delivery_data[[#This Row],[Order Status]] = "In Progress", "Backlog", "Complete")</f>
        <v>Backlog</v>
      </c>
      <c r="I822" t="s">
        <v>415</v>
      </c>
      <c r="J822" t="s">
        <v>1633</v>
      </c>
      <c r="K822" t="s">
        <v>44</v>
      </c>
      <c r="L822">
        <v>227</v>
      </c>
      <c r="M822">
        <v>6</v>
      </c>
      <c r="N822" t="s">
        <v>38</v>
      </c>
      <c r="O822" t="s">
        <v>26</v>
      </c>
      <c r="P822" t="s">
        <v>45</v>
      </c>
      <c r="Q822" t="s">
        <v>28</v>
      </c>
      <c r="R822" s="2">
        <v>0.44027777777777777</v>
      </c>
    </row>
    <row r="823" spans="1:18" x14ac:dyDescent="0.25">
      <c r="A823" t="s">
        <v>2339</v>
      </c>
      <c r="B823" t="s">
        <v>837</v>
      </c>
      <c r="C823" s="1">
        <v>45170</v>
      </c>
      <c r="D823" s="1" t="str">
        <f>TEXT(Delivery_data[[#This Row],[Order date]], "MMMM")</f>
        <v>September</v>
      </c>
      <c r="E823" s="1" t="str">
        <f>TEXT(Delivery_data[[#This Row],[Order date]], "DDDD")</f>
        <v>Friday</v>
      </c>
      <c r="F823" s="2">
        <v>0.55555555555555558</v>
      </c>
      <c r="G823" t="s">
        <v>22</v>
      </c>
      <c r="H823" t="str">
        <f>IF(Delivery_data[[#This Row],[Order Status]] = "In Progress", "Backlog", "Complete")</f>
        <v>Complete</v>
      </c>
      <c r="I823" t="s">
        <v>415</v>
      </c>
      <c r="J823" t="s">
        <v>1637</v>
      </c>
      <c r="K823" t="s">
        <v>61</v>
      </c>
      <c r="L823">
        <v>120</v>
      </c>
      <c r="M823">
        <v>12</v>
      </c>
      <c r="N823" t="s">
        <v>38</v>
      </c>
      <c r="O823" t="s">
        <v>50</v>
      </c>
      <c r="P823" t="s">
        <v>27</v>
      </c>
      <c r="Q823" t="s">
        <v>46</v>
      </c>
      <c r="R823" s="2">
        <v>0.68541666666666667</v>
      </c>
    </row>
    <row r="824" spans="1:18" x14ac:dyDescent="0.25">
      <c r="A824" t="s">
        <v>2468</v>
      </c>
      <c r="B824" t="s">
        <v>960</v>
      </c>
      <c r="C824" s="1">
        <v>45175</v>
      </c>
      <c r="D824" s="1" t="str">
        <f>TEXT(Delivery_data[[#This Row],[Order date]], "MMMM")</f>
        <v>September</v>
      </c>
      <c r="E824" s="1" t="str">
        <f>TEXT(Delivery_data[[#This Row],[Order date]], "DDDD")</f>
        <v>Wednesday</v>
      </c>
      <c r="F824" s="2">
        <v>0.58402777777777781</v>
      </c>
      <c r="G824" t="s">
        <v>48</v>
      </c>
      <c r="H824" t="str">
        <f>IF(Delivery_data[[#This Row],[Order Status]] = "In Progress", "Backlog", "Complete")</f>
        <v>Backlog</v>
      </c>
      <c r="I824" t="s">
        <v>415</v>
      </c>
      <c r="J824" t="s">
        <v>1631</v>
      </c>
      <c r="K824" t="s">
        <v>37</v>
      </c>
      <c r="L824">
        <v>70</v>
      </c>
      <c r="M824">
        <v>21</v>
      </c>
      <c r="N824" t="s">
        <v>25</v>
      </c>
      <c r="O824" t="s">
        <v>26</v>
      </c>
      <c r="P824" t="s">
        <v>45</v>
      </c>
      <c r="Q824" t="s">
        <v>28</v>
      </c>
      <c r="R824" s="2">
        <v>0.57708333333333328</v>
      </c>
    </row>
    <row r="825" spans="1:18" x14ac:dyDescent="0.25">
      <c r="A825" t="s">
        <v>2592</v>
      </c>
      <c r="B825" t="s">
        <v>1076</v>
      </c>
      <c r="C825" s="1">
        <v>45175</v>
      </c>
      <c r="D825" s="1" t="str">
        <f>TEXT(Delivery_data[[#This Row],[Order date]], "MMMM")</f>
        <v>September</v>
      </c>
      <c r="E825" s="1" t="str">
        <f>TEXT(Delivery_data[[#This Row],[Order date]], "DDDD")</f>
        <v>Wednesday</v>
      </c>
      <c r="F825" s="2">
        <v>0.62638888888888888</v>
      </c>
      <c r="G825" t="s">
        <v>48</v>
      </c>
      <c r="H825" t="str">
        <f>IF(Delivery_data[[#This Row],[Order Status]] = "In Progress", "Backlog", "Complete")</f>
        <v>Backlog</v>
      </c>
      <c r="I825" t="s">
        <v>415</v>
      </c>
      <c r="J825" t="s">
        <v>1633</v>
      </c>
      <c r="K825" t="s">
        <v>24</v>
      </c>
      <c r="L825">
        <v>116</v>
      </c>
      <c r="M825">
        <v>26</v>
      </c>
      <c r="N825" t="s">
        <v>38</v>
      </c>
      <c r="O825" t="s">
        <v>54</v>
      </c>
      <c r="P825" t="s">
        <v>34</v>
      </c>
      <c r="Q825" t="s">
        <v>51</v>
      </c>
      <c r="R825" s="2">
        <v>0.57430555555555551</v>
      </c>
    </row>
    <row r="826" spans="1:18" x14ac:dyDescent="0.25">
      <c r="A826" t="s">
        <v>2874</v>
      </c>
      <c r="B826" t="s">
        <v>1348</v>
      </c>
      <c r="C826" s="1">
        <v>45172</v>
      </c>
      <c r="D826" s="1" t="str">
        <f>TEXT(Delivery_data[[#This Row],[Order date]], "MMMM")</f>
        <v>September</v>
      </c>
      <c r="E826" s="1" t="str">
        <f>TEXT(Delivery_data[[#This Row],[Order date]], "DDDD")</f>
        <v>Sunday</v>
      </c>
      <c r="F826" s="2">
        <v>0.4909722222222222</v>
      </c>
      <c r="G826" t="s">
        <v>22</v>
      </c>
      <c r="H826" t="str">
        <f>IF(Delivery_data[[#This Row],[Order Status]] = "In Progress", "Backlog", "Complete")</f>
        <v>Complete</v>
      </c>
      <c r="I826" t="s">
        <v>415</v>
      </c>
      <c r="J826" t="s">
        <v>1633</v>
      </c>
      <c r="K826" t="s">
        <v>24</v>
      </c>
      <c r="L826">
        <v>175</v>
      </c>
      <c r="M826">
        <v>5</v>
      </c>
      <c r="N826" t="s">
        <v>38</v>
      </c>
      <c r="O826" t="s">
        <v>54</v>
      </c>
      <c r="P826" t="s">
        <v>27</v>
      </c>
      <c r="Q826" t="s">
        <v>28</v>
      </c>
      <c r="R826" s="2">
        <v>0.37569444444444444</v>
      </c>
    </row>
    <row r="827" spans="1:18" x14ac:dyDescent="0.25">
      <c r="A827" t="s">
        <v>3022</v>
      </c>
      <c r="B827" t="s">
        <v>1493</v>
      </c>
      <c r="C827" s="1">
        <v>45175</v>
      </c>
      <c r="D827" s="1" t="str">
        <f>TEXT(Delivery_data[[#This Row],[Order date]], "MMMM")</f>
        <v>September</v>
      </c>
      <c r="E827" s="1" t="str">
        <f>TEXT(Delivery_data[[#This Row],[Order date]], "DDDD")</f>
        <v>Wednesday</v>
      </c>
      <c r="F827" s="2">
        <v>0.49166666666666664</v>
      </c>
      <c r="G827" t="s">
        <v>48</v>
      </c>
      <c r="H827" t="str">
        <f>IF(Delivery_data[[#This Row],[Order Status]] = "In Progress", "Backlog", "Complete")</f>
        <v>Backlog</v>
      </c>
      <c r="I827" t="s">
        <v>415</v>
      </c>
      <c r="J827" t="s">
        <v>1631</v>
      </c>
      <c r="K827" t="s">
        <v>44</v>
      </c>
      <c r="L827">
        <v>166</v>
      </c>
      <c r="M827">
        <v>1</v>
      </c>
      <c r="N827" t="s">
        <v>25</v>
      </c>
      <c r="O827" t="s">
        <v>33</v>
      </c>
      <c r="P827" t="s">
        <v>27</v>
      </c>
      <c r="Q827" t="s">
        <v>28</v>
      </c>
      <c r="R827" s="2">
        <v>0.61875000000000002</v>
      </c>
    </row>
    <row r="828" spans="1:18" x14ac:dyDescent="0.25">
      <c r="A828" t="s">
        <v>3129</v>
      </c>
      <c r="B828" t="s">
        <v>1592</v>
      </c>
      <c r="C828" s="1">
        <v>45176</v>
      </c>
      <c r="D828" s="1" t="str">
        <f>TEXT(Delivery_data[[#This Row],[Order date]], "MMMM")</f>
        <v>September</v>
      </c>
      <c r="E828" s="1" t="str">
        <f>TEXT(Delivery_data[[#This Row],[Order date]], "DDDD")</f>
        <v>Thursday</v>
      </c>
      <c r="F828" s="2">
        <v>0.51041666666666663</v>
      </c>
      <c r="G828" t="s">
        <v>48</v>
      </c>
      <c r="H828" t="str">
        <f>IF(Delivery_data[[#This Row],[Order Status]] = "In Progress", "Backlog", "Complete")</f>
        <v>Backlog</v>
      </c>
      <c r="I828" t="s">
        <v>415</v>
      </c>
      <c r="J828" t="s">
        <v>1631</v>
      </c>
      <c r="K828" t="s">
        <v>24</v>
      </c>
      <c r="L828">
        <v>142</v>
      </c>
      <c r="M828">
        <v>21</v>
      </c>
      <c r="N828" t="s">
        <v>38</v>
      </c>
      <c r="O828" t="s">
        <v>26</v>
      </c>
      <c r="P828" t="s">
        <v>45</v>
      </c>
      <c r="Q828" t="s">
        <v>28</v>
      </c>
      <c r="R828" s="2">
        <v>0.57708333333333328</v>
      </c>
    </row>
    <row r="829" spans="1:18" x14ac:dyDescent="0.25">
      <c r="A829" t="s">
        <v>1780</v>
      </c>
      <c r="B829" t="s">
        <v>267</v>
      </c>
      <c r="C829" s="1">
        <v>45175</v>
      </c>
      <c r="D829" s="1" t="str">
        <f>TEXT(Delivery_data[[#This Row],[Order date]], "MMMM")</f>
        <v>September</v>
      </c>
      <c r="E829" s="1" t="str">
        <f>TEXT(Delivery_data[[#This Row],[Order date]], "DDDD")</f>
        <v>Wednesday</v>
      </c>
      <c r="F829" s="2">
        <v>0.38055555555555554</v>
      </c>
      <c r="G829" t="s">
        <v>48</v>
      </c>
      <c r="H829" t="str">
        <f>IF(Delivery_data[[#This Row],[Order Status]] = "In Progress", "Backlog", "Complete")</f>
        <v>Backlog</v>
      </c>
      <c r="I829" t="s">
        <v>268</v>
      </c>
      <c r="J829" t="s">
        <v>1631</v>
      </c>
      <c r="K829" t="s">
        <v>37</v>
      </c>
      <c r="L829">
        <v>183</v>
      </c>
      <c r="M829">
        <v>14</v>
      </c>
      <c r="N829" t="s">
        <v>25</v>
      </c>
      <c r="O829" t="s">
        <v>33</v>
      </c>
      <c r="P829" t="s">
        <v>34</v>
      </c>
      <c r="Q829" t="s">
        <v>46</v>
      </c>
      <c r="R829" s="2">
        <v>0.47847222222222224</v>
      </c>
    </row>
    <row r="830" spans="1:18" x14ac:dyDescent="0.25">
      <c r="A830" t="s">
        <v>2130</v>
      </c>
      <c r="B830" t="s">
        <v>634</v>
      </c>
      <c r="C830" s="1">
        <v>45174</v>
      </c>
      <c r="D830" s="1" t="str">
        <f>TEXT(Delivery_data[[#This Row],[Order date]], "MMMM")</f>
        <v>September</v>
      </c>
      <c r="E830" s="1" t="str">
        <f>TEXT(Delivery_data[[#This Row],[Order date]], "DDDD")</f>
        <v>Tuesday</v>
      </c>
      <c r="F830" s="2">
        <v>0.62916666666666665</v>
      </c>
      <c r="G830" t="s">
        <v>22</v>
      </c>
      <c r="H830" t="str">
        <f>IF(Delivery_data[[#This Row],[Order Status]] = "In Progress", "Backlog", "Complete")</f>
        <v>Complete</v>
      </c>
      <c r="I830" t="s">
        <v>268</v>
      </c>
      <c r="J830" t="s">
        <v>1631</v>
      </c>
      <c r="K830" t="s">
        <v>61</v>
      </c>
      <c r="L830">
        <v>181</v>
      </c>
      <c r="M830">
        <v>2</v>
      </c>
      <c r="N830" t="s">
        <v>38</v>
      </c>
      <c r="O830" t="s">
        <v>33</v>
      </c>
      <c r="P830" t="s">
        <v>45</v>
      </c>
      <c r="Q830" t="s">
        <v>51</v>
      </c>
      <c r="R830" s="2">
        <v>0.47569444444444442</v>
      </c>
    </row>
    <row r="831" spans="1:18" x14ac:dyDescent="0.25">
      <c r="A831" t="s">
        <v>2340</v>
      </c>
      <c r="B831" t="s">
        <v>838</v>
      </c>
      <c r="C831" s="1">
        <v>45175</v>
      </c>
      <c r="D831" s="1" t="str">
        <f>TEXT(Delivery_data[[#This Row],[Order date]], "MMMM")</f>
        <v>September</v>
      </c>
      <c r="E831" s="1" t="str">
        <f>TEXT(Delivery_data[[#This Row],[Order date]], "DDDD")</f>
        <v>Wednesday</v>
      </c>
      <c r="F831" s="2">
        <v>0.46527777777777779</v>
      </c>
      <c r="G831" t="s">
        <v>22</v>
      </c>
      <c r="H831" t="str">
        <f>IF(Delivery_data[[#This Row],[Order Status]] = "In Progress", "Backlog", "Complete")</f>
        <v>Complete</v>
      </c>
      <c r="I831" t="s">
        <v>268</v>
      </c>
      <c r="J831" t="s">
        <v>1637</v>
      </c>
      <c r="K831" t="s">
        <v>37</v>
      </c>
      <c r="L831">
        <v>114</v>
      </c>
      <c r="M831">
        <v>13</v>
      </c>
      <c r="N831" t="s">
        <v>32</v>
      </c>
      <c r="O831" t="s">
        <v>26</v>
      </c>
      <c r="P831" t="s">
        <v>45</v>
      </c>
      <c r="Q831" t="s">
        <v>51</v>
      </c>
      <c r="R831" s="2">
        <v>0.67847222222222225</v>
      </c>
    </row>
    <row r="832" spans="1:18" x14ac:dyDescent="0.25">
      <c r="A832" t="s">
        <v>2484</v>
      </c>
      <c r="B832" t="s">
        <v>975</v>
      </c>
      <c r="C832" s="1">
        <v>45175</v>
      </c>
      <c r="D832" s="1" t="str">
        <f>TEXT(Delivery_data[[#This Row],[Order date]], "MMMM")</f>
        <v>September</v>
      </c>
      <c r="E832" s="1" t="str">
        <f>TEXT(Delivery_data[[#This Row],[Order date]], "DDDD")</f>
        <v>Wednesday</v>
      </c>
      <c r="F832" s="2">
        <v>0.43055555555555558</v>
      </c>
      <c r="G832" t="s">
        <v>22</v>
      </c>
      <c r="H832" t="str">
        <f>IF(Delivery_data[[#This Row],[Order Status]] = "In Progress", "Backlog", "Complete")</f>
        <v>Complete</v>
      </c>
      <c r="I832" t="s">
        <v>268</v>
      </c>
      <c r="J832" t="s">
        <v>1637</v>
      </c>
      <c r="K832" t="s">
        <v>24</v>
      </c>
      <c r="L832">
        <v>213</v>
      </c>
      <c r="M832">
        <v>27</v>
      </c>
      <c r="N832" t="s">
        <v>25</v>
      </c>
      <c r="O832" t="s">
        <v>50</v>
      </c>
      <c r="P832" t="s">
        <v>45</v>
      </c>
      <c r="Q832" t="s">
        <v>51</v>
      </c>
      <c r="R832" s="2">
        <v>0.54166666666666663</v>
      </c>
    </row>
    <row r="833" spans="1:18" x14ac:dyDescent="0.25">
      <c r="A833" t="s">
        <v>2543</v>
      </c>
      <c r="B833" t="s">
        <v>1029</v>
      </c>
      <c r="C833" s="1">
        <v>45172</v>
      </c>
      <c r="D833" s="1" t="str">
        <f>TEXT(Delivery_data[[#This Row],[Order date]], "MMMM")</f>
        <v>September</v>
      </c>
      <c r="E833" s="1" t="str">
        <f>TEXT(Delivery_data[[#This Row],[Order date]], "DDDD")</f>
        <v>Sunday</v>
      </c>
      <c r="F833" s="2">
        <v>0.4236111111111111</v>
      </c>
      <c r="G833" t="s">
        <v>22</v>
      </c>
      <c r="H833" t="str">
        <f>IF(Delivery_data[[#This Row],[Order Status]] = "In Progress", "Backlog", "Complete")</f>
        <v>Complete</v>
      </c>
      <c r="I833" t="s">
        <v>268</v>
      </c>
      <c r="J833" t="s">
        <v>1637</v>
      </c>
      <c r="K833" t="s">
        <v>37</v>
      </c>
      <c r="L833">
        <v>61</v>
      </c>
      <c r="M833">
        <v>20</v>
      </c>
      <c r="N833" t="s">
        <v>32</v>
      </c>
      <c r="O833" t="s">
        <v>54</v>
      </c>
      <c r="P833" t="s">
        <v>45</v>
      </c>
      <c r="Q833" t="s">
        <v>28</v>
      </c>
      <c r="R833" s="2">
        <v>0.41041666666666665</v>
      </c>
    </row>
    <row r="834" spans="1:18" x14ac:dyDescent="0.25">
      <c r="A834" t="s">
        <v>2546</v>
      </c>
      <c r="B834" t="s">
        <v>1032</v>
      </c>
      <c r="C834" s="1">
        <v>45175</v>
      </c>
      <c r="D834" s="1" t="str">
        <f>TEXT(Delivery_data[[#This Row],[Order date]], "MMMM")</f>
        <v>September</v>
      </c>
      <c r="E834" s="1" t="str">
        <f>TEXT(Delivery_data[[#This Row],[Order date]], "DDDD")</f>
        <v>Wednesday</v>
      </c>
      <c r="F834" s="2">
        <v>0.34583333333333333</v>
      </c>
      <c r="G834" t="s">
        <v>22</v>
      </c>
      <c r="H834" t="str">
        <f>IF(Delivery_data[[#This Row],[Order Status]] = "In Progress", "Backlog", "Complete")</f>
        <v>Complete</v>
      </c>
      <c r="I834" t="s">
        <v>268</v>
      </c>
      <c r="J834" t="s">
        <v>1637</v>
      </c>
      <c r="K834" t="s">
        <v>61</v>
      </c>
      <c r="L834">
        <v>72</v>
      </c>
      <c r="M834">
        <v>25</v>
      </c>
      <c r="N834" t="s">
        <v>38</v>
      </c>
      <c r="O834" t="s">
        <v>41</v>
      </c>
      <c r="P834" t="s">
        <v>27</v>
      </c>
      <c r="Q834" t="s">
        <v>46</v>
      </c>
      <c r="R834" s="2">
        <v>0.52638888888888891</v>
      </c>
    </row>
    <row r="835" spans="1:18" x14ac:dyDescent="0.25">
      <c r="A835" t="s">
        <v>2760</v>
      </c>
      <c r="B835" t="s">
        <v>1238</v>
      </c>
      <c r="C835" s="1">
        <v>45174</v>
      </c>
      <c r="D835" s="1" t="str">
        <f>TEXT(Delivery_data[[#This Row],[Order date]], "MMMM")</f>
        <v>September</v>
      </c>
      <c r="E835" s="1" t="str">
        <f>TEXT(Delivery_data[[#This Row],[Order date]], "DDDD")</f>
        <v>Tuesday</v>
      </c>
      <c r="F835" s="2">
        <v>0.63888888888888884</v>
      </c>
      <c r="G835" t="s">
        <v>48</v>
      </c>
      <c r="H835" t="str">
        <f>IF(Delivery_data[[#This Row],[Order Status]] = "In Progress", "Backlog", "Complete")</f>
        <v>Backlog</v>
      </c>
      <c r="I835" t="s">
        <v>268</v>
      </c>
      <c r="J835" t="s">
        <v>1631</v>
      </c>
      <c r="K835" t="s">
        <v>61</v>
      </c>
      <c r="L835">
        <v>141</v>
      </c>
      <c r="M835">
        <v>24</v>
      </c>
      <c r="N835" t="s">
        <v>38</v>
      </c>
      <c r="O835" t="s">
        <v>33</v>
      </c>
      <c r="P835" t="s">
        <v>27</v>
      </c>
      <c r="Q835" t="s">
        <v>28</v>
      </c>
      <c r="R835" s="2">
        <v>0.69374999999999998</v>
      </c>
    </row>
    <row r="836" spans="1:18" x14ac:dyDescent="0.25">
      <c r="A836" t="s">
        <v>2774</v>
      </c>
      <c r="B836" t="s">
        <v>1252</v>
      </c>
      <c r="C836" s="1">
        <v>45170</v>
      </c>
      <c r="D836" s="1" t="str">
        <f>TEXT(Delivery_data[[#This Row],[Order date]], "MMMM")</f>
        <v>September</v>
      </c>
      <c r="E836" s="1" t="str">
        <f>TEXT(Delivery_data[[#This Row],[Order date]], "DDDD")</f>
        <v>Friday</v>
      </c>
      <c r="F836" s="2">
        <v>0.37847222222222221</v>
      </c>
      <c r="G836" t="s">
        <v>22</v>
      </c>
      <c r="H836" t="str">
        <f>IF(Delivery_data[[#This Row],[Order Status]] = "In Progress", "Backlog", "Complete")</f>
        <v>Complete</v>
      </c>
      <c r="I836" t="s">
        <v>268</v>
      </c>
      <c r="J836" t="s">
        <v>1637</v>
      </c>
      <c r="K836" t="s">
        <v>24</v>
      </c>
      <c r="L836">
        <v>165</v>
      </c>
      <c r="M836">
        <v>15</v>
      </c>
      <c r="N836" t="s">
        <v>25</v>
      </c>
      <c r="O836" t="s">
        <v>33</v>
      </c>
      <c r="P836" t="s">
        <v>27</v>
      </c>
      <c r="Q836" t="s">
        <v>51</v>
      </c>
      <c r="R836" s="2">
        <v>0.68958333333333333</v>
      </c>
    </row>
    <row r="837" spans="1:18" x14ac:dyDescent="0.25">
      <c r="A837" t="s">
        <v>2869</v>
      </c>
      <c r="B837" t="s">
        <v>1343</v>
      </c>
      <c r="C837" s="1">
        <v>45170</v>
      </c>
      <c r="D837" s="1" t="str">
        <f>TEXT(Delivery_data[[#This Row],[Order date]], "MMMM")</f>
        <v>September</v>
      </c>
      <c r="E837" s="1" t="str">
        <f>TEXT(Delivery_data[[#This Row],[Order date]], "DDDD")</f>
        <v>Friday</v>
      </c>
      <c r="F837" s="2">
        <v>0.40763888888888888</v>
      </c>
      <c r="G837" t="s">
        <v>22</v>
      </c>
      <c r="H837" t="str">
        <f>IF(Delivery_data[[#This Row],[Order Status]] = "In Progress", "Backlog", "Complete")</f>
        <v>Complete</v>
      </c>
      <c r="I837" t="s">
        <v>268</v>
      </c>
      <c r="J837" t="s">
        <v>1631</v>
      </c>
      <c r="K837" t="s">
        <v>61</v>
      </c>
      <c r="L837">
        <v>123</v>
      </c>
      <c r="M837">
        <v>13</v>
      </c>
      <c r="N837" t="s">
        <v>25</v>
      </c>
      <c r="O837" t="s">
        <v>50</v>
      </c>
      <c r="P837" t="s">
        <v>27</v>
      </c>
      <c r="Q837" t="s">
        <v>51</v>
      </c>
      <c r="R837" s="2">
        <v>0.57777777777777772</v>
      </c>
    </row>
    <row r="838" spans="1:18" x14ac:dyDescent="0.25">
      <c r="A838" t="s">
        <v>3036</v>
      </c>
      <c r="B838" t="s">
        <v>1506</v>
      </c>
      <c r="C838" s="1">
        <v>45172</v>
      </c>
      <c r="D838" s="1" t="str">
        <f>TEXT(Delivery_data[[#This Row],[Order date]], "MMMM")</f>
        <v>September</v>
      </c>
      <c r="E838" s="1" t="str">
        <f>TEXT(Delivery_data[[#This Row],[Order date]], "DDDD")</f>
        <v>Sunday</v>
      </c>
      <c r="F838" s="2">
        <v>0.6875</v>
      </c>
      <c r="G838" t="s">
        <v>22</v>
      </c>
      <c r="H838" t="str">
        <f>IF(Delivery_data[[#This Row],[Order Status]] = "In Progress", "Backlog", "Complete")</f>
        <v>Complete</v>
      </c>
      <c r="I838" t="s">
        <v>268</v>
      </c>
      <c r="J838" t="s">
        <v>1631</v>
      </c>
      <c r="K838" t="s">
        <v>37</v>
      </c>
      <c r="L838">
        <v>187</v>
      </c>
      <c r="M838">
        <v>6</v>
      </c>
      <c r="N838" t="s">
        <v>32</v>
      </c>
      <c r="O838" t="s">
        <v>41</v>
      </c>
      <c r="P838" t="s">
        <v>34</v>
      </c>
      <c r="Q838" t="s">
        <v>51</v>
      </c>
      <c r="R838" s="2">
        <v>0.66805555555555551</v>
      </c>
    </row>
    <row r="839" spans="1:18" x14ac:dyDescent="0.25">
      <c r="A839" t="s">
        <v>3069</v>
      </c>
      <c r="B839" t="s">
        <v>1537</v>
      </c>
      <c r="C839" s="1">
        <v>45175</v>
      </c>
      <c r="D839" s="1" t="str">
        <f>TEXT(Delivery_data[[#This Row],[Order date]], "MMMM")</f>
        <v>September</v>
      </c>
      <c r="E839" s="1" t="str">
        <f>TEXT(Delivery_data[[#This Row],[Order date]], "DDDD")</f>
        <v>Wednesday</v>
      </c>
      <c r="F839" s="2">
        <v>0.63194444444444442</v>
      </c>
      <c r="G839" t="s">
        <v>22</v>
      </c>
      <c r="H839" t="str">
        <f>IF(Delivery_data[[#This Row],[Order Status]] = "In Progress", "Backlog", "Complete")</f>
        <v>Complete</v>
      </c>
      <c r="I839" t="s">
        <v>268</v>
      </c>
      <c r="J839" t="s">
        <v>1631</v>
      </c>
      <c r="K839" t="s">
        <v>44</v>
      </c>
      <c r="L839">
        <v>101</v>
      </c>
      <c r="M839">
        <v>17</v>
      </c>
      <c r="N839" t="s">
        <v>25</v>
      </c>
      <c r="O839" t="s">
        <v>26</v>
      </c>
      <c r="P839" t="s">
        <v>27</v>
      </c>
      <c r="Q839" t="s">
        <v>51</v>
      </c>
      <c r="R839" s="2">
        <v>0.52569444444444446</v>
      </c>
    </row>
    <row r="840" spans="1:18" x14ac:dyDescent="0.25">
      <c r="A840" t="s">
        <v>1793</v>
      </c>
      <c r="B840" t="s">
        <v>285</v>
      </c>
      <c r="C840" s="1">
        <v>45171</v>
      </c>
      <c r="D840" s="1" t="str">
        <f>TEXT(Delivery_data[[#This Row],[Order date]], "MMMM")</f>
        <v>September</v>
      </c>
      <c r="E840" s="1" t="str">
        <f>TEXT(Delivery_data[[#This Row],[Order date]], "DDDD")</f>
        <v>Saturday</v>
      </c>
      <c r="F840" s="2">
        <v>0.39513888888888887</v>
      </c>
      <c r="G840" t="s">
        <v>22</v>
      </c>
      <c r="H840" t="str">
        <f>IF(Delivery_data[[#This Row],[Order Status]] = "In Progress", "Backlog", "Complete")</f>
        <v>Complete</v>
      </c>
      <c r="I840" t="s">
        <v>286</v>
      </c>
      <c r="J840" t="s">
        <v>1631</v>
      </c>
      <c r="K840" t="s">
        <v>24</v>
      </c>
      <c r="L840">
        <v>188</v>
      </c>
      <c r="M840">
        <v>2</v>
      </c>
      <c r="N840" t="s">
        <v>38</v>
      </c>
      <c r="O840" t="s">
        <v>50</v>
      </c>
      <c r="P840" t="s">
        <v>34</v>
      </c>
      <c r="Q840" t="s">
        <v>46</v>
      </c>
      <c r="R840" s="2">
        <v>0.71944444444444444</v>
      </c>
    </row>
    <row r="841" spans="1:18" x14ac:dyDescent="0.25">
      <c r="A841" t="s">
        <v>1830</v>
      </c>
      <c r="B841" t="s">
        <v>328</v>
      </c>
      <c r="C841" s="1">
        <v>45176</v>
      </c>
      <c r="D841" s="1" t="str">
        <f>TEXT(Delivery_data[[#This Row],[Order date]], "MMMM")</f>
        <v>September</v>
      </c>
      <c r="E841" s="1" t="str">
        <f>TEXT(Delivery_data[[#This Row],[Order date]], "DDDD")</f>
        <v>Thursday</v>
      </c>
      <c r="F841" s="2">
        <v>0.57361111111111107</v>
      </c>
      <c r="G841" t="s">
        <v>48</v>
      </c>
      <c r="H841" t="str">
        <f>IF(Delivery_data[[#This Row],[Order Status]] = "In Progress", "Backlog", "Complete")</f>
        <v>Backlog</v>
      </c>
      <c r="I841" t="s">
        <v>286</v>
      </c>
      <c r="J841" t="s">
        <v>1631</v>
      </c>
      <c r="K841" t="s">
        <v>61</v>
      </c>
      <c r="L841">
        <v>72</v>
      </c>
      <c r="M841">
        <v>25</v>
      </c>
      <c r="N841" t="s">
        <v>38</v>
      </c>
      <c r="O841" t="s">
        <v>41</v>
      </c>
      <c r="P841" t="s">
        <v>34</v>
      </c>
      <c r="Q841" t="s">
        <v>46</v>
      </c>
      <c r="R841" s="2">
        <v>0.375</v>
      </c>
    </row>
    <row r="842" spans="1:18" x14ac:dyDescent="0.25">
      <c r="A842" t="s">
        <v>1923</v>
      </c>
      <c r="B842" t="s">
        <v>426</v>
      </c>
      <c r="C842" s="1">
        <v>45177</v>
      </c>
      <c r="D842" s="1" t="str">
        <f>TEXT(Delivery_data[[#This Row],[Order date]], "MMMM")</f>
        <v>September</v>
      </c>
      <c r="E842" s="1" t="str">
        <f>TEXT(Delivery_data[[#This Row],[Order date]], "DDDD")</f>
        <v>Friday</v>
      </c>
      <c r="F842" s="2">
        <v>0.40208333333333335</v>
      </c>
      <c r="G842" t="s">
        <v>22</v>
      </c>
      <c r="H842" t="str">
        <f>IF(Delivery_data[[#This Row],[Order Status]] = "In Progress", "Backlog", "Complete")</f>
        <v>Complete</v>
      </c>
      <c r="I842" t="s">
        <v>286</v>
      </c>
      <c r="J842" t="s">
        <v>1633</v>
      </c>
      <c r="K842" t="s">
        <v>61</v>
      </c>
      <c r="L842">
        <v>161</v>
      </c>
      <c r="M842">
        <v>11</v>
      </c>
      <c r="N842" t="s">
        <v>38</v>
      </c>
      <c r="O842" t="s">
        <v>54</v>
      </c>
      <c r="P842" t="s">
        <v>34</v>
      </c>
      <c r="Q842" t="s">
        <v>46</v>
      </c>
      <c r="R842" s="2">
        <v>0.64166666666666672</v>
      </c>
    </row>
    <row r="843" spans="1:18" x14ac:dyDescent="0.25">
      <c r="A843" t="s">
        <v>1974</v>
      </c>
      <c r="B843" t="s">
        <v>479</v>
      </c>
      <c r="C843" s="1">
        <v>45172</v>
      </c>
      <c r="D843" s="1" t="str">
        <f>TEXT(Delivery_data[[#This Row],[Order date]], "MMMM")</f>
        <v>September</v>
      </c>
      <c r="E843" s="1" t="str">
        <f>TEXT(Delivery_data[[#This Row],[Order date]], "DDDD")</f>
        <v>Sunday</v>
      </c>
      <c r="F843" s="2">
        <v>0.67986111111111114</v>
      </c>
      <c r="G843" t="s">
        <v>48</v>
      </c>
      <c r="H843" t="str">
        <f>IF(Delivery_data[[#This Row],[Order Status]] = "In Progress", "Backlog", "Complete")</f>
        <v>Backlog</v>
      </c>
      <c r="I843" t="s">
        <v>286</v>
      </c>
      <c r="J843" t="s">
        <v>1631</v>
      </c>
      <c r="K843" t="s">
        <v>24</v>
      </c>
      <c r="L843">
        <v>185</v>
      </c>
      <c r="M843">
        <v>26</v>
      </c>
      <c r="N843" t="s">
        <v>32</v>
      </c>
      <c r="O843" t="s">
        <v>33</v>
      </c>
      <c r="P843" t="s">
        <v>34</v>
      </c>
      <c r="Q843" t="s">
        <v>51</v>
      </c>
      <c r="R843" s="2">
        <v>0.72638888888888886</v>
      </c>
    </row>
    <row r="844" spans="1:18" x14ac:dyDescent="0.25">
      <c r="A844" t="s">
        <v>2047</v>
      </c>
      <c r="B844" t="s">
        <v>552</v>
      </c>
      <c r="C844" s="1">
        <v>45170</v>
      </c>
      <c r="D844" s="1" t="str">
        <f>TEXT(Delivery_data[[#This Row],[Order date]], "MMMM")</f>
        <v>September</v>
      </c>
      <c r="E844" s="1" t="str">
        <f>TEXT(Delivery_data[[#This Row],[Order date]], "DDDD")</f>
        <v>Friday</v>
      </c>
      <c r="F844" s="2">
        <v>0.70208333333333328</v>
      </c>
      <c r="G844" t="s">
        <v>22</v>
      </c>
      <c r="H844" t="str">
        <f>IF(Delivery_data[[#This Row],[Order Status]] = "In Progress", "Backlog", "Complete")</f>
        <v>Complete</v>
      </c>
      <c r="I844" t="s">
        <v>286</v>
      </c>
      <c r="J844" t="s">
        <v>1633</v>
      </c>
      <c r="K844" t="s">
        <v>24</v>
      </c>
      <c r="L844">
        <v>203</v>
      </c>
      <c r="M844">
        <v>28</v>
      </c>
      <c r="N844" t="s">
        <v>32</v>
      </c>
      <c r="O844" t="s">
        <v>41</v>
      </c>
      <c r="P844" t="s">
        <v>27</v>
      </c>
      <c r="Q844" t="s">
        <v>46</v>
      </c>
      <c r="R844" s="2">
        <v>0.44722222222222224</v>
      </c>
    </row>
    <row r="845" spans="1:18" x14ac:dyDescent="0.25">
      <c r="A845" t="s">
        <v>2170</v>
      </c>
      <c r="B845" t="s">
        <v>671</v>
      </c>
      <c r="C845" s="1">
        <v>45176</v>
      </c>
      <c r="D845" s="1" t="str">
        <f>TEXT(Delivery_data[[#This Row],[Order date]], "MMMM")</f>
        <v>September</v>
      </c>
      <c r="E845" s="1" t="str">
        <f>TEXT(Delivery_data[[#This Row],[Order date]], "DDDD")</f>
        <v>Thursday</v>
      </c>
      <c r="F845" s="2">
        <v>0.6020833333333333</v>
      </c>
      <c r="G845" t="s">
        <v>22</v>
      </c>
      <c r="H845" t="str">
        <f>IF(Delivery_data[[#This Row],[Order Status]] = "In Progress", "Backlog", "Complete")</f>
        <v>Complete</v>
      </c>
      <c r="I845" t="s">
        <v>286</v>
      </c>
      <c r="J845" t="s">
        <v>1631</v>
      </c>
      <c r="K845" t="s">
        <v>37</v>
      </c>
      <c r="L845">
        <v>192</v>
      </c>
      <c r="M845">
        <v>14</v>
      </c>
      <c r="N845" t="s">
        <v>25</v>
      </c>
      <c r="O845" t="s">
        <v>50</v>
      </c>
      <c r="P845" t="s">
        <v>27</v>
      </c>
      <c r="Q845" t="s">
        <v>28</v>
      </c>
      <c r="R845" s="2">
        <v>0.61944444444444446</v>
      </c>
    </row>
    <row r="846" spans="1:18" x14ac:dyDescent="0.25">
      <c r="A846" t="s">
        <v>2290</v>
      </c>
      <c r="B846" t="s">
        <v>789</v>
      </c>
      <c r="C846" s="1">
        <v>45176</v>
      </c>
      <c r="D846" s="1" t="str">
        <f>TEXT(Delivery_data[[#This Row],[Order date]], "MMMM")</f>
        <v>September</v>
      </c>
      <c r="E846" s="1" t="str">
        <f>TEXT(Delivery_data[[#This Row],[Order date]], "DDDD")</f>
        <v>Thursday</v>
      </c>
      <c r="F846" s="2">
        <v>0.65486111111111112</v>
      </c>
      <c r="G846" t="s">
        <v>48</v>
      </c>
      <c r="H846" t="str">
        <f>IF(Delivery_data[[#This Row],[Order Status]] = "In Progress", "Backlog", "Complete")</f>
        <v>Backlog</v>
      </c>
      <c r="I846" t="s">
        <v>286</v>
      </c>
      <c r="J846" t="s">
        <v>1637</v>
      </c>
      <c r="K846" t="s">
        <v>37</v>
      </c>
      <c r="L846">
        <v>219</v>
      </c>
      <c r="M846">
        <v>28</v>
      </c>
      <c r="N846" t="s">
        <v>32</v>
      </c>
      <c r="O846" t="s">
        <v>41</v>
      </c>
      <c r="P846" t="s">
        <v>34</v>
      </c>
      <c r="Q846" t="s">
        <v>28</v>
      </c>
      <c r="R846" s="2">
        <v>0.55625000000000002</v>
      </c>
    </row>
    <row r="847" spans="1:18" x14ac:dyDescent="0.25">
      <c r="A847" t="s">
        <v>2327</v>
      </c>
      <c r="B847" t="s">
        <v>825</v>
      </c>
      <c r="C847" s="1">
        <v>45170</v>
      </c>
      <c r="D847" s="1" t="str">
        <f>TEXT(Delivery_data[[#This Row],[Order date]], "MMMM")</f>
        <v>September</v>
      </c>
      <c r="E847" s="1" t="str">
        <f>TEXT(Delivery_data[[#This Row],[Order date]], "DDDD")</f>
        <v>Friday</v>
      </c>
      <c r="F847" s="2">
        <v>0.36180555555555555</v>
      </c>
      <c r="G847" t="s">
        <v>48</v>
      </c>
      <c r="H847" t="str">
        <f>IF(Delivery_data[[#This Row],[Order Status]] = "In Progress", "Backlog", "Complete")</f>
        <v>Backlog</v>
      </c>
      <c r="I847" t="s">
        <v>286</v>
      </c>
      <c r="J847" t="s">
        <v>1631</v>
      </c>
      <c r="K847" t="s">
        <v>24</v>
      </c>
      <c r="L847">
        <v>208</v>
      </c>
      <c r="M847">
        <v>29</v>
      </c>
      <c r="N847" t="s">
        <v>32</v>
      </c>
      <c r="O847" t="s">
        <v>54</v>
      </c>
      <c r="P847" t="s">
        <v>27</v>
      </c>
      <c r="Q847" t="s">
        <v>51</v>
      </c>
      <c r="R847" s="2">
        <v>0.64583333333333337</v>
      </c>
    </row>
    <row r="848" spans="1:18" x14ac:dyDescent="0.25">
      <c r="A848" t="s">
        <v>2364</v>
      </c>
      <c r="B848" t="s">
        <v>861</v>
      </c>
      <c r="C848" s="1">
        <v>45172</v>
      </c>
      <c r="D848" s="1" t="str">
        <f>TEXT(Delivery_data[[#This Row],[Order date]], "MMMM")</f>
        <v>September</v>
      </c>
      <c r="E848" s="1" t="str">
        <f>TEXT(Delivery_data[[#This Row],[Order date]], "DDDD")</f>
        <v>Sunday</v>
      </c>
      <c r="F848" s="2">
        <v>0.61250000000000004</v>
      </c>
      <c r="G848" t="s">
        <v>22</v>
      </c>
      <c r="H848" t="str">
        <f>IF(Delivery_data[[#This Row],[Order Status]] = "In Progress", "Backlog", "Complete")</f>
        <v>Complete</v>
      </c>
      <c r="I848" t="s">
        <v>286</v>
      </c>
      <c r="J848" t="s">
        <v>1631</v>
      </c>
      <c r="K848" t="s">
        <v>61</v>
      </c>
      <c r="L848">
        <v>204</v>
      </c>
      <c r="M848">
        <v>3</v>
      </c>
      <c r="N848" t="s">
        <v>38</v>
      </c>
      <c r="O848" t="s">
        <v>26</v>
      </c>
      <c r="P848" t="s">
        <v>34</v>
      </c>
      <c r="Q848" t="s">
        <v>51</v>
      </c>
      <c r="R848" s="2">
        <v>0.58194444444444449</v>
      </c>
    </row>
    <row r="849" spans="1:18" x14ac:dyDescent="0.25">
      <c r="A849" t="s">
        <v>2528</v>
      </c>
      <c r="B849" t="s">
        <v>1016</v>
      </c>
      <c r="C849" s="1">
        <v>45176</v>
      </c>
      <c r="D849" s="1" t="str">
        <f>TEXT(Delivery_data[[#This Row],[Order date]], "MMMM")</f>
        <v>September</v>
      </c>
      <c r="E849" s="1" t="str">
        <f>TEXT(Delivery_data[[#This Row],[Order date]], "DDDD")</f>
        <v>Thursday</v>
      </c>
      <c r="F849" s="2">
        <v>0.46319444444444446</v>
      </c>
      <c r="G849" t="s">
        <v>48</v>
      </c>
      <c r="H849" t="str">
        <f>IF(Delivery_data[[#This Row],[Order Status]] = "In Progress", "Backlog", "Complete")</f>
        <v>Backlog</v>
      </c>
      <c r="I849" t="s">
        <v>286</v>
      </c>
      <c r="J849" t="s">
        <v>1637</v>
      </c>
      <c r="K849" t="s">
        <v>37</v>
      </c>
      <c r="L849">
        <v>72</v>
      </c>
      <c r="M849">
        <v>22</v>
      </c>
      <c r="N849" t="s">
        <v>32</v>
      </c>
      <c r="O849" t="s">
        <v>26</v>
      </c>
      <c r="P849" t="s">
        <v>27</v>
      </c>
      <c r="Q849" t="s">
        <v>51</v>
      </c>
      <c r="R849" s="2">
        <v>0.41666666666666669</v>
      </c>
    </row>
    <row r="850" spans="1:18" x14ac:dyDescent="0.25">
      <c r="A850" t="s">
        <v>2700</v>
      </c>
      <c r="B850" t="s">
        <v>1181</v>
      </c>
      <c r="C850" s="1">
        <v>45175</v>
      </c>
      <c r="D850" s="1" t="str">
        <f>TEXT(Delivery_data[[#This Row],[Order date]], "MMMM")</f>
        <v>September</v>
      </c>
      <c r="E850" s="1" t="str">
        <f>TEXT(Delivery_data[[#This Row],[Order date]], "DDDD")</f>
        <v>Wednesday</v>
      </c>
      <c r="F850" s="2">
        <v>0.53055555555555556</v>
      </c>
      <c r="G850" t="s">
        <v>22</v>
      </c>
      <c r="H850" t="str">
        <f>IF(Delivery_data[[#This Row],[Order Status]] = "In Progress", "Backlog", "Complete")</f>
        <v>Complete</v>
      </c>
      <c r="I850" t="s">
        <v>286</v>
      </c>
      <c r="J850" t="s">
        <v>1633</v>
      </c>
      <c r="K850" t="s">
        <v>37</v>
      </c>
      <c r="L850">
        <v>221</v>
      </c>
      <c r="M850">
        <v>8</v>
      </c>
      <c r="N850" t="s">
        <v>25</v>
      </c>
      <c r="O850" t="s">
        <v>50</v>
      </c>
      <c r="P850" t="s">
        <v>27</v>
      </c>
      <c r="Q850" t="s">
        <v>46</v>
      </c>
      <c r="R850" s="2">
        <v>0.4284722222222222</v>
      </c>
    </row>
    <row r="851" spans="1:18" x14ac:dyDescent="0.25">
      <c r="A851" t="s">
        <v>2820</v>
      </c>
      <c r="B851" t="s">
        <v>1297</v>
      </c>
      <c r="C851" s="1">
        <v>45170</v>
      </c>
      <c r="D851" s="1" t="str">
        <f>TEXT(Delivery_data[[#This Row],[Order date]], "MMMM")</f>
        <v>September</v>
      </c>
      <c r="E851" s="1" t="str">
        <f>TEXT(Delivery_data[[#This Row],[Order date]], "DDDD")</f>
        <v>Friday</v>
      </c>
      <c r="F851" s="2">
        <v>0.59236111111111112</v>
      </c>
      <c r="G851" t="s">
        <v>22</v>
      </c>
      <c r="H851" t="str">
        <f>IF(Delivery_data[[#This Row],[Order Status]] = "In Progress", "Backlog", "Complete")</f>
        <v>Complete</v>
      </c>
      <c r="I851" t="s">
        <v>286</v>
      </c>
      <c r="J851" t="s">
        <v>1637</v>
      </c>
      <c r="K851" t="s">
        <v>24</v>
      </c>
      <c r="L851">
        <v>126</v>
      </c>
      <c r="M851">
        <v>29</v>
      </c>
      <c r="N851" t="s">
        <v>25</v>
      </c>
      <c r="O851" t="s">
        <v>41</v>
      </c>
      <c r="P851" t="s">
        <v>27</v>
      </c>
      <c r="Q851" t="s">
        <v>46</v>
      </c>
      <c r="R851" s="2">
        <v>0.41388888888888886</v>
      </c>
    </row>
    <row r="852" spans="1:18" x14ac:dyDescent="0.25">
      <c r="A852" t="s">
        <v>2990</v>
      </c>
      <c r="B852" t="s">
        <v>1463</v>
      </c>
      <c r="C852" s="1">
        <v>45174</v>
      </c>
      <c r="D852" s="1" t="str">
        <f>TEXT(Delivery_data[[#This Row],[Order date]], "MMMM")</f>
        <v>September</v>
      </c>
      <c r="E852" s="1" t="str">
        <f>TEXT(Delivery_data[[#This Row],[Order date]], "DDDD")</f>
        <v>Tuesday</v>
      </c>
      <c r="F852" s="2">
        <v>0.52152777777777781</v>
      </c>
      <c r="G852" t="s">
        <v>22</v>
      </c>
      <c r="H852" t="str">
        <f>IF(Delivery_data[[#This Row],[Order Status]] = "In Progress", "Backlog", "Complete")</f>
        <v>Complete</v>
      </c>
      <c r="I852" t="s">
        <v>286</v>
      </c>
      <c r="J852" t="s">
        <v>1637</v>
      </c>
      <c r="K852" t="s">
        <v>37</v>
      </c>
      <c r="L852">
        <v>133</v>
      </c>
      <c r="M852">
        <v>17</v>
      </c>
      <c r="N852" t="s">
        <v>32</v>
      </c>
      <c r="O852" t="s">
        <v>41</v>
      </c>
      <c r="P852" t="s">
        <v>45</v>
      </c>
      <c r="Q852" t="s">
        <v>46</v>
      </c>
      <c r="R852" s="2">
        <v>0.68055555555555558</v>
      </c>
    </row>
    <row r="853" spans="1:18" x14ac:dyDescent="0.25">
      <c r="A853" t="s">
        <v>3093</v>
      </c>
      <c r="B853" t="s">
        <v>1559</v>
      </c>
      <c r="C853" s="1">
        <v>45176</v>
      </c>
      <c r="D853" s="1" t="str">
        <f>TEXT(Delivery_data[[#This Row],[Order date]], "MMMM")</f>
        <v>September</v>
      </c>
      <c r="E853" s="1" t="str">
        <f>TEXT(Delivery_data[[#This Row],[Order date]], "DDDD")</f>
        <v>Thursday</v>
      </c>
      <c r="F853" s="2">
        <v>0.70486111111111116</v>
      </c>
      <c r="G853" t="s">
        <v>48</v>
      </c>
      <c r="H853" t="str">
        <f>IF(Delivery_data[[#This Row],[Order Status]] = "In Progress", "Backlog", "Complete")</f>
        <v>Backlog</v>
      </c>
      <c r="I853" t="s">
        <v>286</v>
      </c>
      <c r="J853" t="s">
        <v>1631</v>
      </c>
      <c r="K853" t="s">
        <v>44</v>
      </c>
      <c r="L853">
        <v>136</v>
      </c>
      <c r="M853">
        <v>18</v>
      </c>
      <c r="N853" t="s">
        <v>25</v>
      </c>
      <c r="O853" t="s">
        <v>41</v>
      </c>
      <c r="P853" t="s">
        <v>27</v>
      </c>
      <c r="Q853" t="s">
        <v>46</v>
      </c>
      <c r="R853" s="2">
        <v>0.60347222222222219</v>
      </c>
    </row>
    <row r="854" spans="1:18" x14ac:dyDescent="0.25">
      <c r="A854" t="s">
        <v>3099</v>
      </c>
      <c r="B854" t="s">
        <v>1565</v>
      </c>
      <c r="C854" s="1">
        <v>45172</v>
      </c>
      <c r="D854" s="1" t="str">
        <f>TEXT(Delivery_data[[#This Row],[Order date]], "MMMM")</f>
        <v>September</v>
      </c>
      <c r="E854" s="1" t="str">
        <f>TEXT(Delivery_data[[#This Row],[Order date]], "DDDD")</f>
        <v>Sunday</v>
      </c>
      <c r="F854" s="2">
        <v>0.55000000000000004</v>
      </c>
      <c r="G854" t="s">
        <v>22</v>
      </c>
      <c r="H854" t="str">
        <f>IF(Delivery_data[[#This Row],[Order Status]] = "In Progress", "Backlog", "Complete")</f>
        <v>Complete</v>
      </c>
      <c r="I854" t="s">
        <v>286</v>
      </c>
      <c r="J854" t="s">
        <v>1631</v>
      </c>
      <c r="K854" t="s">
        <v>44</v>
      </c>
      <c r="L854">
        <v>162</v>
      </c>
      <c r="M854">
        <v>16</v>
      </c>
      <c r="N854" t="s">
        <v>38</v>
      </c>
      <c r="O854" t="s">
        <v>26</v>
      </c>
      <c r="P854" t="s">
        <v>27</v>
      </c>
      <c r="Q854" t="s">
        <v>28</v>
      </c>
      <c r="R854" s="2">
        <v>0.66388888888888886</v>
      </c>
    </row>
    <row r="855" spans="1:18" x14ac:dyDescent="0.25">
      <c r="A855" t="s">
        <v>3105</v>
      </c>
      <c r="B855" t="s">
        <v>1571</v>
      </c>
      <c r="C855" s="1">
        <v>45173</v>
      </c>
      <c r="D855" s="1" t="str">
        <f>TEXT(Delivery_data[[#This Row],[Order date]], "MMMM")</f>
        <v>September</v>
      </c>
      <c r="E855" s="1" t="str">
        <f>TEXT(Delivery_data[[#This Row],[Order date]], "DDDD")</f>
        <v>Monday</v>
      </c>
      <c r="F855" s="2">
        <v>0.54652777777777772</v>
      </c>
      <c r="G855" t="s">
        <v>48</v>
      </c>
      <c r="H855" t="str">
        <f>IF(Delivery_data[[#This Row],[Order Status]] = "In Progress", "Backlog", "Complete")</f>
        <v>Backlog</v>
      </c>
      <c r="I855" t="s">
        <v>286</v>
      </c>
      <c r="J855" t="s">
        <v>1631</v>
      </c>
      <c r="K855" t="s">
        <v>61</v>
      </c>
      <c r="L855">
        <v>228</v>
      </c>
      <c r="M855">
        <v>19</v>
      </c>
      <c r="N855" t="s">
        <v>32</v>
      </c>
      <c r="O855" t="s">
        <v>33</v>
      </c>
      <c r="P855" t="s">
        <v>34</v>
      </c>
      <c r="Q855" t="s">
        <v>28</v>
      </c>
      <c r="R855" s="2">
        <v>0.58125000000000004</v>
      </c>
    </row>
    <row r="856" spans="1:18" x14ac:dyDescent="0.25">
      <c r="A856" t="s">
        <v>1630</v>
      </c>
      <c r="B856" t="s">
        <v>21</v>
      </c>
      <c r="C856" s="1">
        <v>45173</v>
      </c>
      <c r="D856" s="1" t="str">
        <f>TEXT(Delivery_data[[#This Row],[Order date]], "MMMM")</f>
        <v>September</v>
      </c>
      <c r="E856" s="1" t="str">
        <f>TEXT(Delivery_data[[#This Row],[Order date]], "DDDD")</f>
        <v>Monday</v>
      </c>
      <c r="F856" s="2">
        <v>0.56458333333333333</v>
      </c>
      <c r="G856" t="s">
        <v>22</v>
      </c>
      <c r="H856" t="str">
        <f>IF(Delivery_data[[#This Row],[Order Status]] = "In Progress", "Backlog", "Complete")</f>
        <v>Complete</v>
      </c>
      <c r="I856" t="s">
        <v>23</v>
      </c>
      <c r="J856" t="s">
        <v>1631</v>
      </c>
      <c r="K856" t="s">
        <v>24</v>
      </c>
      <c r="L856">
        <v>92</v>
      </c>
      <c r="M856">
        <v>13</v>
      </c>
      <c r="N856" t="s">
        <v>25</v>
      </c>
      <c r="O856" t="s">
        <v>26</v>
      </c>
      <c r="P856" t="s">
        <v>27</v>
      </c>
      <c r="Q856" t="s">
        <v>28</v>
      </c>
      <c r="R856" s="2">
        <v>0.57499999999999996</v>
      </c>
    </row>
    <row r="857" spans="1:18" x14ac:dyDescent="0.25">
      <c r="A857" t="s">
        <v>1699</v>
      </c>
      <c r="B857" t="s">
        <v>157</v>
      </c>
      <c r="C857" s="1">
        <v>45172</v>
      </c>
      <c r="D857" s="1" t="str">
        <f>TEXT(Delivery_data[[#This Row],[Order date]], "MMMM")</f>
        <v>September</v>
      </c>
      <c r="E857" s="1" t="str">
        <f>TEXT(Delivery_data[[#This Row],[Order date]], "DDDD")</f>
        <v>Sunday</v>
      </c>
      <c r="F857" s="2">
        <v>0.53819444444444442</v>
      </c>
      <c r="G857" t="s">
        <v>22</v>
      </c>
      <c r="H857" t="str">
        <f>IF(Delivery_data[[#This Row],[Order Status]] = "In Progress", "Backlog", "Complete")</f>
        <v>Complete</v>
      </c>
      <c r="I857" t="s">
        <v>23</v>
      </c>
      <c r="J857" t="s">
        <v>1631</v>
      </c>
      <c r="K857" t="s">
        <v>61</v>
      </c>
      <c r="L857">
        <v>230</v>
      </c>
      <c r="M857">
        <v>8</v>
      </c>
      <c r="N857" t="s">
        <v>38</v>
      </c>
      <c r="O857" t="s">
        <v>26</v>
      </c>
      <c r="P857" t="s">
        <v>45</v>
      </c>
      <c r="Q857" t="s">
        <v>28</v>
      </c>
      <c r="R857" s="2">
        <v>0.48680555555555555</v>
      </c>
    </row>
    <row r="858" spans="1:18" x14ac:dyDescent="0.25">
      <c r="A858" t="s">
        <v>1733</v>
      </c>
      <c r="B858" t="s">
        <v>211</v>
      </c>
      <c r="C858" s="1">
        <v>45171</v>
      </c>
      <c r="D858" s="1" t="str">
        <f>TEXT(Delivery_data[[#This Row],[Order date]], "MMMM")</f>
        <v>September</v>
      </c>
      <c r="E858" s="1" t="str">
        <f>TEXT(Delivery_data[[#This Row],[Order date]], "DDDD")</f>
        <v>Saturday</v>
      </c>
      <c r="F858" s="2">
        <v>0.37222222222222223</v>
      </c>
      <c r="G858" t="s">
        <v>48</v>
      </c>
      <c r="H858" t="str">
        <f>IF(Delivery_data[[#This Row],[Order Status]] = "In Progress", "Backlog", "Complete")</f>
        <v>Backlog</v>
      </c>
      <c r="I858" t="s">
        <v>23</v>
      </c>
      <c r="J858" t="s">
        <v>1631</v>
      </c>
      <c r="K858" t="s">
        <v>37</v>
      </c>
      <c r="L858">
        <v>172</v>
      </c>
      <c r="M858">
        <v>12</v>
      </c>
      <c r="N858" t="s">
        <v>32</v>
      </c>
      <c r="O858" t="s">
        <v>50</v>
      </c>
      <c r="P858" t="s">
        <v>27</v>
      </c>
      <c r="Q858" t="s">
        <v>51</v>
      </c>
      <c r="R858" s="2">
        <v>0.4284722222222222</v>
      </c>
    </row>
    <row r="859" spans="1:18" x14ac:dyDescent="0.25">
      <c r="A859" t="s">
        <v>1746</v>
      </c>
      <c r="B859" t="s">
        <v>226</v>
      </c>
      <c r="C859" s="1">
        <v>45177</v>
      </c>
      <c r="D859" s="1" t="str">
        <f>TEXT(Delivery_data[[#This Row],[Order date]], "MMMM")</f>
        <v>September</v>
      </c>
      <c r="E859" s="1" t="str">
        <f>TEXT(Delivery_data[[#This Row],[Order date]], "DDDD")</f>
        <v>Friday</v>
      </c>
      <c r="F859" s="2">
        <v>0.70277777777777772</v>
      </c>
      <c r="G859" t="s">
        <v>22</v>
      </c>
      <c r="H859" t="str">
        <f>IF(Delivery_data[[#This Row],[Order Status]] = "In Progress", "Backlog", "Complete")</f>
        <v>Complete</v>
      </c>
      <c r="I859" t="s">
        <v>23</v>
      </c>
      <c r="J859" t="s">
        <v>1637</v>
      </c>
      <c r="K859" t="s">
        <v>31</v>
      </c>
      <c r="L859">
        <v>233</v>
      </c>
      <c r="M859">
        <v>1</v>
      </c>
      <c r="N859" t="s">
        <v>38</v>
      </c>
      <c r="O859" t="s">
        <v>41</v>
      </c>
      <c r="P859" t="s">
        <v>34</v>
      </c>
      <c r="Q859" t="s">
        <v>28</v>
      </c>
      <c r="R859" s="2">
        <v>0.40763888888888888</v>
      </c>
    </row>
    <row r="860" spans="1:18" x14ac:dyDescent="0.25">
      <c r="A860" t="s">
        <v>1750</v>
      </c>
      <c r="B860" t="s">
        <v>230</v>
      </c>
      <c r="C860" s="1">
        <v>45177</v>
      </c>
      <c r="D860" s="1" t="str">
        <f>TEXT(Delivery_data[[#This Row],[Order date]], "MMMM")</f>
        <v>September</v>
      </c>
      <c r="E860" s="1" t="str">
        <f>TEXT(Delivery_data[[#This Row],[Order date]], "DDDD")</f>
        <v>Friday</v>
      </c>
      <c r="F860" s="2">
        <v>0.62986111111111109</v>
      </c>
      <c r="G860" t="s">
        <v>48</v>
      </c>
      <c r="H860" t="str">
        <f>IF(Delivery_data[[#This Row],[Order Status]] = "In Progress", "Backlog", "Complete")</f>
        <v>Backlog</v>
      </c>
      <c r="I860" t="s">
        <v>23</v>
      </c>
      <c r="J860" t="s">
        <v>1633</v>
      </c>
      <c r="K860" t="s">
        <v>44</v>
      </c>
      <c r="L860">
        <v>193</v>
      </c>
      <c r="M860">
        <v>23</v>
      </c>
      <c r="N860" t="s">
        <v>25</v>
      </c>
      <c r="O860" t="s">
        <v>41</v>
      </c>
      <c r="P860" t="s">
        <v>27</v>
      </c>
      <c r="Q860" t="s">
        <v>46</v>
      </c>
      <c r="R860" s="2">
        <v>0.51597222222222228</v>
      </c>
    </row>
    <row r="861" spans="1:18" x14ac:dyDescent="0.25">
      <c r="A861" t="s">
        <v>2011</v>
      </c>
      <c r="B861" t="s">
        <v>516</v>
      </c>
      <c r="C861" s="1">
        <v>45176</v>
      </c>
      <c r="D861" s="1" t="str">
        <f>TEXT(Delivery_data[[#This Row],[Order date]], "MMMM")</f>
        <v>September</v>
      </c>
      <c r="E861" s="1" t="str">
        <f>TEXT(Delivery_data[[#This Row],[Order date]], "DDDD")</f>
        <v>Thursday</v>
      </c>
      <c r="F861" s="2">
        <v>0.63680555555555551</v>
      </c>
      <c r="G861" t="s">
        <v>22</v>
      </c>
      <c r="H861" t="str">
        <f>IF(Delivery_data[[#This Row],[Order Status]] = "In Progress", "Backlog", "Complete")</f>
        <v>Complete</v>
      </c>
      <c r="I861" t="s">
        <v>23</v>
      </c>
      <c r="J861" t="s">
        <v>1631</v>
      </c>
      <c r="K861" t="s">
        <v>37</v>
      </c>
      <c r="L861">
        <v>97</v>
      </c>
      <c r="M861">
        <v>28</v>
      </c>
      <c r="N861" t="s">
        <v>38</v>
      </c>
      <c r="O861" t="s">
        <v>33</v>
      </c>
      <c r="P861" t="s">
        <v>45</v>
      </c>
      <c r="Q861" t="s">
        <v>28</v>
      </c>
      <c r="R861" s="2">
        <v>0.47222222222222221</v>
      </c>
    </row>
    <row r="862" spans="1:18" x14ac:dyDescent="0.25">
      <c r="A862" t="s">
        <v>2124</v>
      </c>
      <c r="B862" t="s">
        <v>628</v>
      </c>
      <c r="C862" s="1">
        <v>45177</v>
      </c>
      <c r="D862" s="1" t="str">
        <f>TEXT(Delivery_data[[#This Row],[Order date]], "MMMM")</f>
        <v>September</v>
      </c>
      <c r="E862" s="1" t="str">
        <f>TEXT(Delivery_data[[#This Row],[Order date]], "DDDD")</f>
        <v>Friday</v>
      </c>
      <c r="F862" s="2">
        <v>0.44027777777777777</v>
      </c>
      <c r="G862" t="s">
        <v>48</v>
      </c>
      <c r="H862" t="str">
        <f>IF(Delivery_data[[#This Row],[Order Status]] = "In Progress", "Backlog", "Complete")</f>
        <v>Backlog</v>
      </c>
      <c r="I862" t="s">
        <v>23</v>
      </c>
      <c r="J862" t="s">
        <v>1637</v>
      </c>
      <c r="K862" t="s">
        <v>61</v>
      </c>
      <c r="L862">
        <v>235</v>
      </c>
      <c r="M862">
        <v>1</v>
      </c>
      <c r="N862" t="s">
        <v>25</v>
      </c>
      <c r="O862" t="s">
        <v>50</v>
      </c>
      <c r="P862" t="s">
        <v>34</v>
      </c>
      <c r="Q862" t="s">
        <v>51</v>
      </c>
      <c r="R862" s="2">
        <v>0.64166666666666672</v>
      </c>
    </row>
    <row r="863" spans="1:18" x14ac:dyDescent="0.25">
      <c r="A863" t="s">
        <v>2215</v>
      </c>
      <c r="B863" t="s">
        <v>716</v>
      </c>
      <c r="C863" s="1">
        <v>45175</v>
      </c>
      <c r="D863" s="1" t="str">
        <f>TEXT(Delivery_data[[#This Row],[Order date]], "MMMM")</f>
        <v>September</v>
      </c>
      <c r="E863" s="1" t="str">
        <f>TEXT(Delivery_data[[#This Row],[Order date]], "DDDD")</f>
        <v>Wednesday</v>
      </c>
      <c r="F863" s="2">
        <v>0.42222222222222222</v>
      </c>
      <c r="G863" t="s">
        <v>22</v>
      </c>
      <c r="H863" t="str">
        <f>IF(Delivery_data[[#This Row],[Order Status]] = "In Progress", "Backlog", "Complete")</f>
        <v>Complete</v>
      </c>
      <c r="I863" t="s">
        <v>23</v>
      </c>
      <c r="J863" t="s">
        <v>1631</v>
      </c>
      <c r="K863" t="s">
        <v>24</v>
      </c>
      <c r="L863">
        <v>168</v>
      </c>
      <c r="M863">
        <v>23</v>
      </c>
      <c r="N863" t="s">
        <v>25</v>
      </c>
      <c r="O863" t="s">
        <v>41</v>
      </c>
      <c r="P863" t="s">
        <v>27</v>
      </c>
      <c r="Q863" t="s">
        <v>51</v>
      </c>
      <c r="R863" s="2">
        <v>0.70138888888888884</v>
      </c>
    </row>
    <row r="864" spans="1:18" x14ac:dyDescent="0.25">
      <c r="A864" t="s">
        <v>2248</v>
      </c>
      <c r="B864" t="s">
        <v>748</v>
      </c>
      <c r="C864" s="1">
        <v>45176</v>
      </c>
      <c r="D864" s="1" t="str">
        <f>TEXT(Delivery_data[[#This Row],[Order date]], "MMMM")</f>
        <v>September</v>
      </c>
      <c r="E864" s="1" t="str">
        <f>TEXT(Delivery_data[[#This Row],[Order date]], "DDDD")</f>
        <v>Thursday</v>
      </c>
      <c r="F864" s="2">
        <v>0.68680555555555556</v>
      </c>
      <c r="G864" t="s">
        <v>48</v>
      </c>
      <c r="H864" t="str">
        <f>IF(Delivery_data[[#This Row],[Order Status]] = "In Progress", "Backlog", "Complete")</f>
        <v>Backlog</v>
      </c>
      <c r="I864" t="s">
        <v>23</v>
      </c>
      <c r="J864" t="s">
        <v>1631</v>
      </c>
      <c r="K864" t="s">
        <v>61</v>
      </c>
      <c r="L864">
        <v>129</v>
      </c>
      <c r="M864">
        <v>16</v>
      </c>
      <c r="N864" t="s">
        <v>38</v>
      </c>
      <c r="O864" t="s">
        <v>26</v>
      </c>
      <c r="P864" t="s">
        <v>34</v>
      </c>
      <c r="Q864" t="s">
        <v>28</v>
      </c>
      <c r="R864" s="2">
        <v>0.46458333333333335</v>
      </c>
    </row>
    <row r="865" spans="1:18" x14ac:dyDescent="0.25">
      <c r="A865" t="s">
        <v>2256</v>
      </c>
      <c r="B865" t="s">
        <v>756</v>
      </c>
      <c r="C865" s="1">
        <v>45174</v>
      </c>
      <c r="D865" s="1" t="str">
        <f>TEXT(Delivery_data[[#This Row],[Order date]], "MMMM")</f>
        <v>September</v>
      </c>
      <c r="E865" s="1" t="str">
        <f>TEXT(Delivery_data[[#This Row],[Order date]], "DDDD")</f>
        <v>Tuesday</v>
      </c>
      <c r="F865" s="2">
        <v>0.37638888888888888</v>
      </c>
      <c r="G865" t="s">
        <v>48</v>
      </c>
      <c r="H865" t="str">
        <f>IF(Delivery_data[[#This Row],[Order Status]] = "In Progress", "Backlog", "Complete")</f>
        <v>Backlog</v>
      </c>
      <c r="I865" t="s">
        <v>23</v>
      </c>
      <c r="J865" t="s">
        <v>1631</v>
      </c>
      <c r="K865" t="s">
        <v>24</v>
      </c>
      <c r="L865">
        <v>226</v>
      </c>
      <c r="M865">
        <v>5</v>
      </c>
      <c r="N865" t="s">
        <v>32</v>
      </c>
      <c r="O865" t="s">
        <v>33</v>
      </c>
      <c r="P865" t="s">
        <v>45</v>
      </c>
      <c r="Q865" t="s">
        <v>46</v>
      </c>
      <c r="R865" s="2">
        <v>0.47569444444444442</v>
      </c>
    </row>
    <row r="866" spans="1:18" x14ac:dyDescent="0.25">
      <c r="A866" t="s">
        <v>2392</v>
      </c>
      <c r="B866" t="s">
        <v>888</v>
      </c>
      <c r="C866" s="1">
        <v>45172</v>
      </c>
      <c r="D866" s="1" t="str">
        <f>TEXT(Delivery_data[[#This Row],[Order date]], "MMMM")</f>
        <v>September</v>
      </c>
      <c r="E866" s="1" t="str">
        <f>TEXT(Delivery_data[[#This Row],[Order date]], "DDDD")</f>
        <v>Sunday</v>
      </c>
      <c r="F866" s="2">
        <v>0.67222222222222228</v>
      </c>
      <c r="G866" t="s">
        <v>22</v>
      </c>
      <c r="H866" t="str">
        <f>IF(Delivery_data[[#This Row],[Order Status]] = "In Progress", "Backlog", "Complete")</f>
        <v>Complete</v>
      </c>
      <c r="I866" t="s">
        <v>23</v>
      </c>
      <c r="J866" t="s">
        <v>1633</v>
      </c>
      <c r="K866" t="s">
        <v>44</v>
      </c>
      <c r="L866">
        <v>97</v>
      </c>
      <c r="M866">
        <v>10</v>
      </c>
      <c r="N866" t="s">
        <v>25</v>
      </c>
      <c r="O866" t="s">
        <v>54</v>
      </c>
      <c r="P866" t="s">
        <v>45</v>
      </c>
      <c r="Q866" t="s">
        <v>28</v>
      </c>
      <c r="R866" s="2">
        <v>0.64097222222222228</v>
      </c>
    </row>
    <row r="867" spans="1:18" x14ac:dyDescent="0.25">
      <c r="A867" t="s">
        <v>2441</v>
      </c>
      <c r="B867" t="s">
        <v>933</v>
      </c>
      <c r="C867" s="1">
        <v>45174</v>
      </c>
      <c r="D867" s="1" t="str">
        <f>TEXT(Delivery_data[[#This Row],[Order date]], "MMMM")</f>
        <v>September</v>
      </c>
      <c r="E867" s="1" t="str">
        <f>TEXT(Delivery_data[[#This Row],[Order date]], "DDDD")</f>
        <v>Tuesday</v>
      </c>
      <c r="F867" s="2">
        <v>0.48819444444444443</v>
      </c>
      <c r="G867" t="s">
        <v>22</v>
      </c>
      <c r="H867" t="str">
        <f>IF(Delivery_data[[#This Row],[Order Status]] = "In Progress", "Backlog", "Complete")</f>
        <v>Complete</v>
      </c>
      <c r="I867" t="s">
        <v>23</v>
      </c>
      <c r="J867" t="s">
        <v>1633</v>
      </c>
      <c r="K867" t="s">
        <v>37</v>
      </c>
      <c r="L867">
        <v>81</v>
      </c>
      <c r="M867">
        <v>12</v>
      </c>
      <c r="N867" t="s">
        <v>32</v>
      </c>
      <c r="O867" t="s">
        <v>50</v>
      </c>
      <c r="P867" t="s">
        <v>34</v>
      </c>
      <c r="Q867" t="s">
        <v>46</v>
      </c>
      <c r="R867" s="2">
        <v>0.49791666666666667</v>
      </c>
    </row>
    <row r="868" spans="1:18" x14ac:dyDescent="0.25">
      <c r="A868" t="s">
        <v>2524</v>
      </c>
      <c r="B868" t="s">
        <v>1012</v>
      </c>
      <c r="C868" s="1">
        <v>45172</v>
      </c>
      <c r="D868" s="1" t="str">
        <f>TEXT(Delivery_data[[#This Row],[Order date]], "MMMM")</f>
        <v>September</v>
      </c>
      <c r="E868" s="1" t="str">
        <f>TEXT(Delivery_data[[#This Row],[Order date]], "DDDD")</f>
        <v>Sunday</v>
      </c>
      <c r="F868" s="2">
        <v>0.33402777777777776</v>
      </c>
      <c r="G868" t="s">
        <v>22</v>
      </c>
      <c r="H868" t="str">
        <f>IF(Delivery_data[[#This Row],[Order Status]] = "In Progress", "Backlog", "Complete")</f>
        <v>Complete</v>
      </c>
      <c r="I868" t="s">
        <v>23</v>
      </c>
      <c r="J868" t="s">
        <v>1637</v>
      </c>
      <c r="K868" t="s">
        <v>37</v>
      </c>
      <c r="L868">
        <v>64</v>
      </c>
      <c r="M868">
        <v>18</v>
      </c>
      <c r="N868" t="s">
        <v>38</v>
      </c>
      <c r="O868" t="s">
        <v>50</v>
      </c>
      <c r="P868" t="s">
        <v>27</v>
      </c>
      <c r="Q868" t="s">
        <v>28</v>
      </c>
      <c r="R868" s="2">
        <v>0.4152777777777778</v>
      </c>
    </row>
    <row r="869" spans="1:18" x14ac:dyDescent="0.25">
      <c r="A869" t="s">
        <v>2862</v>
      </c>
      <c r="B869" t="s">
        <v>1336</v>
      </c>
      <c r="C869" s="1">
        <v>45171</v>
      </c>
      <c r="D869" s="1" t="str">
        <f>TEXT(Delivery_data[[#This Row],[Order date]], "MMMM")</f>
        <v>September</v>
      </c>
      <c r="E869" s="1" t="str">
        <f>TEXT(Delivery_data[[#This Row],[Order date]], "DDDD")</f>
        <v>Saturday</v>
      </c>
      <c r="F869" s="2">
        <v>0.67569444444444449</v>
      </c>
      <c r="G869" t="s">
        <v>22</v>
      </c>
      <c r="H869" t="str">
        <f>IF(Delivery_data[[#This Row],[Order Status]] = "In Progress", "Backlog", "Complete")</f>
        <v>Complete</v>
      </c>
      <c r="I869" t="s">
        <v>23</v>
      </c>
      <c r="J869" t="s">
        <v>1631</v>
      </c>
      <c r="K869" t="s">
        <v>44</v>
      </c>
      <c r="L869">
        <v>84</v>
      </c>
      <c r="M869">
        <v>0</v>
      </c>
      <c r="N869" t="s">
        <v>32</v>
      </c>
      <c r="O869" t="s">
        <v>41</v>
      </c>
      <c r="P869" t="s">
        <v>34</v>
      </c>
      <c r="Q869" t="s">
        <v>28</v>
      </c>
      <c r="R869" s="2">
        <v>0.6694444444444444</v>
      </c>
    </row>
    <row r="870" spans="1:18" x14ac:dyDescent="0.25">
      <c r="A870" t="s">
        <v>3039</v>
      </c>
      <c r="B870" t="s">
        <v>1509</v>
      </c>
      <c r="C870" s="1">
        <v>45174</v>
      </c>
      <c r="D870" s="1" t="str">
        <f>TEXT(Delivery_data[[#This Row],[Order date]], "MMMM")</f>
        <v>September</v>
      </c>
      <c r="E870" s="1" t="str">
        <f>TEXT(Delivery_data[[#This Row],[Order date]], "DDDD")</f>
        <v>Tuesday</v>
      </c>
      <c r="F870" s="2">
        <v>0.45833333333333331</v>
      </c>
      <c r="G870" t="s">
        <v>22</v>
      </c>
      <c r="H870" t="str">
        <f>IF(Delivery_data[[#This Row],[Order Status]] = "In Progress", "Backlog", "Complete")</f>
        <v>Complete</v>
      </c>
      <c r="I870" t="s">
        <v>23</v>
      </c>
      <c r="J870" t="s">
        <v>1631</v>
      </c>
      <c r="K870" t="s">
        <v>44</v>
      </c>
      <c r="L870">
        <v>177</v>
      </c>
      <c r="M870">
        <v>3</v>
      </c>
      <c r="N870" t="s">
        <v>38</v>
      </c>
      <c r="O870" t="s">
        <v>54</v>
      </c>
      <c r="P870" t="s">
        <v>34</v>
      </c>
      <c r="Q870" t="s">
        <v>28</v>
      </c>
      <c r="R870" s="2">
        <v>0.45069444444444445</v>
      </c>
    </row>
    <row r="871" spans="1:18" x14ac:dyDescent="0.25">
      <c r="A871" t="s">
        <v>3076</v>
      </c>
      <c r="B871" t="s">
        <v>224</v>
      </c>
      <c r="C871" s="1">
        <v>45171</v>
      </c>
      <c r="D871" s="1" t="str">
        <f>TEXT(Delivery_data[[#This Row],[Order date]], "MMMM")</f>
        <v>September</v>
      </c>
      <c r="E871" s="1" t="str">
        <f>TEXT(Delivery_data[[#This Row],[Order date]], "DDDD")</f>
        <v>Saturday</v>
      </c>
      <c r="F871" s="2">
        <v>0.6645833333333333</v>
      </c>
      <c r="G871" t="s">
        <v>48</v>
      </c>
      <c r="H871" t="str">
        <f>IF(Delivery_data[[#This Row],[Order Status]] = "In Progress", "Backlog", "Complete")</f>
        <v>Backlog</v>
      </c>
      <c r="I871" t="s">
        <v>23</v>
      </c>
      <c r="J871" t="s">
        <v>1631</v>
      </c>
      <c r="K871" t="s">
        <v>31</v>
      </c>
      <c r="L871">
        <v>133</v>
      </c>
      <c r="M871">
        <v>15</v>
      </c>
      <c r="N871" t="s">
        <v>25</v>
      </c>
      <c r="O871" t="s">
        <v>41</v>
      </c>
      <c r="P871" t="s">
        <v>45</v>
      </c>
      <c r="Q871" t="s">
        <v>46</v>
      </c>
      <c r="R871" s="2">
        <v>0.53055555555555556</v>
      </c>
    </row>
    <row r="872" spans="1:18" x14ac:dyDescent="0.25">
      <c r="A872" t="s">
        <v>1672</v>
      </c>
      <c r="B872" t="s">
        <v>115</v>
      </c>
      <c r="C872" s="1">
        <v>45175</v>
      </c>
      <c r="D872" s="1" t="str">
        <f>TEXT(Delivery_data[[#This Row],[Order date]], "MMMM")</f>
        <v>September</v>
      </c>
      <c r="E872" s="1" t="str">
        <f>TEXT(Delivery_data[[#This Row],[Order date]], "DDDD")</f>
        <v>Wednesday</v>
      </c>
      <c r="F872" s="2">
        <v>0.48125000000000001</v>
      </c>
      <c r="G872" t="s">
        <v>22</v>
      </c>
      <c r="H872" t="str">
        <f>IF(Delivery_data[[#This Row],[Order Status]] = "In Progress", "Backlog", "Complete")</f>
        <v>Complete</v>
      </c>
      <c r="I872" t="s">
        <v>116</v>
      </c>
      <c r="J872" t="s">
        <v>1633</v>
      </c>
      <c r="K872" t="s">
        <v>37</v>
      </c>
      <c r="L872">
        <v>103</v>
      </c>
      <c r="M872">
        <v>9</v>
      </c>
      <c r="N872" t="s">
        <v>25</v>
      </c>
      <c r="O872" t="s">
        <v>50</v>
      </c>
      <c r="P872" t="s">
        <v>45</v>
      </c>
      <c r="Q872" t="s">
        <v>46</v>
      </c>
      <c r="R872" s="2">
        <v>0.58402777777777781</v>
      </c>
    </row>
    <row r="873" spans="1:18" x14ac:dyDescent="0.25">
      <c r="A873" t="s">
        <v>1712</v>
      </c>
      <c r="B873" t="s">
        <v>179</v>
      </c>
      <c r="C873" s="1">
        <v>45171</v>
      </c>
      <c r="D873" s="1" t="str">
        <f>TEXT(Delivery_data[[#This Row],[Order date]], "MMMM")</f>
        <v>September</v>
      </c>
      <c r="E873" s="1" t="str">
        <f>TEXT(Delivery_data[[#This Row],[Order date]], "DDDD")</f>
        <v>Saturday</v>
      </c>
      <c r="F873" s="2">
        <v>0.44513888888888886</v>
      </c>
      <c r="G873" t="s">
        <v>22</v>
      </c>
      <c r="H873" t="str">
        <f>IF(Delivery_data[[#This Row],[Order Status]] = "In Progress", "Backlog", "Complete")</f>
        <v>Complete</v>
      </c>
      <c r="I873" t="s">
        <v>116</v>
      </c>
      <c r="J873" t="s">
        <v>1637</v>
      </c>
      <c r="K873" t="s">
        <v>31</v>
      </c>
      <c r="L873">
        <v>85</v>
      </c>
      <c r="M873">
        <v>10</v>
      </c>
      <c r="N873" t="s">
        <v>38</v>
      </c>
      <c r="O873" t="s">
        <v>26</v>
      </c>
      <c r="P873" t="s">
        <v>34</v>
      </c>
      <c r="Q873" t="s">
        <v>51</v>
      </c>
      <c r="R873" s="2">
        <v>0.67847222222222225</v>
      </c>
    </row>
    <row r="874" spans="1:18" x14ac:dyDescent="0.25">
      <c r="A874" t="s">
        <v>1818</v>
      </c>
      <c r="B874" t="s">
        <v>317</v>
      </c>
      <c r="C874" s="1">
        <v>45175</v>
      </c>
      <c r="D874" s="1" t="str">
        <f>TEXT(Delivery_data[[#This Row],[Order date]], "MMMM")</f>
        <v>September</v>
      </c>
      <c r="E874" s="1" t="str">
        <f>TEXT(Delivery_data[[#This Row],[Order date]], "DDDD")</f>
        <v>Wednesday</v>
      </c>
      <c r="F874" s="2">
        <v>0.6</v>
      </c>
      <c r="G874" t="s">
        <v>22</v>
      </c>
      <c r="H874" t="str">
        <f>IF(Delivery_data[[#This Row],[Order Status]] = "In Progress", "Backlog", "Complete")</f>
        <v>Complete</v>
      </c>
      <c r="I874" t="s">
        <v>116</v>
      </c>
      <c r="J874" t="s">
        <v>1637</v>
      </c>
      <c r="K874" t="s">
        <v>31</v>
      </c>
      <c r="L874">
        <v>196</v>
      </c>
      <c r="M874">
        <v>15</v>
      </c>
      <c r="N874" t="s">
        <v>25</v>
      </c>
      <c r="O874" t="s">
        <v>33</v>
      </c>
      <c r="P874" t="s">
        <v>34</v>
      </c>
      <c r="Q874" t="s">
        <v>46</v>
      </c>
      <c r="R874" s="2">
        <v>0.6430555555555556</v>
      </c>
    </row>
    <row r="875" spans="1:18" x14ac:dyDescent="0.25">
      <c r="A875" t="s">
        <v>1983</v>
      </c>
      <c r="B875" t="s">
        <v>488</v>
      </c>
      <c r="C875" s="1">
        <v>45173</v>
      </c>
      <c r="D875" s="1" t="str">
        <f>TEXT(Delivery_data[[#This Row],[Order date]], "MMMM")</f>
        <v>September</v>
      </c>
      <c r="E875" s="1" t="str">
        <f>TEXT(Delivery_data[[#This Row],[Order date]], "DDDD")</f>
        <v>Monday</v>
      </c>
      <c r="F875" s="2">
        <v>0.69722222222222219</v>
      </c>
      <c r="G875" t="s">
        <v>22</v>
      </c>
      <c r="H875" t="str">
        <f>IF(Delivery_data[[#This Row],[Order Status]] = "In Progress", "Backlog", "Complete")</f>
        <v>Complete</v>
      </c>
      <c r="I875" t="s">
        <v>116</v>
      </c>
      <c r="J875" t="s">
        <v>1637</v>
      </c>
      <c r="K875" t="s">
        <v>24</v>
      </c>
      <c r="L875">
        <v>176</v>
      </c>
      <c r="M875">
        <v>16</v>
      </c>
      <c r="N875" t="s">
        <v>32</v>
      </c>
      <c r="O875" t="s">
        <v>54</v>
      </c>
      <c r="P875" t="s">
        <v>34</v>
      </c>
      <c r="Q875" t="s">
        <v>46</v>
      </c>
      <c r="R875" s="2">
        <v>0.5756944444444444</v>
      </c>
    </row>
    <row r="876" spans="1:18" x14ac:dyDescent="0.25">
      <c r="A876" t="s">
        <v>2146</v>
      </c>
      <c r="B876" t="s">
        <v>649</v>
      </c>
      <c r="C876" s="1">
        <v>45173</v>
      </c>
      <c r="D876" s="1" t="str">
        <f>TEXT(Delivery_data[[#This Row],[Order date]], "MMMM")</f>
        <v>September</v>
      </c>
      <c r="E876" s="1" t="str">
        <f>TEXT(Delivery_data[[#This Row],[Order date]], "DDDD")</f>
        <v>Monday</v>
      </c>
      <c r="F876" s="2">
        <v>0.34097222222222223</v>
      </c>
      <c r="G876" t="s">
        <v>22</v>
      </c>
      <c r="H876" t="str">
        <f>IF(Delivery_data[[#This Row],[Order Status]] = "In Progress", "Backlog", "Complete")</f>
        <v>Complete</v>
      </c>
      <c r="I876" t="s">
        <v>116</v>
      </c>
      <c r="J876" t="s">
        <v>1633</v>
      </c>
      <c r="K876" t="s">
        <v>24</v>
      </c>
      <c r="L876">
        <v>201</v>
      </c>
      <c r="M876">
        <v>25</v>
      </c>
      <c r="N876" t="s">
        <v>32</v>
      </c>
      <c r="O876" t="s">
        <v>33</v>
      </c>
      <c r="P876" t="s">
        <v>27</v>
      </c>
      <c r="Q876" t="s">
        <v>46</v>
      </c>
      <c r="R876" s="2">
        <v>0.37986111111111109</v>
      </c>
    </row>
    <row r="877" spans="1:18" x14ac:dyDescent="0.25">
      <c r="A877" t="s">
        <v>2171</v>
      </c>
      <c r="B877" t="s">
        <v>672</v>
      </c>
      <c r="C877" s="1">
        <v>45171</v>
      </c>
      <c r="D877" s="1" t="str">
        <f>TEXT(Delivery_data[[#This Row],[Order date]], "MMMM")</f>
        <v>September</v>
      </c>
      <c r="E877" s="1" t="str">
        <f>TEXT(Delivery_data[[#This Row],[Order date]], "DDDD")</f>
        <v>Saturday</v>
      </c>
      <c r="F877" s="2">
        <v>0.59513888888888888</v>
      </c>
      <c r="G877" t="s">
        <v>48</v>
      </c>
      <c r="H877" t="str">
        <f>IF(Delivery_data[[#This Row],[Order Status]] = "In Progress", "Backlog", "Complete")</f>
        <v>Backlog</v>
      </c>
      <c r="I877" t="s">
        <v>116</v>
      </c>
      <c r="J877" t="s">
        <v>1637</v>
      </c>
      <c r="K877" t="s">
        <v>31</v>
      </c>
      <c r="L877">
        <v>173</v>
      </c>
      <c r="M877">
        <v>17</v>
      </c>
      <c r="N877" t="s">
        <v>25</v>
      </c>
      <c r="O877" t="s">
        <v>54</v>
      </c>
      <c r="P877" t="s">
        <v>34</v>
      </c>
      <c r="Q877" t="s">
        <v>28</v>
      </c>
      <c r="R877" s="2">
        <v>0.58611111111111114</v>
      </c>
    </row>
    <row r="878" spans="1:18" x14ac:dyDescent="0.25">
      <c r="A878" t="s">
        <v>2260</v>
      </c>
      <c r="B878" t="s">
        <v>760</v>
      </c>
      <c r="C878" s="1">
        <v>45174</v>
      </c>
      <c r="D878" s="1" t="str">
        <f>TEXT(Delivery_data[[#This Row],[Order date]], "MMMM")</f>
        <v>September</v>
      </c>
      <c r="E878" s="1" t="str">
        <f>TEXT(Delivery_data[[#This Row],[Order date]], "DDDD")</f>
        <v>Tuesday</v>
      </c>
      <c r="F878" s="2">
        <v>0.39513888888888887</v>
      </c>
      <c r="G878" t="s">
        <v>48</v>
      </c>
      <c r="H878" t="str">
        <f>IF(Delivery_data[[#This Row],[Order Status]] = "In Progress", "Backlog", "Complete")</f>
        <v>Backlog</v>
      </c>
      <c r="I878" t="s">
        <v>116</v>
      </c>
      <c r="J878" t="s">
        <v>1631</v>
      </c>
      <c r="K878" t="s">
        <v>37</v>
      </c>
      <c r="L878">
        <v>141</v>
      </c>
      <c r="M878">
        <v>13</v>
      </c>
      <c r="N878" t="s">
        <v>25</v>
      </c>
      <c r="O878" t="s">
        <v>41</v>
      </c>
      <c r="P878" t="s">
        <v>45</v>
      </c>
      <c r="Q878" t="s">
        <v>46</v>
      </c>
      <c r="R878" s="2">
        <v>0.60069444444444442</v>
      </c>
    </row>
    <row r="879" spans="1:18" x14ac:dyDescent="0.25">
      <c r="A879" t="s">
        <v>2275</v>
      </c>
      <c r="B879" t="s">
        <v>775</v>
      </c>
      <c r="C879" s="1">
        <v>45177</v>
      </c>
      <c r="D879" s="1" t="str">
        <f>TEXT(Delivery_data[[#This Row],[Order date]], "MMMM")</f>
        <v>September</v>
      </c>
      <c r="E879" s="1" t="str">
        <f>TEXT(Delivery_data[[#This Row],[Order date]], "DDDD")</f>
        <v>Friday</v>
      </c>
      <c r="F879" s="2">
        <v>0.54374999999999996</v>
      </c>
      <c r="G879" t="s">
        <v>22</v>
      </c>
      <c r="H879" t="str">
        <f>IF(Delivery_data[[#This Row],[Order Status]] = "In Progress", "Backlog", "Complete")</f>
        <v>Complete</v>
      </c>
      <c r="I879" t="s">
        <v>116</v>
      </c>
      <c r="J879" t="s">
        <v>1631</v>
      </c>
      <c r="K879" t="s">
        <v>37</v>
      </c>
      <c r="L879">
        <v>155</v>
      </c>
      <c r="M879">
        <v>22</v>
      </c>
      <c r="N879" t="s">
        <v>38</v>
      </c>
      <c r="O879" t="s">
        <v>33</v>
      </c>
      <c r="P879" t="s">
        <v>45</v>
      </c>
      <c r="Q879" t="s">
        <v>51</v>
      </c>
      <c r="R879" s="2">
        <v>0.58958333333333335</v>
      </c>
    </row>
    <row r="880" spans="1:18" x14ac:dyDescent="0.25">
      <c r="A880" t="s">
        <v>2479</v>
      </c>
      <c r="B880" t="s">
        <v>970</v>
      </c>
      <c r="C880" s="1">
        <v>45174</v>
      </c>
      <c r="D880" s="1" t="str">
        <f>TEXT(Delivery_data[[#This Row],[Order date]], "MMMM")</f>
        <v>September</v>
      </c>
      <c r="E880" s="1" t="str">
        <f>TEXT(Delivery_data[[#This Row],[Order date]], "DDDD")</f>
        <v>Tuesday</v>
      </c>
      <c r="F880" s="2">
        <v>0.43125000000000002</v>
      </c>
      <c r="G880" t="s">
        <v>22</v>
      </c>
      <c r="H880" t="str">
        <f>IF(Delivery_data[[#This Row],[Order Status]] = "In Progress", "Backlog", "Complete")</f>
        <v>Complete</v>
      </c>
      <c r="I880" t="s">
        <v>116</v>
      </c>
      <c r="J880" t="s">
        <v>1637</v>
      </c>
      <c r="K880" t="s">
        <v>37</v>
      </c>
      <c r="L880">
        <v>187</v>
      </c>
      <c r="M880">
        <v>28</v>
      </c>
      <c r="N880" t="s">
        <v>38</v>
      </c>
      <c r="O880" t="s">
        <v>41</v>
      </c>
      <c r="P880" t="s">
        <v>27</v>
      </c>
      <c r="Q880" t="s">
        <v>28</v>
      </c>
      <c r="R880" s="2">
        <v>0.60624999999999996</v>
      </c>
    </row>
    <row r="881" spans="1:18" x14ac:dyDescent="0.25">
      <c r="A881" t="s">
        <v>2657</v>
      </c>
      <c r="B881" t="s">
        <v>1140</v>
      </c>
      <c r="C881" s="1">
        <v>45175</v>
      </c>
      <c r="D881" s="1" t="str">
        <f>TEXT(Delivery_data[[#This Row],[Order date]], "MMMM")</f>
        <v>September</v>
      </c>
      <c r="E881" s="1" t="str">
        <f>TEXT(Delivery_data[[#This Row],[Order date]], "DDDD")</f>
        <v>Wednesday</v>
      </c>
      <c r="F881" s="2">
        <v>0.41249999999999998</v>
      </c>
      <c r="G881" t="s">
        <v>48</v>
      </c>
      <c r="H881" t="str">
        <f>IF(Delivery_data[[#This Row],[Order Status]] = "In Progress", "Backlog", "Complete")</f>
        <v>Backlog</v>
      </c>
      <c r="I881" t="s">
        <v>116</v>
      </c>
      <c r="J881" t="s">
        <v>1633</v>
      </c>
      <c r="K881" t="s">
        <v>24</v>
      </c>
      <c r="L881">
        <v>161</v>
      </c>
      <c r="M881">
        <v>2</v>
      </c>
      <c r="N881" t="s">
        <v>32</v>
      </c>
      <c r="O881" t="s">
        <v>26</v>
      </c>
      <c r="P881" t="s">
        <v>27</v>
      </c>
      <c r="Q881" t="s">
        <v>51</v>
      </c>
      <c r="R881" s="2">
        <v>0.41875000000000001</v>
      </c>
    </row>
    <row r="882" spans="1:18" x14ac:dyDescent="0.25">
      <c r="A882" t="s">
        <v>2728</v>
      </c>
      <c r="B882" t="s">
        <v>1209</v>
      </c>
      <c r="C882" s="1">
        <v>45175</v>
      </c>
      <c r="D882" s="1" t="str">
        <f>TEXT(Delivery_data[[#This Row],[Order date]], "MMMM")</f>
        <v>September</v>
      </c>
      <c r="E882" s="1" t="str">
        <f>TEXT(Delivery_data[[#This Row],[Order date]], "DDDD")</f>
        <v>Wednesday</v>
      </c>
      <c r="F882" s="2">
        <v>0.60069444444444442</v>
      </c>
      <c r="G882" t="s">
        <v>48</v>
      </c>
      <c r="H882" t="str">
        <f>IF(Delivery_data[[#This Row],[Order Status]] = "In Progress", "Backlog", "Complete")</f>
        <v>Backlog</v>
      </c>
      <c r="I882" t="s">
        <v>116</v>
      </c>
      <c r="J882" t="s">
        <v>1637</v>
      </c>
      <c r="K882" t="s">
        <v>24</v>
      </c>
      <c r="L882">
        <v>195</v>
      </c>
      <c r="M882">
        <v>4</v>
      </c>
      <c r="N882" t="s">
        <v>32</v>
      </c>
      <c r="O882" t="s">
        <v>54</v>
      </c>
      <c r="P882" t="s">
        <v>34</v>
      </c>
      <c r="Q882" t="s">
        <v>51</v>
      </c>
      <c r="R882" s="2">
        <v>0.4826388888888889</v>
      </c>
    </row>
    <row r="883" spans="1:18" x14ac:dyDescent="0.25">
      <c r="A883" t="s">
        <v>2819</v>
      </c>
      <c r="B883" t="s">
        <v>1296</v>
      </c>
      <c r="C883" s="1">
        <v>45175</v>
      </c>
      <c r="D883" s="1" t="str">
        <f>TEXT(Delivery_data[[#This Row],[Order date]], "MMMM")</f>
        <v>September</v>
      </c>
      <c r="E883" s="1" t="str">
        <f>TEXT(Delivery_data[[#This Row],[Order date]], "DDDD")</f>
        <v>Wednesday</v>
      </c>
      <c r="F883" s="2">
        <v>0.37777777777777777</v>
      </c>
      <c r="G883" t="s">
        <v>48</v>
      </c>
      <c r="H883" t="str">
        <f>IF(Delivery_data[[#This Row],[Order Status]] = "In Progress", "Backlog", "Complete")</f>
        <v>Backlog</v>
      </c>
      <c r="I883" t="s">
        <v>116</v>
      </c>
      <c r="J883" t="s">
        <v>1637</v>
      </c>
      <c r="K883" t="s">
        <v>37</v>
      </c>
      <c r="L883">
        <v>134</v>
      </c>
      <c r="M883">
        <v>28</v>
      </c>
      <c r="N883" t="s">
        <v>25</v>
      </c>
      <c r="O883" t="s">
        <v>41</v>
      </c>
      <c r="P883" t="s">
        <v>34</v>
      </c>
      <c r="Q883" t="s">
        <v>46</v>
      </c>
      <c r="R883" s="2">
        <v>0.3972222222222222</v>
      </c>
    </row>
    <row r="884" spans="1:18" x14ac:dyDescent="0.25">
      <c r="A884" t="s">
        <v>2900</v>
      </c>
      <c r="B884" t="s">
        <v>1373</v>
      </c>
      <c r="C884" s="1">
        <v>45172</v>
      </c>
      <c r="D884" s="1" t="str">
        <f>TEXT(Delivery_data[[#This Row],[Order date]], "MMMM")</f>
        <v>September</v>
      </c>
      <c r="E884" s="1" t="str">
        <f>TEXT(Delivery_data[[#This Row],[Order date]], "DDDD")</f>
        <v>Sunday</v>
      </c>
      <c r="F884" s="2">
        <v>0.58125000000000004</v>
      </c>
      <c r="G884" t="s">
        <v>48</v>
      </c>
      <c r="H884" t="str">
        <f>IF(Delivery_data[[#This Row],[Order Status]] = "In Progress", "Backlog", "Complete")</f>
        <v>Backlog</v>
      </c>
      <c r="I884" t="s">
        <v>116</v>
      </c>
      <c r="J884" t="s">
        <v>1633</v>
      </c>
      <c r="K884" t="s">
        <v>44</v>
      </c>
      <c r="L884">
        <v>228</v>
      </c>
      <c r="M884">
        <v>6</v>
      </c>
      <c r="N884" t="s">
        <v>38</v>
      </c>
      <c r="O884" t="s">
        <v>50</v>
      </c>
      <c r="P884" t="s">
        <v>27</v>
      </c>
      <c r="Q884" t="s">
        <v>51</v>
      </c>
      <c r="R884" s="2">
        <v>0.58472222222222225</v>
      </c>
    </row>
    <row r="885" spans="1:18" x14ac:dyDescent="0.25">
      <c r="A885" t="s">
        <v>2934</v>
      </c>
      <c r="B885" t="s">
        <v>1407</v>
      </c>
      <c r="C885" s="1">
        <v>45174</v>
      </c>
      <c r="D885" s="1" t="str">
        <f>TEXT(Delivery_data[[#This Row],[Order date]], "MMMM")</f>
        <v>September</v>
      </c>
      <c r="E885" s="1" t="str">
        <f>TEXT(Delivery_data[[#This Row],[Order date]], "DDDD")</f>
        <v>Tuesday</v>
      </c>
      <c r="F885" s="2">
        <v>0.51736111111111116</v>
      </c>
      <c r="G885" t="s">
        <v>48</v>
      </c>
      <c r="H885" t="str">
        <f>IF(Delivery_data[[#This Row],[Order Status]] = "In Progress", "Backlog", "Complete")</f>
        <v>Backlog</v>
      </c>
      <c r="I885" t="s">
        <v>116</v>
      </c>
      <c r="J885" t="s">
        <v>1631</v>
      </c>
      <c r="K885" t="s">
        <v>24</v>
      </c>
      <c r="L885">
        <v>230</v>
      </c>
      <c r="M885">
        <v>25</v>
      </c>
      <c r="N885" t="s">
        <v>25</v>
      </c>
      <c r="O885" t="s">
        <v>50</v>
      </c>
      <c r="P885" t="s">
        <v>45</v>
      </c>
      <c r="Q885" t="s">
        <v>46</v>
      </c>
      <c r="R885" s="2">
        <v>0.42916666666666664</v>
      </c>
    </row>
    <row r="886" spans="1:18" x14ac:dyDescent="0.25">
      <c r="A886" t="s">
        <v>3009</v>
      </c>
      <c r="B886" t="s">
        <v>1480</v>
      </c>
      <c r="C886" s="1">
        <v>45175</v>
      </c>
      <c r="D886" s="1" t="str">
        <f>TEXT(Delivery_data[[#This Row],[Order date]], "MMMM")</f>
        <v>September</v>
      </c>
      <c r="E886" s="1" t="str">
        <f>TEXT(Delivery_data[[#This Row],[Order date]], "DDDD")</f>
        <v>Wednesday</v>
      </c>
      <c r="F886" s="2">
        <v>0.56597222222222221</v>
      </c>
      <c r="G886" t="s">
        <v>48</v>
      </c>
      <c r="H886" t="str">
        <f>IF(Delivery_data[[#This Row],[Order Status]] = "In Progress", "Backlog", "Complete")</f>
        <v>Backlog</v>
      </c>
      <c r="I886" t="s">
        <v>116</v>
      </c>
      <c r="J886" t="s">
        <v>1633</v>
      </c>
      <c r="K886" t="s">
        <v>24</v>
      </c>
      <c r="L886">
        <v>197</v>
      </c>
      <c r="M886">
        <v>20</v>
      </c>
      <c r="N886" t="s">
        <v>32</v>
      </c>
      <c r="O886" t="s">
        <v>50</v>
      </c>
      <c r="P886" t="s">
        <v>27</v>
      </c>
      <c r="Q886" t="s">
        <v>46</v>
      </c>
      <c r="R886" s="2">
        <v>0.50763888888888886</v>
      </c>
    </row>
    <row r="887" spans="1:18" x14ac:dyDescent="0.25">
      <c r="A887" t="s">
        <v>3098</v>
      </c>
      <c r="B887" t="s">
        <v>1564</v>
      </c>
      <c r="C887" s="1">
        <v>45170</v>
      </c>
      <c r="D887" s="1" t="str">
        <f>TEXT(Delivery_data[[#This Row],[Order date]], "MMMM")</f>
        <v>September</v>
      </c>
      <c r="E887" s="1" t="str">
        <f>TEXT(Delivery_data[[#This Row],[Order date]], "DDDD")</f>
        <v>Friday</v>
      </c>
      <c r="F887" s="2">
        <v>0.65763888888888888</v>
      </c>
      <c r="G887" t="s">
        <v>22</v>
      </c>
      <c r="H887" t="str">
        <f>IF(Delivery_data[[#This Row],[Order Status]] = "In Progress", "Backlog", "Complete")</f>
        <v>Complete</v>
      </c>
      <c r="I887" t="s">
        <v>116</v>
      </c>
      <c r="J887" t="s">
        <v>1637</v>
      </c>
      <c r="K887" t="s">
        <v>44</v>
      </c>
      <c r="L887">
        <v>170</v>
      </c>
      <c r="M887">
        <v>21</v>
      </c>
      <c r="N887" t="s">
        <v>25</v>
      </c>
      <c r="O887" t="s">
        <v>54</v>
      </c>
      <c r="P887" t="s">
        <v>34</v>
      </c>
      <c r="Q887" t="s">
        <v>28</v>
      </c>
      <c r="R887" s="2">
        <v>0.6958333333333333</v>
      </c>
    </row>
    <row r="888" spans="1:18" x14ac:dyDescent="0.25">
      <c r="A888" t="s">
        <v>1662</v>
      </c>
      <c r="B888" t="s">
        <v>97</v>
      </c>
      <c r="C888" s="1">
        <v>45170</v>
      </c>
      <c r="D888" s="1" t="str">
        <f>TEXT(Delivery_data[[#This Row],[Order date]], "MMMM")</f>
        <v>September</v>
      </c>
      <c r="E888" s="1" t="str">
        <f>TEXT(Delivery_data[[#This Row],[Order date]], "DDDD")</f>
        <v>Friday</v>
      </c>
      <c r="F888" s="2">
        <v>0.55763888888888891</v>
      </c>
      <c r="G888" t="s">
        <v>48</v>
      </c>
      <c r="H888" t="str">
        <f>IF(Delivery_data[[#This Row],[Order Status]] = "In Progress", "Backlog", "Complete")</f>
        <v>Backlog</v>
      </c>
      <c r="I888" t="s">
        <v>98</v>
      </c>
      <c r="J888" t="s">
        <v>1631</v>
      </c>
      <c r="K888" t="s">
        <v>37</v>
      </c>
      <c r="L888">
        <v>80</v>
      </c>
      <c r="M888">
        <v>28</v>
      </c>
      <c r="N888" t="s">
        <v>38</v>
      </c>
      <c r="O888" t="s">
        <v>50</v>
      </c>
      <c r="P888" t="s">
        <v>27</v>
      </c>
      <c r="Q888" t="s">
        <v>46</v>
      </c>
      <c r="R888" s="2">
        <v>0.57777777777777772</v>
      </c>
    </row>
    <row r="889" spans="1:18" x14ac:dyDescent="0.25">
      <c r="A889" t="s">
        <v>1831</v>
      </c>
      <c r="B889" t="s">
        <v>329</v>
      </c>
      <c r="C889" s="1">
        <v>45170</v>
      </c>
      <c r="D889" s="1" t="str">
        <f>TEXT(Delivery_data[[#This Row],[Order date]], "MMMM")</f>
        <v>September</v>
      </c>
      <c r="E889" s="1" t="str">
        <f>TEXT(Delivery_data[[#This Row],[Order date]], "DDDD")</f>
        <v>Friday</v>
      </c>
      <c r="F889" s="2">
        <v>0.41041666666666665</v>
      </c>
      <c r="G889" t="s">
        <v>48</v>
      </c>
      <c r="H889" t="str">
        <f>IF(Delivery_data[[#This Row],[Order Status]] = "In Progress", "Backlog", "Complete")</f>
        <v>Backlog</v>
      </c>
      <c r="I889" t="s">
        <v>98</v>
      </c>
      <c r="J889" t="s">
        <v>1631</v>
      </c>
      <c r="K889" t="s">
        <v>37</v>
      </c>
      <c r="L889">
        <v>215</v>
      </c>
      <c r="M889">
        <v>4</v>
      </c>
      <c r="N889" t="s">
        <v>32</v>
      </c>
      <c r="O889" t="s">
        <v>50</v>
      </c>
      <c r="P889" t="s">
        <v>45</v>
      </c>
      <c r="Q889" t="s">
        <v>51</v>
      </c>
      <c r="R889" s="2">
        <v>0.5756944444444444</v>
      </c>
    </row>
    <row r="890" spans="1:18" x14ac:dyDescent="0.25">
      <c r="A890" t="s">
        <v>1871</v>
      </c>
      <c r="B890" t="s">
        <v>370</v>
      </c>
      <c r="C890" s="1">
        <v>45176</v>
      </c>
      <c r="D890" s="1" t="str">
        <f>TEXT(Delivery_data[[#This Row],[Order date]], "MMMM")</f>
        <v>September</v>
      </c>
      <c r="E890" s="1" t="str">
        <f>TEXT(Delivery_data[[#This Row],[Order date]], "DDDD")</f>
        <v>Thursday</v>
      </c>
      <c r="F890" s="2">
        <v>0.63194444444444442</v>
      </c>
      <c r="G890" t="s">
        <v>22</v>
      </c>
      <c r="H890" t="str">
        <f>IF(Delivery_data[[#This Row],[Order Status]] = "In Progress", "Backlog", "Complete")</f>
        <v>Complete</v>
      </c>
      <c r="I890" t="s">
        <v>98</v>
      </c>
      <c r="J890" t="s">
        <v>1637</v>
      </c>
      <c r="K890" t="s">
        <v>61</v>
      </c>
      <c r="L890">
        <v>89</v>
      </c>
      <c r="M890">
        <v>26</v>
      </c>
      <c r="N890" t="s">
        <v>32</v>
      </c>
      <c r="O890" t="s">
        <v>54</v>
      </c>
      <c r="P890" t="s">
        <v>34</v>
      </c>
      <c r="Q890" t="s">
        <v>51</v>
      </c>
      <c r="R890" s="2">
        <v>0.44236111111111109</v>
      </c>
    </row>
    <row r="891" spans="1:18" x14ac:dyDescent="0.25">
      <c r="A891" t="s">
        <v>1950</v>
      </c>
      <c r="B891" t="s">
        <v>454</v>
      </c>
      <c r="C891" s="1">
        <v>45171</v>
      </c>
      <c r="D891" s="1" t="str">
        <f>TEXT(Delivery_data[[#This Row],[Order date]], "MMMM")</f>
        <v>September</v>
      </c>
      <c r="E891" s="1" t="str">
        <f>TEXT(Delivery_data[[#This Row],[Order date]], "DDDD")</f>
        <v>Saturday</v>
      </c>
      <c r="F891" s="2">
        <v>0.60833333333333328</v>
      </c>
      <c r="G891" t="s">
        <v>22</v>
      </c>
      <c r="H891" t="str">
        <f>IF(Delivery_data[[#This Row],[Order Status]] = "In Progress", "Backlog", "Complete")</f>
        <v>Complete</v>
      </c>
      <c r="I891" t="s">
        <v>98</v>
      </c>
      <c r="J891" t="s">
        <v>1637</v>
      </c>
      <c r="K891" t="s">
        <v>44</v>
      </c>
      <c r="L891">
        <v>135</v>
      </c>
      <c r="M891">
        <v>11</v>
      </c>
      <c r="N891" t="s">
        <v>38</v>
      </c>
      <c r="O891" t="s">
        <v>50</v>
      </c>
      <c r="P891" t="s">
        <v>34</v>
      </c>
      <c r="Q891" t="s">
        <v>51</v>
      </c>
      <c r="R891" s="2">
        <v>0.53541666666666665</v>
      </c>
    </row>
    <row r="892" spans="1:18" x14ac:dyDescent="0.25">
      <c r="A892" t="s">
        <v>1964</v>
      </c>
      <c r="B892" t="s">
        <v>468</v>
      </c>
      <c r="C892" s="1">
        <v>45174</v>
      </c>
      <c r="D892" s="1" t="str">
        <f>TEXT(Delivery_data[[#This Row],[Order date]], "MMMM")</f>
        <v>September</v>
      </c>
      <c r="E892" s="1" t="str">
        <f>TEXT(Delivery_data[[#This Row],[Order date]], "DDDD")</f>
        <v>Tuesday</v>
      </c>
      <c r="F892" s="2">
        <v>0.43819444444444444</v>
      </c>
      <c r="G892" t="s">
        <v>48</v>
      </c>
      <c r="H892" t="str">
        <f>IF(Delivery_data[[#This Row],[Order Status]] = "In Progress", "Backlog", "Complete")</f>
        <v>Backlog</v>
      </c>
      <c r="I892" t="s">
        <v>98</v>
      </c>
      <c r="J892" t="s">
        <v>1637</v>
      </c>
      <c r="K892" t="s">
        <v>37</v>
      </c>
      <c r="L892">
        <v>90</v>
      </c>
      <c r="M892">
        <v>9</v>
      </c>
      <c r="N892" t="s">
        <v>32</v>
      </c>
      <c r="O892" t="s">
        <v>50</v>
      </c>
      <c r="P892" t="s">
        <v>27</v>
      </c>
      <c r="Q892" t="s">
        <v>28</v>
      </c>
      <c r="R892" s="2">
        <v>0.66041666666666665</v>
      </c>
    </row>
    <row r="893" spans="1:18" x14ac:dyDescent="0.25">
      <c r="A893" t="s">
        <v>1967</v>
      </c>
      <c r="B893" t="s">
        <v>471</v>
      </c>
      <c r="C893" s="1">
        <v>45177</v>
      </c>
      <c r="D893" s="1" t="str">
        <f>TEXT(Delivery_data[[#This Row],[Order date]], "MMMM")</f>
        <v>September</v>
      </c>
      <c r="E893" s="1" t="str">
        <f>TEXT(Delivery_data[[#This Row],[Order date]], "DDDD")</f>
        <v>Friday</v>
      </c>
      <c r="F893" s="2">
        <v>0.54583333333333328</v>
      </c>
      <c r="G893" t="s">
        <v>48</v>
      </c>
      <c r="H893" t="str">
        <f>IF(Delivery_data[[#This Row],[Order Status]] = "In Progress", "Backlog", "Complete")</f>
        <v>Backlog</v>
      </c>
      <c r="I893" t="s">
        <v>98</v>
      </c>
      <c r="J893" t="s">
        <v>1631</v>
      </c>
      <c r="K893" t="s">
        <v>44</v>
      </c>
      <c r="L893">
        <v>118</v>
      </c>
      <c r="M893">
        <v>18</v>
      </c>
      <c r="N893" t="s">
        <v>38</v>
      </c>
      <c r="O893" t="s">
        <v>54</v>
      </c>
      <c r="P893" t="s">
        <v>34</v>
      </c>
      <c r="Q893" t="s">
        <v>28</v>
      </c>
      <c r="R893" s="2">
        <v>0.49444444444444446</v>
      </c>
    </row>
    <row r="894" spans="1:18" x14ac:dyDescent="0.25">
      <c r="A894" t="s">
        <v>2068</v>
      </c>
      <c r="B894" t="s">
        <v>573</v>
      </c>
      <c r="C894" s="1">
        <v>45170</v>
      </c>
      <c r="D894" s="1" t="str">
        <f>TEXT(Delivery_data[[#This Row],[Order date]], "MMMM")</f>
        <v>September</v>
      </c>
      <c r="E894" s="1" t="str">
        <f>TEXT(Delivery_data[[#This Row],[Order date]], "DDDD")</f>
        <v>Friday</v>
      </c>
      <c r="F894" s="2">
        <v>0.33333333333333331</v>
      </c>
      <c r="G894" t="s">
        <v>22</v>
      </c>
      <c r="H894" t="str">
        <f>IF(Delivery_data[[#This Row],[Order Status]] = "In Progress", "Backlog", "Complete")</f>
        <v>Complete</v>
      </c>
      <c r="I894" t="s">
        <v>98</v>
      </c>
      <c r="J894" t="s">
        <v>1637</v>
      </c>
      <c r="K894" t="s">
        <v>31</v>
      </c>
      <c r="L894">
        <v>212</v>
      </c>
      <c r="M894">
        <v>20</v>
      </c>
      <c r="N894" t="s">
        <v>25</v>
      </c>
      <c r="O894" t="s">
        <v>54</v>
      </c>
      <c r="P894" t="s">
        <v>27</v>
      </c>
      <c r="Q894" t="s">
        <v>51</v>
      </c>
      <c r="R894" s="2">
        <v>0.47986111111111113</v>
      </c>
    </row>
    <row r="895" spans="1:18" x14ac:dyDescent="0.25">
      <c r="A895" t="s">
        <v>2116</v>
      </c>
      <c r="B895" t="s">
        <v>620</v>
      </c>
      <c r="C895" s="1">
        <v>45174</v>
      </c>
      <c r="D895" s="1" t="str">
        <f>TEXT(Delivery_data[[#This Row],[Order date]], "MMMM")</f>
        <v>September</v>
      </c>
      <c r="E895" s="1" t="str">
        <f>TEXT(Delivery_data[[#This Row],[Order date]], "DDDD")</f>
        <v>Tuesday</v>
      </c>
      <c r="F895" s="2">
        <v>0.51111111111111107</v>
      </c>
      <c r="G895" t="s">
        <v>48</v>
      </c>
      <c r="H895" t="str">
        <f>IF(Delivery_data[[#This Row],[Order Status]] = "In Progress", "Backlog", "Complete")</f>
        <v>Backlog</v>
      </c>
      <c r="I895" t="s">
        <v>98</v>
      </c>
      <c r="J895" t="s">
        <v>1637</v>
      </c>
      <c r="K895" t="s">
        <v>44</v>
      </c>
      <c r="L895">
        <v>89</v>
      </c>
      <c r="M895">
        <v>28</v>
      </c>
      <c r="N895" t="s">
        <v>25</v>
      </c>
      <c r="O895" t="s">
        <v>33</v>
      </c>
      <c r="P895" t="s">
        <v>27</v>
      </c>
      <c r="Q895" t="s">
        <v>46</v>
      </c>
      <c r="R895" s="2">
        <v>0.57152777777777775</v>
      </c>
    </row>
    <row r="896" spans="1:18" x14ac:dyDescent="0.25">
      <c r="A896" t="s">
        <v>2382</v>
      </c>
      <c r="B896" t="s">
        <v>878</v>
      </c>
      <c r="C896" s="1">
        <v>45177</v>
      </c>
      <c r="D896" s="1" t="str">
        <f>TEXT(Delivery_data[[#This Row],[Order date]], "MMMM")</f>
        <v>September</v>
      </c>
      <c r="E896" s="1" t="str">
        <f>TEXT(Delivery_data[[#This Row],[Order date]], "DDDD")</f>
        <v>Friday</v>
      </c>
      <c r="F896" s="2">
        <v>0.56666666666666665</v>
      </c>
      <c r="G896" t="s">
        <v>22</v>
      </c>
      <c r="H896" t="str">
        <f>IF(Delivery_data[[#This Row],[Order Status]] = "In Progress", "Backlog", "Complete")</f>
        <v>Complete</v>
      </c>
      <c r="I896" t="s">
        <v>98</v>
      </c>
      <c r="J896" t="s">
        <v>1637</v>
      </c>
      <c r="K896" t="s">
        <v>44</v>
      </c>
      <c r="L896">
        <v>199</v>
      </c>
      <c r="M896">
        <v>0</v>
      </c>
      <c r="N896" t="s">
        <v>32</v>
      </c>
      <c r="O896" t="s">
        <v>26</v>
      </c>
      <c r="P896" t="s">
        <v>45</v>
      </c>
      <c r="Q896" t="s">
        <v>28</v>
      </c>
      <c r="R896" s="2">
        <v>0.38055555555555554</v>
      </c>
    </row>
    <row r="897" spans="1:18" x14ac:dyDescent="0.25">
      <c r="A897" t="s">
        <v>2425</v>
      </c>
      <c r="B897" t="s">
        <v>918</v>
      </c>
      <c r="C897" s="1">
        <v>45173</v>
      </c>
      <c r="D897" s="1" t="str">
        <f>TEXT(Delivery_data[[#This Row],[Order date]], "MMMM")</f>
        <v>September</v>
      </c>
      <c r="E897" s="1" t="str">
        <f>TEXT(Delivery_data[[#This Row],[Order date]], "DDDD")</f>
        <v>Monday</v>
      </c>
      <c r="F897" s="2">
        <v>0.34444444444444444</v>
      </c>
      <c r="G897" t="s">
        <v>22</v>
      </c>
      <c r="H897" t="str">
        <f>IF(Delivery_data[[#This Row],[Order Status]] = "In Progress", "Backlog", "Complete")</f>
        <v>Complete</v>
      </c>
      <c r="I897" t="s">
        <v>98</v>
      </c>
      <c r="J897" t="s">
        <v>1637</v>
      </c>
      <c r="K897" t="s">
        <v>61</v>
      </c>
      <c r="L897">
        <v>65</v>
      </c>
      <c r="M897">
        <v>6</v>
      </c>
      <c r="N897" t="s">
        <v>25</v>
      </c>
      <c r="O897" t="s">
        <v>33</v>
      </c>
      <c r="P897" t="s">
        <v>27</v>
      </c>
      <c r="Q897" t="s">
        <v>46</v>
      </c>
      <c r="R897" s="2">
        <v>0.66666666666666663</v>
      </c>
    </row>
    <row r="898" spans="1:18" x14ac:dyDescent="0.25">
      <c r="A898" t="s">
        <v>2552</v>
      </c>
      <c r="B898" t="s">
        <v>1037</v>
      </c>
      <c r="C898" s="1">
        <v>45170</v>
      </c>
      <c r="D898" s="1" t="str">
        <f>TEXT(Delivery_data[[#This Row],[Order date]], "MMMM")</f>
        <v>September</v>
      </c>
      <c r="E898" s="1" t="str">
        <f>TEXT(Delivery_data[[#This Row],[Order date]], "DDDD")</f>
        <v>Friday</v>
      </c>
      <c r="F898" s="2">
        <v>0.4152777777777778</v>
      </c>
      <c r="G898" t="s">
        <v>22</v>
      </c>
      <c r="H898" t="str">
        <f>IF(Delivery_data[[#This Row],[Order Status]] = "In Progress", "Backlog", "Complete")</f>
        <v>Complete</v>
      </c>
      <c r="I898" t="s">
        <v>98</v>
      </c>
      <c r="J898" t="s">
        <v>1633</v>
      </c>
      <c r="K898" t="s">
        <v>37</v>
      </c>
      <c r="L898">
        <v>141</v>
      </c>
      <c r="M898">
        <v>20</v>
      </c>
      <c r="N898" t="s">
        <v>25</v>
      </c>
      <c r="O898" t="s">
        <v>54</v>
      </c>
      <c r="P898" t="s">
        <v>34</v>
      </c>
      <c r="Q898" t="s">
        <v>46</v>
      </c>
      <c r="R898" s="2">
        <v>0.56458333333333333</v>
      </c>
    </row>
    <row r="899" spans="1:18" x14ac:dyDescent="0.25">
      <c r="A899" t="s">
        <v>2625</v>
      </c>
      <c r="B899" t="s">
        <v>1108</v>
      </c>
      <c r="C899" s="1">
        <v>45172</v>
      </c>
      <c r="D899" s="1" t="str">
        <f>TEXT(Delivery_data[[#This Row],[Order date]], "MMMM")</f>
        <v>September</v>
      </c>
      <c r="E899" s="1" t="str">
        <f>TEXT(Delivery_data[[#This Row],[Order date]], "DDDD")</f>
        <v>Sunday</v>
      </c>
      <c r="F899" s="2">
        <v>0.41805555555555557</v>
      </c>
      <c r="G899" t="s">
        <v>22</v>
      </c>
      <c r="H899" t="str">
        <f>IF(Delivery_data[[#This Row],[Order Status]] = "In Progress", "Backlog", "Complete")</f>
        <v>Complete</v>
      </c>
      <c r="I899" t="s">
        <v>98</v>
      </c>
      <c r="J899" t="s">
        <v>1633</v>
      </c>
      <c r="K899" t="s">
        <v>24</v>
      </c>
      <c r="L899">
        <v>63</v>
      </c>
      <c r="M899">
        <v>27</v>
      </c>
      <c r="N899" t="s">
        <v>38</v>
      </c>
      <c r="O899" t="s">
        <v>54</v>
      </c>
      <c r="P899" t="s">
        <v>27</v>
      </c>
      <c r="Q899" t="s">
        <v>28</v>
      </c>
      <c r="R899" s="2">
        <v>0.7368055555555556</v>
      </c>
    </row>
    <row r="900" spans="1:18" x14ac:dyDescent="0.25">
      <c r="A900" t="s">
        <v>2723</v>
      </c>
      <c r="B900" t="s">
        <v>1204</v>
      </c>
      <c r="C900" s="1">
        <v>45175</v>
      </c>
      <c r="D900" s="1" t="str">
        <f>TEXT(Delivery_data[[#This Row],[Order date]], "MMMM")</f>
        <v>September</v>
      </c>
      <c r="E900" s="1" t="str">
        <f>TEXT(Delivery_data[[#This Row],[Order date]], "DDDD")</f>
        <v>Wednesday</v>
      </c>
      <c r="F900" s="2">
        <v>0.49513888888888891</v>
      </c>
      <c r="G900" t="s">
        <v>22</v>
      </c>
      <c r="H900" t="str">
        <f>IF(Delivery_data[[#This Row],[Order Status]] = "In Progress", "Backlog", "Complete")</f>
        <v>Complete</v>
      </c>
      <c r="I900" t="s">
        <v>98</v>
      </c>
      <c r="J900" t="s">
        <v>1637</v>
      </c>
      <c r="K900" t="s">
        <v>44</v>
      </c>
      <c r="L900">
        <v>133</v>
      </c>
      <c r="M900">
        <v>22</v>
      </c>
      <c r="N900" t="s">
        <v>32</v>
      </c>
      <c r="O900" t="s">
        <v>41</v>
      </c>
      <c r="P900" t="s">
        <v>45</v>
      </c>
      <c r="Q900" t="s">
        <v>51</v>
      </c>
      <c r="R900" s="2">
        <v>0.6166666666666667</v>
      </c>
    </row>
    <row r="901" spans="1:18" x14ac:dyDescent="0.25">
      <c r="A901" t="s">
        <v>2751</v>
      </c>
      <c r="B901" t="s">
        <v>1230</v>
      </c>
      <c r="C901" s="1">
        <v>45172</v>
      </c>
      <c r="D901" s="1" t="str">
        <f>TEXT(Delivery_data[[#This Row],[Order date]], "MMMM")</f>
        <v>September</v>
      </c>
      <c r="E901" s="1" t="str">
        <f>TEXT(Delivery_data[[#This Row],[Order date]], "DDDD")</f>
        <v>Sunday</v>
      </c>
      <c r="F901" s="2">
        <v>0.41805555555555557</v>
      </c>
      <c r="G901" t="s">
        <v>48</v>
      </c>
      <c r="H901" t="str">
        <f>IF(Delivery_data[[#This Row],[Order Status]] = "In Progress", "Backlog", "Complete")</f>
        <v>Backlog</v>
      </c>
      <c r="I901" t="s">
        <v>98</v>
      </c>
      <c r="J901" t="s">
        <v>1633</v>
      </c>
      <c r="K901" t="s">
        <v>44</v>
      </c>
      <c r="L901">
        <v>235</v>
      </c>
      <c r="M901">
        <v>22</v>
      </c>
      <c r="N901" t="s">
        <v>32</v>
      </c>
      <c r="O901" t="s">
        <v>50</v>
      </c>
      <c r="P901" t="s">
        <v>34</v>
      </c>
      <c r="Q901" t="s">
        <v>28</v>
      </c>
      <c r="R901" s="2">
        <v>0.54374999999999996</v>
      </c>
    </row>
    <row r="902" spans="1:18" x14ac:dyDescent="0.25">
      <c r="A902" t="s">
        <v>2781</v>
      </c>
      <c r="B902" t="s">
        <v>1258</v>
      </c>
      <c r="C902" s="1">
        <v>45172</v>
      </c>
      <c r="D902" s="1" t="str">
        <f>TEXT(Delivery_data[[#This Row],[Order date]], "MMMM")</f>
        <v>September</v>
      </c>
      <c r="E902" s="1" t="str">
        <f>TEXT(Delivery_data[[#This Row],[Order date]], "DDDD")</f>
        <v>Sunday</v>
      </c>
      <c r="F902" s="2">
        <v>0.48472222222222222</v>
      </c>
      <c r="G902" t="s">
        <v>48</v>
      </c>
      <c r="H902" t="str">
        <f>IF(Delivery_data[[#This Row],[Order Status]] = "In Progress", "Backlog", "Complete")</f>
        <v>Backlog</v>
      </c>
      <c r="I902" t="s">
        <v>98</v>
      </c>
      <c r="J902" t="s">
        <v>1631</v>
      </c>
      <c r="K902" t="s">
        <v>61</v>
      </c>
      <c r="L902">
        <v>71</v>
      </c>
      <c r="M902">
        <v>16</v>
      </c>
      <c r="N902" t="s">
        <v>38</v>
      </c>
      <c r="O902" t="s">
        <v>50</v>
      </c>
      <c r="P902" t="s">
        <v>34</v>
      </c>
      <c r="Q902" t="s">
        <v>46</v>
      </c>
      <c r="R902" s="2">
        <v>0.6</v>
      </c>
    </row>
    <row r="903" spans="1:18" x14ac:dyDescent="0.25">
      <c r="A903" t="s">
        <v>2787</v>
      </c>
      <c r="B903" t="s">
        <v>1264</v>
      </c>
      <c r="C903" s="1">
        <v>45177</v>
      </c>
      <c r="D903" s="1" t="str">
        <f>TEXT(Delivery_data[[#This Row],[Order date]], "MMMM")</f>
        <v>September</v>
      </c>
      <c r="E903" s="1" t="str">
        <f>TEXT(Delivery_data[[#This Row],[Order date]], "DDDD")</f>
        <v>Friday</v>
      </c>
      <c r="F903" s="2">
        <v>0.46805555555555556</v>
      </c>
      <c r="G903" t="s">
        <v>48</v>
      </c>
      <c r="H903" t="str">
        <f>IF(Delivery_data[[#This Row],[Order Status]] = "In Progress", "Backlog", "Complete")</f>
        <v>Backlog</v>
      </c>
      <c r="I903" t="s">
        <v>98</v>
      </c>
      <c r="J903" t="s">
        <v>1633</v>
      </c>
      <c r="K903" t="s">
        <v>61</v>
      </c>
      <c r="L903">
        <v>162</v>
      </c>
      <c r="M903">
        <v>3</v>
      </c>
      <c r="N903" t="s">
        <v>32</v>
      </c>
      <c r="O903" t="s">
        <v>50</v>
      </c>
      <c r="P903" t="s">
        <v>27</v>
      </c>
      <c r="Q903" t="s">
        <v>51</v>
      </c>
      <c r="R903" s="2">
        <v>0.47638888888888886</v>
      </c>
    </row>
    <row r="904" spans="1:18" x14ac:dyDescent="0.25">
      <c r="A904" t="s">
        <v>2835</v>
      </c>
      <c r="B904" t="s">
        <v>1311</v>
      </c>
      <c r="C904" s="1">
        <v>45172</v>
      </c>
      <c r="D904" s="1" t="str">
        <f>TEXT(Delivery_data[[#This Row],[Order date]], "MMMM")</f>
        <v>September</v>
      </c>
      <c r="E904" s="1" t="str">
        <f>TEXT(Delivery_data[[#This Row],[Order date]], "DDDD")</f>
        <v>Sunday</v>
      </c>
      <c r="F904" s="2">
        <v>0.41180555555555554</v>
      </c>
      <c r="G904" t="s">
        <v>22</v>
      </c>
      <c r="H904" t="str">
        <f>IF(Delivery_data[[#This Row],[Order Status]] = "In Progress", "Backlog", "Complete")</f>
        <v>Complete</v>
      </c>
      <c r="I904" t="s">
        <v>98</v>
      </c>
      <c r="J904" t="s">
        <v>1631</v>
      </c>
      <c r="K904" t="s">
        <v>37</v>
      </c>
      <c r="L904">
        <v>105</v>
      </c>
      <c r="M904">
        <v>21</v>
      </c>
      <c r="N904" t="s">
        <v>38</v>
      </c>
      <c r="O904" t="s">
        <v>33</v>
      </c>
      <c r="P904" t="s">
        <v>45</v>
      </c>
      <c r="Q904" t="s">
        <v>51</v>
      </c>
      <c r="R904" s="2">
        <v>0.66249999999999998</v>
      </c>
    </row>
    <row r="905" spans="1:18" x14ac:dyDescent="0.25">
      <c r="A905" t="s">
        <v>3013</v>
      </c>
      <c r="B905" t="s">
        <v>1484</v>
      </c>
      <c r="C905" s="1">
        <v>45171</v>
      </c>
      <c r="D905" s="1" t="str">
        <f>TEXT(Delivery_data[[#This Row],[Order date]], "MMMM")</f>
        <v>September</v>
      </c>
      <c r="E905" s="1" t="str">
        <f>TEXT(Delivery_data[[#This Row],[Order date]], "DDDD")</f>
        <v>Saturday</v>
      </c>
      <c r="F905" s="2">
        <v>0.3923611111111111</v>
      </c>
      <c r="G905" t="s">
        <v>22</v>
      </c>
      <c r="H905" t="str">
        <f>IF(Delivery_data[[#This Row],[Order Status]] = "In Progress", "Backlog", "Complete")</f>
        <v>Complete</v>
      </c>
      <c r="I905" t="s">
        <v>98</v>
      </c>
      <c r="J905" t="s">
        <v>1637</v>
      </c>
      <c r="K905" t="s">
        <v>24</v>
      </c>
      <c r="L905">
        <v>145</v>
      </c>
      <c r="M905">
        <v>11</v>
      </c>
      <c r="N905" t="s">
        <v>25</v>
      </c>
      <c r="O905" t="s">
        <v>26</v>
      </c>
      <c r="P905" t="s">
        <v>34</v>
      </c>
      <c r="Q905" t="s">
        <v>46</v>
      </c>
      <c r="R905" s="2">
        <v>0.44930555555555557</v>
      </c>
    </row>
    <row r="906" spans="1:18" x14ac:dyDescent="0.25">
      <c r="A906" t="s">
        <v>3030</v>
      </c>
      <c r="B906" t="s">
        <v>1500</v>
      </c>
      <c r="C906" s="1">
        <v>45170</v>
      </c>
      <c r="D906" s="1" t="str">
        <f>TEXT(Delivery_data[[#This Row],[Order date]], "MMMM")</f>
        <v>September</v>
      </c>
      <c r="E906" s="1" t="str">
        <f>TEXT(Delivery_data[[#This Row],[Order date]], "DDDD")</f>
        <v>Friday</v>
      </c>
      <c r="F906" s="2">
        <v>0.64722222222222225</v>
      </c>
      <c r="G906" t="s">
        <v>48</v>
      </c>
      <c r="H906" t="str">
        <f>IF(Delivery_data[[#This Row],[Order Status]] = "In Progress", "Backlog", "Complete")</f>
        <v>Backlog</v>
      </c>
      <c r="I906" t="s">
        <v>98</v>
      </c>
      <c r="J906" t="s">
        <v>1631</v>
      </c>
      <c r="K906" t="s">
        <v>44</v>
      </c>
      <c r="L906">
        <v>77</v>
      </c>
      <c r="M906">
        <v>27</v>
      </c>
      <c r="N906" t="s">
        <v>32</v>
      </c>
      <c r="O906" t="s">
        <v>26</v>
      </c>
      <c r="P906" t="s">
        <v>27</v>
      </c>
      <c r="Q906" t="s">
        <v>46</v>
      </c>
      <c r="R906" s="2">
        <v>0.37361111111111112</v>
      </c>
    </row>
    <row r="907" spans="1:18" x14ac:dyDescent="0.25">
      <c r="A907" t="s">
        <v>3031</v>
      </c>
      <c r="B907" t="s">
        <v>1501</v>
      </c>
      <c r="C907" s="1">
        <v>45171</v>
      </c>
      <c r="D907" s="1" t="str">
        <f>TEXT(Delivery_data[[#This Row],[Order date]], "MMMM")</f>
        <v>September</v>
      </c>
      <c r="E907" s="1" t="str">
        <f>TEXT(Delivery_data[[#This Row],[Order date]], "DDDD")</f>
        <v>Saturday</v>
      </c>
      <c r="F907" s="2">
        <v>0.46666666666666667</v>
      </c>
      <c r="G907" t="s">
        <v>48</v>
      </c>
      <c r="H907" t="str">
        <f>IF(Delivery_data[[#This Row],[Order Status]] = "In Progress", "Backlog", "Complete")</f>
        <v>Backlog</v>
      </c>
      <c r="I907" t="s">
        <v>98</v>
      </c>
      <c r="J907" t="s">
        <v>1631</v>
      </c>
      <c r="K907" t="s">
        <v>37</v>
      </c>
      <c r="L907">
        <v>178</v>
      </c>
      <c r="M907">
        <v>6</v>
      </c>
      <c r="N907" t="s">
        <v>38</v>
      </c>
      <c r="O907" t="s">
        <v>26</v>
      </c>
      <c r="P907" t="s">
        <v>27</v>
      </c>
      <c r="Q907" t="s">
        <v>28</v>
      </c>
      <c r="R907" s="2">
        <v>0.57708333333333328</v>
      </c>
    </row>
    <row r="908" spans="1:18" x14ac:dyDescent="0.25">
      <c r="A908" t="s">
        <v>3043</v>
      </c>
      <c r="B908" t="s">
        <v>1513</v>
      </c>
      <c r="C908" s="1">
        <v>45174</v>
      </c>
      <c r="D908" s="1" t="str">
        <f>TEXT(Delivery_data[[#This Row],[Order date]], "MMMM")</f>
        <v>September</v>
      </c>
      <c r="E908" s="1" t="str">
        <f>TEXT(Delivery_data[[#This Row],[Order date]], "DDDD")</f>
        <v>Tuesday</v>
      </c>
      <c r="F908" s="2">
        <v>0.65555555555555556</v>
      </c>
      <c r="G908" t="s">
        <v>48</v>
      </c>
      <c r="H908" t="str">
        <f>IF(Delivery_data[[#This Row],[Order Status]] = "In Progress", "Backlog", "Complete")</f>
        <v>Backlog</v>
      </c>
      <c r="I908" t="s">
        <v>98</v>
      </c>
      <c r="J908" t="s">
        <v>1631</v>
      </c>
      <c r="K908" t="s">
        <v>37</v>
      </c>
      <c r="L908">
        <v>195</v>
      </c>
      <c r="M908">
        <v>0</v>
      </c>
      <c r="N908" t="s">
        <v>38</v>
      </c>
      <c r="O908" t="s">
        <v>54</v>
      </c>
      <c r="P908" t="s">
        <v>27</v>
      </c>
      <c r="Q908" t="s">
        <v>28</v>
      </c>
      <c r="R908" s="2">
        <v>0.72083333333333333</v>
      </c>
    </row>
    <row r="909" spans="1:18" x14ac:dyDescent="0.25">
      <c r="A909" t="s">
        <v>1779</v>
      </c>
      <c r="B909" t="s">
        <v>265</v>
      </c>
      <c r="C909" s="1">
        <v>45170</v>
      </c>
      <c r="D909" s="1" t="str">
        <f>TEXT(Delivery_data[[#This Row],[Order date]], "MMMM")</f>
        <v>September</v>
      </c>
      <c r="E909" s="1" t="str">
        <f>TEXT(Delivery_data[[#This Row],[Order date]], "DDDD")</f>
        <v>Friday</v>
      </c>
      <c r="F909" s="2">
        <v>0.42291666666666666</v>
      </c>
      <c r="G909" t="s">
        <v>22</v>
      </c>
      <c r="H909" t="str">
        <f>IF(Delivery_data[[#This Row],[Order Status]] = "In Progress", "Backlog", "Complete")</f>
        <v>Complete</v>
      </c>
      <c r="I909" t="s">
        <v>266</v>
      </c>
      <c r="J909" t="s">
        <v>1633</v>
      </c>
      <c r="K909" t="s">
        <v>44</v>
      </c>
      <c r="L909">
        <v>71</v>
      </c>
      <c r="M909">
        <v>3</v>
      </c>
      <c r="N909" t="s">
        <v>38</v>
      </c>
      <c r="O909" t="s">
        <v>54</v>
      </c>
      <c r="P909" t="s">
        <v>45</v>
      </c>
      <c r="Q909" t="s">
        <v>28</v>
      </c>
      <c r="R909" s="2">
        <v>0.47569444444444442</v>
      </c>
    </row>
    <row r="910" spans="1:18" x14ac:dyDescent="0.25">
      <c r="A910" t="s">
        <v>1792</v>
      </c>
      <c r="B910" t="s">
        <v>284</v>
      </c>
      <c r="C910" s="1">
        <v>45175</v>
      </c>
      <c r="D910" s="1" t="str">
        <f>TEXT(Delivery_data[[#This Row],[Order date]], "MMMM")</f>
        <v>September</v>
      </c>
      <c r="E910" s="1" t="str">
        <f>TEXT(Delivery_data[[#This Row],[Order date]], "DDDD")</f>
        <v>Wednesday</v>
      </c>
      <c r="F910" s="2">
        <v>0.41111111111111109</v>
      </c>
      <c r="G910" t="s">
        <v>48</v>
      </c>
      <c r="H910" t="str">
        <f>IF(Delivery_data[[#This Row],[Order Status]] = "In Progress", "Backlog", "Complete")</f>
        <v>Backlog</v>
      </c>
      <c r="I910" t="s">
        <v>266</v>
      </c>
      <c r="J910" t="s">
        <v>1631</v>
      </c>
      <c r="K910" t="s">
        <v>31</v>
      </c>
      <c r="L910">
        <v>214</v>
      </c>
      <c r="M910">
        <v>14</v>
      </c>
      <c r="N910" t="s">
        <v>32</v>
      </c>
      <c r="O910" t="s">
        <v>41</v>
      </c>
      <c r="P910" t="s">
        <v>45</v>
      </c>
      <c r="Q910" t="s">
        <v>46</v>
      </c>
      <c r="R910" s="2">
        <v>0.45833333333333331</v>
      </c>
    </row>
    <row r="911" spans="1:18" x14ac:dyDescent="0.25">
      <c r="A911" t="s">
        <v>1877</v>
      </c>
      <c r="B911" t="s">
        <v>377</v>
      </c>
      <c r="C911" s="1">
        <v>45173</v>
      </c>
      <c r="D911" s="1" t="str">
        <f>TEXT(Delivery_data[[#This Row],[Order date]], "MMMM")</f>
        <v>September</v>
      </c>
      <c r="E911" s="1" t="str">
        <f>TEXT(Delivery_data[[#This Row],[Order date]], "DDDD")</f>
        <v>Monday</v>
      </c>
      <c r="F911" s="2">
        <v>0.62847222222222221</v>
      </c>
      <c r="G911" t="s">
        <v>22</v>
      </c>
      <c r="H911" t="str">
        <f>IF(Delivery_data[[#This Row],[Order Status]] = "In Progress", "Backlog", "Complete")</f>
        <v>Complete</v>
      </c>
      <c r="I911" t="s">
        <v>266</v>
      </c>
      <c r="J911" t="s">
        <v>1633</v>
      </c>
      <c r="K911" t="s">
        <v>24</v>
      </c>
      <c r="L911">
        <v>64</v>
      </c>
      <c r="M911">
        <v>8</v>
      </c>
      <c r="N911" t="s">
        <v>38</v>
      </c>
      <c r="O911" t="s">
        <v>54</v>
      </c>
      <c r="P911" t="s">
        <v>27</v>
      </c>
      <c r="Q911" t="s">
        <v>51</v>
      </c>
      <c r="R911" s="2">
        <v>0.67638888888888893</v>
      </c>
    </row>
    <row r="912" spans="1:18" x14ac:dyDescent="0.25">
      <c r="A912" t="s">
        <v>1918</v>
      </c>
      <c r="B912" t="s">
        <v>421</v>
      </c>
      <c r="C912" s="1">
        <v>45170</v>
      </c>
      <c r="D912" s="1" t="str">
        <f>TEXT(Delivery_data[[#This Row],[Order date]], "MMMM")</f>
        <v>September</v>
      </c>
      <c r="E912" s="1" t="str">
        <f>TEXT(Delivery_data[[#This Row],[Order date]], "DDDD")</f>
        <v>Friday</v>
      </c>
      <c r="F912" s="2">
        <v>0.63749999999999996</v>
      </c>
      <c r="G912" t="s">
        <v>48</v>
      </c>
      <c r="H912" t="str">
        <f>IF(Delivery_data[[#This Row],[Order Status]] = "In Progress", "Backlog", "Complete")</f>
        <v>Backlog</v>
      </c>
      <c r="I912" t="s">
        <v>266</v>
      </c>
      <c r="J912" t="s">
        <v>1633</v>
      </c>
      <c r="K912" t="s">
        <v>61</v>
      </c>
      <c r="L912">
        <v>104</v>
      </c>
      <c r="M912">
        <v>22</v>
      </c>
      <c r="N912" t="s">
        <v>38</v>
      </c>
      <c r="O912" t="s">
        <v>26</v>
      </c>
      <c r="P912" t="s">
        <v>27</v>
      </c>
      <c r="Q912" t="s">
        <v>28</v>
      </c>
      <c r="R912" s="2">
        <v>0.55347222222222225</v>
      </c>
    </row>
    <row r="913" spans="1:18" x14ac:dyDescent="0.25">
      <c r="A913" t="s">
        <v>1951</v>
      </c>
      <c r="B913" t="s">
        <v>455</v>
      </c>
      <c r="C913" s="1">
        <v>45176</v>
      </c>
      <c r="D913" s="1" t="str">
        <f>TEXT(Delivery_data[[#This Row],[Order date]], "MMMM")</f>
        <v>September</v>
      </c>
      <c r="E913" s="1" t="str">
        <f>TEXT(Delivery_data[[#This Row],[Order date]], "DDDD")</f>
        <v>Thursday</v>
      </c>
      <c r="F913" s="2">
        <v>0.52638888888888891</v>
      </c>
      <c r="G913" t="s">
        <v>22</v>
      </c>
      <c r="H913" t="str">
        <f>IF(Delivery_data[[#This Row],[Order Status]] = "In Progress", "Backlog", "Complete")</f>
        <v>Complete</v>
      </c>
      <c r="I913" t="s">
        <v>266</v>
      </c>
      <c r="J913" t="s">
        <v>1637</v>
      </c>
      <c r="K913" t="s">
        <v>24</v>
      </c>
      <c r="L913">
        <v>197</v>
      </c>
      <c r="M913">
        <v>25</v>
      </c>
      <c r="N913" t="s">
        <v>32</v>
      </c>
      <c r="O913" t="s">
        <v>26</v>
      </c>
      <c r="P913" t="s">
        <v>27</v>
      </c>
      <c r="Q913" t="s">
        <v>46</v>
      </c>
      <c r="R913" s="2">
        <v>0.49930555555555556</v>
      </c>
    </row>
    <row r="914" spans="1:18" x14ac:dyDescent="0.25">
      <c r="A914" t="s">
        <v>1986</v>
      </c>
      <c r="B914" t="s">
        <v>491</v>
      </c>
      <c r="C914" s="1">
        <v>45177</v>
      </c>
      <c r="D914" s="1" t="str">
        <f>TEXT(Delivery_data[[#This Row],[Order date]], "MMMM")</f>
        <v>September</v>
      </c>
      <c r="E914" s="1" t="str">
        <f>TEXT(Delivery_data[[#This Row],[Order date]], "DDDD")</f>
        <v>Friday</v>
      </c>
      <c r="F914" s="2">
        <v>0.63124999999999998</v>
      </c>
      <c r="G914" t="s">
        <v>48</v>
      </c>
      <c r="H914" t="str">
        <f>IF(Delivery_data[[#This Row],[Order Status]] = "In Progress", "Backlog", "Complete")</f>
        <v>Backlog</v>
      </c>
      <c r="I914" t="s">
        <v>266</v>
      </c>
      <c r="J914" t="s">
        <v>1633</v>
      </c>
      <c r="K914" t="s">
        <v>37</v>
      </c>
      <c r="L914">
        <v>146</v>
      </c>
      <c r="M914">
        <v>17</v>
      </c>
      <c r="N914" t="s">
        <v>38</v>
      </c>
      <c r="O914" t="s">
        <v>54</v>
      </c>
      <c r="P914" t="s">
        <v>34</v>
      </c>
      <c r="Q914" t="s">
        <v>28</v>
      </c>
      <c r="R914" s="2">
        <v>0.7055555555555556</v>
      </c>
    </row>
    <row r="915" spans="1:18" x14ac:dyDescent="0.25">
      <c r="A915" t="s">
        <v>2009</v>
      </c>
      <c r="B915" t="s">
        <v>514</v>
      </c>
      <c r="C915" s="1">
        <v>45172</v>
      </c>
      <c r="D915" s="1" t="str">
        <f>TEXT(Delivery_data[[#This Row],[Order date]], "MMMM")</f>
        <v>September</v>
      </c>
      <c r="E915" s="1" t="str">
        <f>TEXT(Delivery_data[[#This Row],[Order date]], "DDDD")</f>
        <v>Sunday</v>
      </c>
      <c r="F915" s="2">
        <v>0.60347222222222219</v>
      </c>
      <c r="G915" t="s">
        <v>22</v>
      </c>
      <c r="H915" t="str">
        <f>IF(Delivery_data[[#This Row],[Order Status]] = "In Progress", "Backlog", "Complete")</f>
        <v>Complete</v>
      </c>
      <c r="I915" t="s">
        <v>266</v>
      </c>
      <c r="J915" t="s">
        <v>1633</v>
      </c>
      <c r="K915" t="s">
        <v>37</v>
      </c>
      <c r="L915">
        <v>182</v>
      </c>
      <c r="M915">
        <v>17</v>
      </c>
      <c r="N915" t="s">
        <v>32</v>
      </c>
      <c r="O915" t="s">
        <v>54</v>
      </c>
      <c r="P915" t="s">
        <v>34</v>
      </c>
      <c r="Q915" t="s">
        <v>28</v>
      </c>
      <c r="R915" s="2">
        <v>0.41875000000000001</v>
      </c>
    </row>
    <row r="916" spans="1:18" x14ac:dyDescent="0.25">
      <c r="A916" t="s">
        <v>2048</v>
      </c>
      <c r="B916" t="s">
        <v>553</v>
      </c>
      <c r="C916" s="1">
        <v>45173</v>
      </c>
      <c r="D916" s="1" t="str">
        <f>TEXT(Delivery_data[[#This Row],[Order date]], "MMMM")</f>
        <v>September</v>
      </c>
      <c r="E916" s="1" t="str">
        <f>TEXT(Delivery_data[[#This Row],[Order date]], "DDDD")</f>
        <v>Monday</v>
      </c>
      <c r="F916" s="2">
        <v>0.58888888888888891</v>
      </c>
      <c r="G916" t="s">
        <v>22</v>
      </c>
      <c r="H916" t="str">
        <f>IF(Delivery_data[[#This Row],[Order Status]] = "In Progress", "Backlog", "Complete")</f>
        <v>Complete</v>
      </c>
      <c r="I916" t="s">
        <v>266</v>
      </c>
      <c r="J916" t="s">
        <v>1631</v>
      </c>
      <c r="K916" t="s">
        <v>37</v>
      </c>
      <c r="L916">
        <v>105</v>
      </c>
      <c r="M916">
        <v>18</v>
      </c>
      <c r="N916" t="s">
        <v>25</v>
      </c>
      <c r="O916" t="s">
        <v>26</v>
      </c>
      <c r="P916" t="s">
        <v>34</v>
      </c>
      <c r="Q916" t="s">
        <v>51</v>
      </c>
      <c r="R916" s="2">
        <v>0.64583333333333337</v>
      </c>
    </row>
    <row r="917" spans="1:18" x14ac:dyDescent="0.25">
      <c r="A917" t="s">
        <v>2064</v>
      </c>
      <c r="B917" t="s">
        <v>569</v>
      </c>
      <c r="C917" s="1">
        <v>45172</v>
      </c>
      <c r="D917" s="1" t="str">
        <f>TEXT(Delivery_data[[#This Row],[Order date]], "MMMM")</f>
        <v>September</v>
      </c>
      <c r="E917" s="1" t="str">
        <f>TEXT(Delivery_data[[#This Row],[Order date]], "DDDD")</f>
        <v>Sunday</v>
      </c>
      <c r="F917" s="2">
        <v>0.37847222222222221</v>
      </c>
      <c r="G917" t="s">
        <v>22</v>
      </c>
      <c r="H917" t="str">
        <f>IF(Delivery_data[[#This Row],[Order Status]] = "In Progress", "Backlog", "Complete")</f>
        <v>Complete</v>
      </c>
      <c r="I917" t="s">
        <v>266</v>
      </c>
      <c r="J917" t="s">
        <v>1631</v>
      </c>
      <c r="K917" t="s">
        <v>24</v>
      </c>
      <c r="L917">
        <v>135</v>
      </c>
      <c r="M917">
        <v>7</v>
      </c>
      <c r="N917" t="s">
        <v>32</v>
      </c>
      <c r="O917" t="s">
        <v>50</v>
      </c>
      <c r="P917" t="s">
        <v>34</v>
      </c>
      <c r="Q917" t="s">
        <v>51</v>
      </c>
      <c r="R917" s="2">
        <v>0.37916666666666665</v>
      </c>
    </row>
    <row r="918" spans="1:18" x14ac:dyDescent="0.25">
      <c r="A918" t="s">
        <v>2551</v>
      </c>
      <c r="B918" t="s">
        <v>318</v>
      </c>
      <c r="C918" s="1">
        <v>45176</v>
      </c>
      <c r="D918" s="1" t="str">
        <f>TEXT(Delivery_data[[#This Row],[Order date]], "MMMM")</f>
        <v>September</v>
      </c>
      <c r="E918" s="1" t="str">
        <f>TEXT(Delivery_data[[#This Row],[Order date]], "DDDD")</f>
        <v>Thursday</v>
      </c>
      <c r="F918" s="2">
        <v>0.35416666666666669</v>
      </c>
      <c r="G918" t="s">
        <v>48</v>
      </c>
      <c r="H918" t="str">
        <f>IF(Delivery_data[[#This Row],[Order Status]] = "In Progress", "Backlog", "Complete")</f>
        <v>Backlog</v>
      </c>
      <c r="I918" t="s">
        <v>266</v>
      </c>
      <c r="J918" t="s">
        <v>1633</v>
      </c>
      <c r="K918" t="s">
        <v>24</v>
      </c>
      <c r="L918">
        <v>122</v>
      </c>
      <c r="M918">
        <v>6</v>
      </c>
      <c r="N918" t="s">
        <v>32</v>
      </c>
      <c r="O918" t="s">
        <v>50</v>
      </c>
      <c r="P918" t="s">
        <v>45</v>
      </c>
      <c r="Q918" t="s">
        <v>46</v>
      </c>
      <c r="R918" s="2">
        <v>0.59236111111111112</v>
      </c>
    </row>
    <row r="919" spans="1:18" x14ac:dyDescent="0.25">
      <c r="A919" t="s">
        <v>2713</v>
      </c>
      <c r="B919" t="s">
        <v>1194</v>
      </c>
      <c r="C919" s="1">
        <v>45176</v>
      </c>
      <c r="D919" s="1" t="str">
        <f>TEXT(Delivery_data[[#This Row],[Order date]], "MMMM")</f>
        <v>September</v>
      </c>
      <c r="E919" s="1" t="str">
        <f>TEXT(Delivery_data[[#This Row],[Order date]], "DDDD")</f>
        <v>Thursday</v>
      </c>
      <c r="F919" s="2">
        <v>0.65625</v>
      </c>
      <c r="G919" t="s">
        <v>48</v>
      </c>
      <c r="H919" t="str">
        <f>IF(Delivery_data[[#This Row],[Order Status]] = "In Progress", "Backlog", "Complete")</f>
        <v>Backlog</v>
      </c>
      <c r="I919" t="s">
        <v>266</v>
      </c>
      <c r="J919" t="s">
        <v>1637</v>
      </c>
      <c r="K919" t="s">
        <v>44</v>
      </c>
      <c r="L919">
        <v>232</v>
      </c>
      <c r="M919">
        <v>23</v>
      </c>
      <c r="N919" t="s">
        <v>25</v>
      </c>
      <c r="O919" t="s">
        <v>26</v>
      </c>
      <c r="P919" t="s">
        <v>45</v>
      </c>
      <c r="Q919" t="s">
        <v>28</v>
      </c>
      <c r="R919" s="2">
        <v>0.51666666666666672</v>
      </c>
    </row>
    <row r="920" spans="1:18" x14ac:dyDescent="0.25">
      <c r="A920" t="s">
        <v>2769</v>
      </c>
      <c r="B920" t="s">
        <v>1247</v>
      </c>
      <c r="C920" s="1">
        <v>45174</v>
      </c>
      <c r="D920" s="1" t="str">
        <f>TEXT(Delivery_data[[#This Row],[Order date]], "MMMM")</f>
        <v>September</v>
      </c>
      <c r="E920" s="1" t="str">
        <f>TEXT(Delivery_data[[#This Row],[Order date]], "DDDD")</f>
        <v>Tuesday</v>
      </c>
      <c r="F920" s="2">
        <v>0.60069444444444442</v>
      </c>
      <c r="G920" t="s">
        <v>48</v>
      </c>
      <c r="H920" t="str">
        <f>IF(Delivery_data[[#This Row],[Order Status]] = "In Progress", "Backlog", "Complete")</f>
        <v>Backlog</v>
      </c>
      <c r="I920" t="s">
        <v>266</v>
      </c>
      <c r="J920" t="s">
        <v>1633</v>
      </c>
      <c r="K920" t="s">
        <v>31</v>
      </c>
      <c r="L920">
        <v>137</v>
      </c>
      <c r="M920">
        <v>0</v>
      </c>
      <c r="N920" t="s">
        <v>25</v>
      </c>
      <c r="O920" t="s">
        <v>26</v>
      </c>
      <c r="P920" t="s">
        <v>34</v>
      </c>
      <c r="Q920" t="s">
        <v>46</v>
      </c>
      <c r="R920" s="2">
        <v>0.51458333333333328</v>
      </c>
    </row>
    <row r="921" spans="1:18" x14ac:dyDescent="0.25">
      <c r="A921" t="s">
        <v>2778</v>
      </c>
      <c r="B921" t="s">
        <v>1256</v>
      </c>
      <c r="C921" s="1">
        <v>45171</v>
      </c>
      <c r="D921" s="1" t="str">
        <f>TEXT(Delivery_data[[#This Row],[Order date]], "MMMM")</f>
        <v>September</v>
      </c>
      <c r="E921" s="1" t="str">
        <f>TEXT(Delivery_data[[#This Row],[Order date]], "DDDD")</f>
        <v>Saturday</v>
      </c>
      <c r="F921" s="2">
        <v>0.36249999999999999</v>
      </c>
      <c r="G921" t="s">
        <v>22</v>
      </c>
      <c r="H921" t="str">
        <f>IF(Delivery_data[[#This Row],[Order Status]] = "In Progress", "Backlog", "Complete")</f>
        <v>Complete</v>
      </c>
      <c r="I921" t="s">
        <v>266</v>
      </c>
      <c r="J921" t="s">
        <v>1633</v>
      </c>
      <c r="K921" t="s">
        <v>24</v>
      </c>
      <c r="L921">
        <v>66</v>
      </c>
      <c r="M921">
        <v>18</v>
      </c>
      <c r="N921" t="s">
        <v>38</v>
      </c>
      <c r="O921" t="s">
        <v>41</v>
      </c>
      <c r="P921" t="s">
        <v>27</v>
      </c>
      <c r="Q921" t="s">
        <v>46</v>
      </c>
      <c r="R921" s="2">
        <v>0.56666666666666665</v>
      </c>
    </row>
    <row r="922" spans="1:18" x14ac:dyDescent="0.25">
      <c r="A922" t="s">
        <v>2799</v>
      </c>
      <c r="B922" t="s">
        <v>1276</v>
      </c>
      <c r="C922" s="1">
        <v>45175</v>
      </c>
      <c r="D922" s="1" t="str">
        <f>TEXT(Delivery_data[[#This Row],[Order date]], "MMMM")</f>
        <v>September</v>
      </c>
      <c r="E922" s="1" t="str">
        <f>TEXT(Delivery_data[[#This Row],[Order date]], "DDDD")</f>
        <v>Wednesday</v>
      </c>
      <c r="F922" s="2">
        <v>0.69305555555555554</v>
      </c>
      <c r="G922" t="s">
        <v>48</v>
      </c>
      <c r="H922" t="str">
        <f>IF(Delivery_data[[#This Row],[Order Status]] = "In Progress", "Backlog", "Complete")</f>
        <v>Backlog</v>
      </c>
      <c r="I922" t="s">
        <v>266</v>
      </c>
      <c r="J922" t="s">
        <v>1633</v>
      </c>
      <c r="K922" t="s">
        <v>37</v>
      </c>
      <c r="L922">
        <v>169</v>
      </c>
      <c r="M922">
        <v>24</v>
      </c>
      <c r="N922" t="s">
        <v>25</v>
      </c>
      <c r="O922" t="s">
        <v>54</v>
      </c>
      <c r="P922" t="s">
        <v>45</v>
      </c>
      <c r="Q922" t="s">
        <v>28</v>
      </c>
      <c r="R922" s="2">
        <v>0.64513888888888893</v>
      </c>
    </row>
    <row r="923" spans="1:18" x14ac:dyDescent="0.25">
      <c r="A923" t="s">
        <v>2866</v>
      </c>
      <c r="B923" t="s">
        <v>1340</v>
      </c>
      <c r="C923" s="1">
        <v>45176</v>
      </c>
      <c r="D923" s="1" t="str">
        <f>TEXT(Delivery_data[[#This Row],[Order date]], "MMMM")</f>
        <v>September</v>
      </c>
      <c r="E923" s="1" t="str">
        <f>TEXT(Delivery_data[[#This Row],[Order date]], "DDDD")</f>
        <v>Thursday</v>
      </c>
      <c r="F923" s="2">
        <v>0.45277777777777778</v>
      </c>
      <c r="G923" t="s">
        <v>48</v>
      </c>
      <c r="H923" t="str">
        <f>IF(Delivery_data[[#This Row],[Order Status]] = "In Progress", "Backlog", "Complete")</f>
        <v>Backlog</v>
      </c>
      <c r="I923" t="s">
        <v>266</v>
      </c>
      <c r="J923" t="s">
        <v>1631</v>
      </c>
      <c r="K923" t="s">
        <v>24</v>
      </c>
      <c r="L923">
        <v>195</v>
      </c>
      <c r="M923">
        <v>10</v>
      </c>
      <c r="N923" t="s">
        <v>25</v>
      </c>
      <c r="O923" t="s">
        <v>33</v>
      </c>
      <c r="P923" t="s">
        <v>27</v>
      </c>
      <c r="Q923" t="s">
        <v>51</v>
      </c>
      <c r="R923" s="2">
        <v>0.66597222222222219</v>
      </c>
    </row>
    <row r="924" spans="1:18" x14ac:dyDescent="0.25">
      <c r="A924" t="s">
        <v>2940</v>
      </c>
      <c r="B924" t="s">
        <v>1413</v>
      </c>
      <c r="C924" s="1">
        <v>45171</v>
      </c>
      <c r="D924" s="1" t="str">
        <f>TEXT(Delivery_data[[#This Row],[Order date]], "MMMM")</f>
        <v>September</v>
      </c>
      <c r="E924" s="1" t="str">
        <f>TEXT(Delivery_data[[#This Row],[Order date]], "DDDD")</f>
        <v>Saturday</v>
      </c>
      <c r="F924" s="2">
        <v>0.47569444444444442</v>
      </c>
      <c r="G924" t="s">
        <v>48</v>
      </c>
      <c r="H924" t="str">
        <f>IF(Delivery_data[[#This Row],[Order Status]] = "In Progress", "Backlog", "Complete")</f>
        <v>Backlog</v>
      </c>
      <c r="I924" t="s">
        <v>266</v>
      </c>
      <c r="J924" t="s">
        <v>1637</v>
      </c>
      <c r="K924" t="s">
        <v>24</v>
      </c>
      <c r="L924">
        <v>132</v>
      </c>
      <c r="M924">
        <v>2</v>
      </c>
      <c r="N924" t="s">
        <v>32</v>
      </c>
      <c r="O924" t="s">
        <v>54</v>
      </c>
      <c r="P924" t="s">
        <v>34</v>
      </c>
      <c r="Q924" t="s">
        <v>28</v>
      </c>
      <c r="R924" s="2">
        <v>0.5708333333333333</v>
      </c>
    </row>
    <row r="925" spans="1:18" x14ac:dyDescent="0.25">
      <c r="A925" t="s">
        <v>2978</v>
      </c>
      <c r="B925" t="s">
        <v>1451</v>
      </c>
      <c r="C925" s="1">
        <v>45174</v>
      </c>
      <c r="D925" s="1" t="str">
        <f>TEXT(Delivery_data[[#This Row],[Order date]], "MMMM")</f>
        <v>September</v>
      </c>
      <c r="E925" s="1" t="str">
        <f>TEXT(Delivery_data[[#This Row],[Order date]], "DDDD")</f>
        <v>Tuesday</v>
      </c>
      <c r="F925" s="2">
        <v>0.60416666666666663</v>
      </c>
      <c r="G925" t="s">
        <v>48</v>
      </c>
      <c r="H925" t="str">
        <f>IF(Delivery_data[[#This Row],[Order Status]] = "In Progress", "Backlog", "Complete")</f>
        <v>Backlog</v>
      </c>
      <c r="I925" t="s">
        <v>266</v>
      </c>
      <c r="J925" t="s">
        <v>1637</v>
      </c>
      <c r="K925" t="s">
        <v>61</v>
      </c>
      <c r="L925">
        <v>133</v>
      </c>
      <c r="M925">
        <v>22</v>
      </c>
      <c r="N925" t="s">
        <v>32</v>
      </c>
      <c r="O925" t="s">
        <v>54</v>
      </c>
      <c r="P925" t="s">
        <v>45</v>
      </c>
      <c r="Q925" t="s">
        <v>28</v>
      </c>
      <c r="R925" s="2">
        <v>0.49652777777777779</v>
      </c>
    </row>
    <row r="926" spans="1:18" x14ac:dyDescent="0.25">
      <c r="A926" t="s">
        <v>3120</v>
      </c>
      <c r="B926" t="s">
        <v>1586</v>
      </c>
      <c r="C926" s="1">
        <v>45175</v>
      </c>
      <c r="D926" s="1" t="str">
        <f>TEXT(Delivery_data[[#This Row],[Order date]], "MMMM")</f>
        <v>September</v>
      </c>
      <c r="E926" s="1" t="str">
        <f>TEXT(Delivery_data[[#This Row],[Order date]], "DDDD")</f>
        <v>Wednesday</v>
      </c>
      <c r="F926" s="2">
        <v>0.3611111111111111</v>
      </c>
      <c r="G926" t="s">
        <v>48</v>
      </c>
      <c r="H926" t="str">
        <f>IF(Delivery_data[[#This Row],[Order Status]] = "In Progress", "Backlog", "Complete")</f>
        <v>Backlog</v>
      </c>
      <c r="I926" t="s">
        <v>266</v>
      </c>
      <c r="J926" t="s">
        <v>1633</v>
      </c>
      <c r="K926" t="s">
        <v>24</v>
      </c>
      <c r="L926">
        <v>172</v>
      </c>
      <c r="M926">
        <v>11</v>
      </c>
      <c r="N926" t="s">
        <v>25</v>
      </c>
      <c r="O926" t="s">
        <v>41</v>
      </c>
      <c r="P926" t="s">
        <v>34</v>
      </c>
      <c r="Q926" t="s">
        <v>28</v>
      </c>
      <c r="R926" s="2">
        <v>0.55347222222222225</v>
      </c>
    </row>
    <row r="927" spans="1:18" x14ac:dyDescent="0.25">
      <c r="A927" t="s">
        <v>3132</v>
      </c>
      <c r="B927" t="s">
        <v>1595</v>
      </c>
      <c r="C927" s="1">
        <v>45172</v>
      </c>
      <c r="D927" s="1" t="str">
        <f>TEXT(Delivery_data[[#This Row],[Order date]], "MMMM")</f>
        <v>September</v>
      </c>
      <c r="E927" s="1" t="str">
        <f>TEXT(Delivery_data[[#This Row],[Order date]], "DDDD")</f>
        <v>Sunday</v>
      </c>
      <c r="F927" s="2">
        <v>0.64652777777777781</v>
      </c>
      <c r="G927" t="s">
        <v>22</v>
      </c>
      <c r="H927" t="str">
        <f>IF(Delivery_data[[#This Row],[Order Status]] = "In Progress", "Backlog", "Complete")</f>
        <v>Complete</v>
      </c>
      <c r="I927" t="s">
        <v>266</v>
      </c>
      <c r="J927" t="s">
        <v>1633</v>
      </c>
      <c r="K927" t="s">
        <v>37</v>
      </c>
      <c r="L927">
        <v>134</v>
      </c>
      <c r="M927">
        <v>23</v>
      </c>
      <c r="N927" t="s">
        <v>38</v>
      </c>
      <c r="O927" t="s">
        <v>50</v>
      </c>
      <c r="P927" t="s">
        <v>27</v>
      </c>
      <c r="Q927" t="s">
        <v>51</v>
      </c>
      <c r="R927" s="2">
        <v>0.51388888888888884</v>
      </c>
    </row>
    <row r="928" spans="1:18" x14ac:dyDescent="0.25">
      <c r="A928" t="s">
        <v>1860</v>
      </c>
      <c r="B928" t="s">
        <v>359</v>
      </c>
      <c r="C928" s="1">
        <v>45174</v>
      </c>
      <c r="D928" s="1" t="str">
        <f>TEXT(Delivery_data[[#This Row],[Order date]], "MMMM")</f>
        <v>September</v>
      </c>
      <c r="E928" s="1" t="str">
        <f>TEXT(Delivery_data[[#This Row],[Order date]], "DDDD")</f>
        <v>Tuesday</v>
      </c>
      <c r="F928" s="2">
        <v>0.55763888888888891</v>
      </c>
      <c r="G928" t="s">
        <v>22</v>
      </c>
      <c r="H928" t="str">
        <f>IF(Delivery_data[[#This Row],[Order Status]] = "In Progress", "Backlog", "Complete")</f>
        <v>Complete</v>
      </c>
      <c r="I928" t="s">
        <v>360</v>
      </c>
      <c r="J928" t="s">
        <v>1631</v>
      </c>
      <c r="K928" t="s">
        <v>37</v>
      </c>
      <c r="L928">
        <v>148</v>
      </c>
      <c r="M928">
        <v>9</v>
      </c>
      <c r="N928" t="s">
        <v>32</v>
      </c>
      <c r="O928" t="s">
        <v>41</v>
      </c>
      <c r="P928" t="s">
        <v>45</v>
      </c>
      <c r="Q928" t="s">
        <v>28</v>
      </c>
      <c r="R928" s="2">
        <v>0.59166666666666667</v>
      </c>
    </row>
    <row r="929" spans="1:18" x14ac:dyDescent="0.25">
      <c r="A929" t="s">
        <v>2108</v>
      </c>
      <c r="B929" t="s">
        <v>612</v>
      </c>
      <c r="C929" s="1">
        <v>45172</v>
      </c>
      <c r="D929" s="1" t="str">
        <f>TEXT(Delivery_data[[#This Row],[Order date]], "MMMM")</f>
        <v>September</v>
      </c>
      <c r="E929" s="1" t="str">
        <f>TEXT(Delivery_data[[#This Row],[Order date]], "DDDD")</f>
        <v>Sunday</v>
      </c>
      <c r="F929" s="2">
        <v>0.57361111111111107</v>
      </c>
      <c r="G929" t="s">
        <v>22</v>
      </c>
      <c r="H929" t="str">
        <f>IF(Delivery_data[[#This Row],[Order Status]] = "In Progress", "Backlog", "Complete")</f>
        <v>Complete</v>
      </c>
      <c r="I929" t="s">
        <v>360</v>
      </c>
      <c r="J929" t="s">
        <v>1631</v>
      </c>
      <c r="K929" t="s">
        <v>44</v>
      </c>
      <c r="L929">
        <v>71</v>
      </c>
      <c r="M929">
        <v>14</v>
      </c>
      <c r="N929" t="s">
        <v>25</v>
      </c>
      <c r="O929" t="s">
        <v>33</v>
      </c>
      <c r="P929" t="s">
        <v>34</v>
      </c>
      <c r="Q929" t="s">
        <v>51</v>
      </c>
      <c r="R929" s="2">
        <v>0.69027777777777777</v>
      </c>
    </row>
    <row r="930" spans="1:18" x14ac:dyDescent="0.25">
      <c r="A930" t="s">
        <v>2271</v>
      </c>
      <c r="B930" t="s">
        <v>771</v>
      </c>
      <c r="C930" s="1">
        <v>45173</v>
      </c>
      <c r="D930" s="1" t="str">
        <f>TEXT(Delivery_data[[#This Row],[Order date]], "MMMM")</f>
        <v>September</v>
      </c>
      <c r="E930" s="1" t="str">
        <f>TEXT(Delivery_data[[#This Row],[Order date]], "DDDD")</f>
        <v>Monday</v>
      </c>
      <c r="F930" s="2">
        <v>0.57708333333333328</v>
      </c>
      <c r="G930" t="s">
        <v>22</v>
      </c>
      <c r="H930" t="str">
        <f>IF(Delivery_data[[#This Row],[Order Status]] = "In Progress", "Backlog", "Complete")</f>
        <v>Complete</v>
      </c>
      <c r="I930" t="s">
        <v>360</v>
      </c>
      <c r="J930" t="s">
        <v>1633</v>
      </c>
      <c r="K930" t="s">
        <v>37</v>
      </c>
      <c r="L930">
        <v>173</v>
      </c>
      <c r="M930">
        <v>16</v>
      </c>
      <c r="N930" t="s">
        <v>25</v>
      </c>
      <c r="O930" t="s">
        <v>54</v>
      </c>
      <c r="P930" t="s">
        <v>34</v>
      </c>
      <c r="Q930" t="s">
        <v>51</v>
      </c>
      <c r="R930" s="2">
        <v>0.50486111111111109</v>
      </c>
    </row>
    <row r="931" spans="1:18" x14ac:dyDescent="0.25">
      <c r="A931" t="s">
        <v>2569</v>
      </c>
      <c r="B931" t="s">
        <v>580</v>
      </c>
      <c r="C931" s="1">
        <v>45170</v>
      </c>
      <c r="D931" s="1" t="str">
        <f>TEXT(Delivery_data[[#This Row],[Order date]], "MMMM")</f>
        <v>September</v>
      </c>
      <c r="E931" s="1" t="str">
        <f>TEXT(Delivery_data[[#This Row],[Order date]], "DDDD")</f>
        <v>Friday</v>
      </c>
      <c r="F931" s="2">
        <v>0.4236111111111111</v>
      </c>
      <c r="G931" t="s">
        <v>48</v>
      </c>
      <c r="H931" t="str">
        <f>IF(Delivery_data[[#This Row],[Order Status]] = "In Progress", "Backlog", "Complete")</f>
        <v>Backlog</v>
      </c>
      <c r="I931" t="s">
        <v>360</v>
      </c>
      <c r="J931" t="s">
        <v>1631</v>
      </c>
      <c r="K931" t="s">
        <v>44</v>
      </c>
      <c r="L931">
        <v>222</v>
      </c>
      <c r="M931">
        <v>7</v>
      </c>
      <c r="N931" t="s">
        <v>25</v>
      </c>
      <c r="O931" t="s">
        <v>33</v>
      </c>
      <c r="P931" t="s">
        <v>27</v>
      </c>
      <c r="Q931" t="s">
        <v>46</v>
      </c>
      <c r="R931" s="2">
        <v>0.50555555555555554</v>
      </c>
    </row>
    <row r="932" spans="1:18" x14ac:dyDescent="0.25">
      <c r="A932" t="s">
        <v>2810</v>
      </c>
      <c r="B932" t="s">
        <v>1287</v>
      </c>
      <c r="C932" s="1">
        <v>45177</v>
      </c>
      <c r="D932" s="1" t="str">
        <f>TEXT(Delivery_data[[#This Row],[Order date]], "MMMM")</f>
        <v>September</v>
      </c>
      <c r="E932" s="1" t="str">
        <f>TEXT(Delivery_data[[#This Row],[Order date]], "DDDD")</f>
        <v>Friday</v>
      </c>
      <c r="F932" s="2">
        <v>0.43611111111111112</v>
      </c>
      <c r="G932" t="s">
        <v>48</v>
      </c>
      <c r="H932" t="str">
        <f>IF(Delivery_data[[#This Row],[Order Status]] = "In Progress", "Backlog", "Complete")</f>
        <v>Backlog</v>
      </c>
      <c r="I932" t="s">
        <v>360</v>
      </c>
      <c r="J932" t="s">
        <v>1633</v>
      </c>
      <c r="K932" t="s">
        <v>61</v>
      </c>
      <c r="L932">
        <v>114</v>
      </c>
      <c r="M932">
        <v>23</v>
      </c>
      <c r="N932" t="s">
        <v>38</v>
      </c>
      <c r="O932" t="s">
        <v>26</v>
      </c>
      <c r="P932" t="s">
        <v>45</v>
      </c>
      <c r="Q932" t="s">
        <v>51</v>
      </c>
      <c r="R932" s="2">
        <v>0.5708333333333333</v>
      </c>
    </row>
    <row r="933" spans="1:18" x14ac:dyDescent="0.25">
      <c r="A933" t="s">
        <v>2895</v>
      </c>
      <c r="B933" t="s">
        <v>1368</v>
      </c>
      <c r="C933" s="1">
        <v>45171</v>
      </c>
      <c r="D933" s="1" t="str">
        <f>TEXT(Delivery_data[[#This Row],[Order date]], "MMMM")</f>
        <v>September</v>
      </c>
      <c r="E933" s="1" t="str">
        <f>TEXT(Delivery_data[[#This Row],[Order date]], "DDDD")</f>
        <v>Saturday</v>
      </c>
      <c r="F933" s="2">
        <v>0.67986111111111114</v>
      </c>
      <c r="G933" t="s">
        <v>22</v>
      </c>
      <c r="H933" t="str">
        <f>IF(Delivery_data[[#This Row],[Order Status]] = "In Progress", "Backlog", "Complete")</f>
        <v>Complete</v>
      </c>
      <c r="I933" t="s">
        <v>360</v>
      </c>
      <c r="J933" t="s">
        <v>1633</v>
      </c>
      <c r="K933" t="s">
        <v>31</v>
      </c>
      <c r="L933">
        <v>165</v>
      </c>
      <c r="M933">
        <v>27</v>
      </c>
      <c r="N933" t="s">
        <v>32</v>
      </c>
      <c r="O933" t="s">
        <v>33</v>
      </c>
      <c r="P933" t="s">
        <v>34</v>
      </c>
      <c r="Q933" t="s">
        <v>51</v>
      </c>
      <c r="R933" s="2">
        <v>0.66041666666666665</v>
      </c>
    </row>
    <row r="934" spans="1:18" x14ac:dyDescent="0.25">
      <c r="A934" t="s">
        <v>3050</v>
      </c>
      <c r="B934" t="s">
        <v>916</v>
      </c>
      <c r="C934" s="1">
        <v>45171</v>
      </c>
      <c r="D934" s="1" t="str">
        <f>TEXT(Delivery_data[[#This Row],[Order date]], "MMMM")</f>
        <v>September</v>
      </c>
      <c r="E934" s="1" t="str">
        <f>TEXT(Delivery_data[[#This Row],[Order date]], "DDDD")</f>
        <v>Saturday</v>
      </c>
      <c r="F934" s="2">
        <v>0.60486111111111107</v>
      </c>
      <c r="G934" t="s">
        <v>48</v>
      </c>
      <c r="H934" t="str">
        <f>IF(Delivery_data[[#This Row],[Order Status]] = "In Progress", "Backlog", "Complete")</f>
        <v>Backlog</v>
      </c>
      <c r="I934" t="s">
        <v>360</v>
      </c>
      <c r="J934" t="s">
        <v>1631</v>
      </c>
      <c r="K934" t="s">
        <v>24</v>
      </c>
      <c r="L934">
        <v>115</v>
      </c>
      <c r="M934">
        <v>12</v>
      </c>
      <c r="N934" t="s">
        <v>25</v>
      </c>
      <c r="O934" t="s">
        <v>33</v>
      </c>
      <c r="P934" t="s">
        <v>27</v>
      </c>
      <c r="Q934" t="s">
        <v>28</v>
      </c>
      <c r="R934" s="2">
        <v>0.49930555555555556</v>
      </c>
    </row>
    <row r="935" spans="1:18" x14ac:dyDescent="0.25">
      <c r="A935" t="s">
        <v>3055</v>
      </c>
      <c r="B935" t="s">
        <v>1523</v>
      </c>
      <c r="C935" s="1">
        <v>45174</v>
      </c>
      <c r="D935" s="1" t="str">
        <f>TEXT(Delivery_data[[#This Row],[Order date]], "MMMM")</f>
        <v>September</v>
      </c>
      <c r="E935" s="1" t="str">
        <f>TEXT(Delivery_data[[#This Row],[Order date]], "DDDD")</f>
        <v>Tuesday</v>
      </c>
      <c r="F935" s="2">
        <v>0.44236111111111109</v>
      </c>
      <c r="G935" t="s">
        <v>22</v>
      </c>
      <c r="H935" t="str">
        <f>IF(Delivery_data[[#This Row],[Order Status]] = "In Progress", "Backlog", "Complete")</f>
        <v>Complete</v>
      </c>
      <c r="I935" t="s">
        <v>360</v>
      </c>
      <c r="J935" t="s">
        <v>1633</v>
      </c>
      <c r="K935" t="s">
        <v>61</v>
      </c>
      <c r="L935">
        <v>80</v>
      </c>
      <c r="M935">
        <v>22</v>
      </c>
      <c r="N935" t="s">
        <v>32</v>
      </c>
      <c r="O935" t="s">
        <v>41</v>
      </c>
      <c r="P935" t="s">
        <v>34</v>
      </c>
      <c r="Q935" t="s">
        <v>46</v>
      </c>
      <c r="R935" s="2">
        <v>0.54236111111111107</v>
      </c>
    </row>
    <row r="936" spans="1:18" x14ac:dyDescent="0.25">
      <c r="A936" t="s">
        <v>3111</v>
      </c>
      <c r="B936" t="s">
        <v>1577</v>
      </c>
      <c r="C936" s="1">
        <v>45177</v>
      </c>
      <c r="D936" s="1" t="str">
        <f>TEXT(Delivery_data[[#This Row],[Order date]], "MMMM")</f>
        <v>September</v>
      </c>
      <c r="E936" s="1" t="str">
        <f>TEXT(Delivery_data[[#This Row],[Order date]], "DDDD")</f>
        <v>Friday</v>
      </c>
      <c r="F936" s="2">
        <v>0.50902777777777775</v>
      </c>
      <c r="G936" t="s">
        <v>22</v>
      </c>
      <c r="H936" t="str">
        <f>IF(Delivery_data[[#This Row],[Order Status]] = "In Progress", "Backlog", "Complete")</f>
        <v>Complete</v>
      </c>
      <c r="I936" t="s">
        <v>360</v>
      </c>
      <c r="J936" t="s">
        <v>1637</v>
      </c>
      <c r="K936" t="s">
        <v>24</v>
      </c>
      <c r="L936">
        <v>129</v>
      </c>
      <c r="M936">
        <v>6</v>
      </c>
      <c r="N936" t="s">
        <v>38</v>
      </c>
      <c r="O936" t="s">
        <v>26</v>
      </c>
      <c r="P936" t="s">
        <v>45</v>
      </c>
      <c r="Q936" t="s">
        <v>46</v>
      </c>
      <c r="R936" s="2">
        <v>0.36875000000000002</v>
      </c>
    </row>
    <row r="937" spans="1:18" x14ac:dyDescent="0.25">
      <c r="A937" t="s">
        <v>1682</v>
      </c>
      <c r="B937" t="s">
        <v>132</v>
      </c>
      <c r="C937" s="1">
        <v>45176</v>
      </c>
      <c r="D937" s="1" t="str">
        <f>TEXT(Delivery_data[[#This Row],[Order date]], "MMMM")</f>
        <v>September</v>
      </c>
      <c r="E937" s="1" t="str">
        <f>TEXT(Delivery_data[[#This Row],[Order date]], "DDDD")</f>
        <v>Thursday</v>
      </c>
      <c r="F937" s="2">
        <v>0.49375000000000002</v>
      </c>
      <c r="G937" t="s">
        <v>48</v>
      </c>
      <c r="H937" t="str">
        <f>IF(Delivery_data[[#This Row],[Order Status]] = "In Progress", "Backlog", "Complete")</f>
        <v>Backlog</v>
      </c>
      <c r="I937" t="s">
        <v>133</v>
      </c>
      <c r="J937" t="s">
        <v>1631</v>
      </c>
      <c r="K937" t="s">
        <v>31</v>
      </c>
      <c r="L937">
        <v>94</v>
      </c>
      <c r="M937">
        <v>15</v>
      </c>
      <c r="N937" t="s">
        <v>38</v>
      </c>
      <c r="O937" t="s">
        <v>26</v>
      </c>
      <c r="P937" t="s">
        <v>27</v>
      </c>
      <c r="Q937" t="s">
        <v>28</v>
      </c>
      <c r="R937" s="2">
        <v>0.50624999999999998</v>
      </c>
    </row>
    <row r="938" spans="1:18" x14ac:dyDescent="0.25">
      <c r="A938" t="s">
        <v>1687</v>
      </c>
      <c r="B938" t="s">
        <v>141</v>
      </c>
      <c r="C938" s="1">
        <v>45175</v>
      </c>
      <c r="D938" s="1" t="str">
        <f>TEXT(Delivery_data[[#This Row],[Order date]], "MMMM")</f>
        <v>September</v>
      </c>
      <c r="E938" s="1" t="str">
        <f>TEXT(Delivery_data[[#This Row],[Order date]], "DDDD")</f>
        <v>Wednesday</v>
      </c>
      <c r="F938" s="2">
        <v>0.36736111111111114</v>
      </c>
      <c r="G938" t="s">
        <v>48</v>
      </c>
      <c r="H938" t="str">
        <f>IF(Delivery_data[[#This Row],[Order Status]] = "In Progress", "Backlog", "Complete")</f>
        <v>Backlog</v>
      </c>
      <c r="I938" t="s">
        <v>133</v>
      </c>
      <c r="J938" t="s">
        <v>1633</v>
      </c>
      <c r="K938" t="s">
        <v>44</v>
      </c>
      <c r="L938">
        <v>239</v>
      </c>
      <c r="M938">
        <v>24</v>
      </c>
      <c r="N938" t="s">
        <v>32</v>
      </c>
      <c r="O938" t="s">
        <v>33</v>
      </c>
      <c r="P938" t="s">
        <v>45</v>
      </c>
      <c r="Q938" t="s">
        <v>28</v>
      </c>
      <c r="R938" s="2">
        <v>0.3888888888888889</v>
      </c>
    </row>
    <row r="939" spans="1:18" x14ac:dyDescent="0.25">
      <c r="A939" t="s">
        <v>1748</v>
      </c>
      <c r="B939" t="s">
        <v>228</v>
      </c>
      <c r="C939" s="1">
        <v>45170</v>
      </c>
      <c r="D939" s="1" t="str">
        <f>TEXT(Delivery_data[[#This Row],[Order date]], "MMMM")</f>
        <v>September</v>
      </c>
      <c r="E939" s="1" t="str">
        <f>TEXT(Delivery_data[[#This Row],[Order date]], "DDDD")</f>
        <v>Friday</v>
      </c>
      <c r="F939" s="2">
        <v>0.3923611111111111</v>
      </c>
      <c r="G939" t="s">
        <v>48</v>
      </c>
      <c r="H939" t="str">
        <f>IF(Delivery_data[[#This Row],[Order Status]] = "In Progress", "Backlog", "Complete")</f>
        <v>Backlog</v>
      </c>
      <c r="I939" t="s">
        <v>133</v>
      </c>
      <c r="J939" t="s">
        <v>1637</v>
      </c>
      <c r="K939" t="s">
        <v>61</v>
      </c>
      <c r="L939">
        <v>117</v>
      </c>
      <c r="M939">
        <v>15</v>
      </c>
      <c r="N939" t="s">
        <v>25</v>
      </c>
      <c r="O939" t="s">
        <v>26</v>
      </c>
      <c r="P939" t="s">
        <v>45</v>
      </c>
      <c r="Q939" t="s">
        <v>46</v>
      </c>
      <c r="R939" s="2">
        <v>0.65208333333333335</v>
      </c>
    </row>
    <row r="940" spans="1:18" x14ac:dyDescent="0.25">
      <c r="A940" t="s">
        <v>2138</v>
      </c>
      <c r="B940" t="s">
        <v>642</v>
      </c>
      <c r="C940" s="1">
        <v>45173</v>
      </c>
      <c r="D940" s="1" t="str">
        <f>TEXT(Delivery_data[[#This Row],[Order date]], "MMMM")</f>
        <v>September</v>
      </c>
      <c r="E940" s="1" t="str">
        <f>TEXT(Delivery_data[[#This Row],[Order date]], "DDDD")</f>
        <v>Monday</v>
      </c>
      <c r="F940" s="2">
        <v>0.63194444444444442</v>
      </c>
      <c r="G940" t="s">
        <v>22</v>
      </c>
      <c r="H940" t="str">
        <f>IF(Delivery_data[[#This Row],[Order Status]] = "In Progress", "Backlog", "Complete")</f>
        <v>Complete</v>
      </c>
      <c r="I940" t="s">
        <v>133</v>
      </c>
      <c r="J940" t="s">
        <v>1631</v>
      </c>
      <c r="K940" t="s">
        <v>24</v>
      </c>
      <c r="L940">
        <v>74</v>
      </c>
      <c r="M940">
        <v>28</v>
      </c>
      <c r="N940" t="s">
        <v>38</v>
      </c>
      <c r="O940" t="s">
        <v>26</v>
      </c>
      <c r="P940" t="s">
        <v>27</v>
      </c>
      <c r="Q940" t="s">
        <v>46</v>
      </c>
      <c r="R940" s="2">
        <v>0.64166666666666672</v>
      </c>
    </row>
    <row r="941" spans="1:18" x14ac:dyDescent="0.25">
      <c r="A941" t="s">
        <v>2192</v>
      </c>
      <c r="B941" t="s">
        <v>693</v>
      </c>
      <c r="C941" s="1">
        <v>45171</v>
      </c>
      <c r="D941" s="1" t="str">
        <f>TEXT(Delivery_data[[#This Row],[Order date]], "MMMM")</f>
        <v>September</v>
      </c>
      <c r="E941" s="1" t="str">
        <f>TEXT(Delivery_data[[#This Row],[Order date]], "DDDD")</f>
        <v>Saturday</v>
      </c>
      <c r="F941" s="2">
        <v>0.41736111111111113</v>
      </c>
      <c r="G941" t="s">
        <v>22</v>
      </c>
      <c r="H941" t="str">
        <f>IF(Delivery_data[[#This Row],[Order Status]] = "In Progress", "Backlog", "Complete")</f>
        <v>Complete</v>
      </c>
      <c r="I941" t="s">
        <v>133</v>
      </c>
      <c r="J941" t="s">
        <v>1633</v>
      </c>
      <c r="K941" t="s">
        <v>31</v>
      </c>
      <c r="L941">
        <v>217</v>
      </c>
      <c r="M941">
        <v>19</v>
      </c>
      <c r="N941" t="s">
        <v>32</v>
      </c>
      <c r="O941" t="s">
        <v>54</v>
      </c>
      <c r="P941" t="s">
        <v>27</v>
      </c>
      <c r="Q941" t="s">
        <v>46</v>
      </c>
      <c r="R941" s="2">
        <v>0.54374999999999996</v>
      </c>
    </row>
    <row r="942" spans="1:18" x14ac:dyDescent="0.25">
      <c r="A942" t="s">
        <v>2505</v>
      </c>
      <c r="B942" t="s">
        <v>994</v>
      </c>
      <c r="C942" s="1">
        <v>45174</v>
      </c>
      <c r="D942" s="1" t="str">
        <f>TEXT(Delivery_data[[#This Row],[Order date]], "MMMM")</f>
        <v>September</v>
      </c>
      <c r="E942" s="1" t="str">
        <f>TEXT(Delivery_data[[#This Row],[Order date]], "DDDD")</f>
        <v>Tuesday</v>
      </c>
      <c r="F942" s="2">
        <v>0.4152777777777778</v>
      </c>
      <c r="G942" t="s">
        <v>48</v>
      </c>
      <c r="H942" t="str">
        <f>IF(Delivery_data[[#This Row],[Order Status]] = "In Progress", "Backlog", "Complete")</f>
        <v>Backlog</v>
      </c>
      <c r="I942" t="s">
        <v>133</v>
      </c>
      <c r="J942" t="s">
        <v>1637</v>
      </c>
      <c r="K942" t="s">
        <v>61</v>
      </c>
      <c r="L942">
        <v>125</v>
      </c>
      <c r="M942">
        <v>21</v>
      </c>
      <c r="N942" t="s">
        <v>25</v>
      </c>
      <c r="O942" t="s">
        <v>26</v>
      </c>
      <c r="P942" t="s">
        <v>27</v>
      </c>
      <c r="Q942" t="s">
        <v>28</v>
      </c>
      <c r="R942" s="2">
        <v>0.69027777777777777</v>
      </c>
    </row>
    <row r="943" spans="1:18" x14ac:dyDescent="0.25">
      <c r="A943" t="s">
        <v>2513</v>
      </c>
      <c r="B943" t="s">
        <v>1002</v>
      </c>
      <c r="C943" s="1">
        <v>45172</v>
      </c>
      <c r="D943" s="1" t="str">
        <f>TEXT(Delivery_data[[#This Row],[Order date]], "MMMM")</f>
        <v>September</v>
      </c>
      <c r="E943" s="1" t="str">
        <f>TEXT(Delivery_data[[#This Row],[Order date]], "DDDD")</f>
        <v>Sunday</v>
      </c>
      <c r="F943" s="2">
        <v>0.5805555555555556</v>
      </c>
      <c r="G943" t="s">
        <v>22</v>
      </c>
      <c r="H943" t="str">
        <f>IF(Delivery_data[[#This Row],[Order Status]] = "In Progress", "Backlog", "Complete")</f>
        <v>Complete</v>
      </c>
      <c r="I943" t="s">
        <v>133</v>
      </c>
      <c r="J943" t="s">
        <v>1633</v>
      </c>
      <c r="K943" t="s">
        <v>31</v>
      </c>
      <c r="L943">
        <v>228</v>
      </c>
      <c r="M943">
        <v>13</v>
      </c>
      <c r="N943" t="s">
        <v>32</v>
      </c>
      <c r="O943" t="s">
        <v>26</v>
      </c>
      <c r="P943" t="s">
        <v>34</v>
      </c>
      <c r="Q943" t="s">
        <v>51</v>
      </c>
      <c r="R943" s="2">
        <v>0.56388888888888888</v>
      </c>
    </row>
    <row r="944" spans="1:18" x14ac:dyDescent="0.25">
      <c r="A944" t="s">
        <v>2811</v>
      </c>
      <c r="B944" t="s">
        <v>1288</v>
      </c>
      <c r="C944" s="1">
        <v>45172</v>
      </c>
      <c r="D944" s="1" t="str">
        <f>TEXT(Delivery_data[[#This Row],[Order date]], "MMMM")</f>
        <v>September</v>
      </c>
      <c r="E944" s="1" t="str">
        <f>TEXT(Delivery_data[[#This Row],[Order date]], "DDDD")</f>
        <v>Sunday</v>
      </c>
      <c r="F944" s="2">
        <v>0.63888888888888884</v>
      </c>
      <c r="G944" t="s">
        <v>22</v>
      </c>
      <c r="H944" t="str">
        <f>IF(Delivery_data[[#This Row],[Order Status]] = "In Progress", "Backlog", "Complete")</f>
        <v>Complete</v>
      </c>
      <c r="I944" t="s">
        <v>133</v>
      </c>
      <c r="J944" t="s">
        <v>1631</v>
      </c>
      <c r="K944" t="s">
        <v>31</v>
      </c>
      <c r="L944">
        <v>194</v>
      </c>
      <c r="M944">
        <v>6</v>
      </c>
      <c r="N944" t="s">
        <v>38</v>
      </c>
      <c r="O944" t="s">
        <v>41</v>
      </c>
      <c r="P944" t="s">
        <v>34</v>
      </c>
      <c r="Q944" t="s">
        <v>46</v>
      </c>
      <c r="R944" s="2">
        <v>0.65138888888888891</v>
      </c>
    </row>
    <row r="945" spans="1:18" x14ac:dyDescent="0.25">
      <c r="A945" t="s">
        <v>2816</v>
      </c>
      <c r="B945" t="s">
        <v>1293</v>
      </c>
      <c r="C945" s="1">
        <v>45172</v>
      </c>
      <c r="D945" s="1" t="str">
        <f>TEXT(Delivery_data[[#This Row],[Order date]], "MMMM")</f>
        <v>September</v>
      </c>
      <c r="E945" s="1" t="str">
        <f>TEXT(Delivery_data[[#This Row],[Order date]], "DDDD")</f>
        <v>Sunday</v>
      </c>
      <c r="F945" s="2">
        <v>0.45208333333333334</v>
      </c>
      <c r="G945" t="s">
        <v>48</v>
      </c>
      <c r="H945" t="str">
        <f>IF(Delivery_data[[#This Row],[Order Status]] = "In Progress", "Backlog", "Complete")</f>
        <v>Backlog</v>
      </c>
      <c r="I945" t="s">
        <v>133</v>
      </c>
      <c r="J945" t="s">
        <v>1637</v>
      </c>
      <c r="K945" t="s">
        <v>37</v>
      </c>
      <c r="L945">
        <v>205</v>
      </c>
      <c r="M945">
        <v>20</v>
      </c>
      <c r="N945" t="s">
        <v>32</v>
      </c>
      <c r="O945" t="s">
        <v>50</v>
      </c>
      <c r="P945" t="s">
        <v>34</v>
      </c>
      <c r="Q945" t="s">
        <v>51</v>
      </c>
      <c r="R945" s="2">
        <v>0.43194444444444446</v>
      </c>
    </row>
    <row r="946" spans="1:18" x14ac:dyDescent="0.25">
      <c r="A946" t="s">
        <v>2972</v>
      </c>
      <c r="B946" t="s">
        <v>1445</v>
      </c>
      <c r="C946" s="1">
        <v>45170</v>
      </c>
      <c r="D946" s="1" t="str">
        <f>TEXT(Delivery_data[[#This Row],[Order date]], "MMMM")</f>
        <v>September</v>
      </c>
      <c r="E946" s="1" t="str">
        <f>TEXT(Delivery_data[[#This Row],[Order date]], "DDDD")</f>
        <v>Friday</v>
      </c>
      <c r="F946" s="2">
        <v>0.62222222222222223</v>
      </c>
      <c r="G946" t="s">
        <v>22</v>
      </c>
      <c r="H946" t="str">
        <f>IF(Delivery_data[[#This Row],[Order Status]] = "In Progress", "Backlog", "Complete")</f>
        <v>Complete</v>
      </c>
      <c r="I946" t="s">
        <v>133</v>
      </c>
      <c r="J946" t="s">
        <v>1631</v>
      </c>
      <c r="K946" t="s">
        <v>44</v>
      </c>
      <c r="L946">
        <v>191</v>
      </c>
      <c r="M946">
        <v>18</v>
      </c>
      <c r="N946" t="s">
        <v>32</v>
      </c>
      <c r="O946" t="s">
        <v>50</v>
      </c>
      <c r="P946" t="s">
        <v>45</v>
      </c>
      <c r="Q946" t="s">
        <v>28</v>
      </c>
      <c r="R946" s="2">
        <v>0.5541666666666667</v>
      </c>
    </row>
    <row r="947" spans="1:18" x14ac:dyDescent="0.25">
      <c r="A947" t="s">
        <v>3061</v>
      </c>
      <c r="B947" t="s">
        <v>1529</v>
      </c>
      <c r="C947" s="1">
        <v>45170</v>
      </c>
      <c r="D947" s="1" t="str">
        <f>TEXT(Delivery_data[[#This Row],[Order date]], "MMMM")</f>
        <v>September</v>
      </c>
      <c r="E947" s="1" t="str">
        <f>TEXT(Delivery_data[[#This Row],[Order date]], "DDDD")</f>
        <v>Friday</v>
      </c>
      <c r="F947" s="2">
        <v>0.63472222222222219</v>
      </c>
      <c r="G947" t="s">
        <v>48</v>
      </c>
      <c r="H947" t="str">
        <f>IF(Delivery_data[[#This Row],[Order Status]] = "In Progress", "Backlog", "Complete")</f>
        <v>Backlog</v>
      </c>
      <c r="I947" t="s">
        <v>133</v>
      </c>
      <c r="J947" t="s">
        <v>1637</v>
      </c>
      <c r="K947" t="s">
        <v>44</v>
      </c>
      <c r="L947">
        <v>63</v>
      </c>
      <c r="M947">
        <v>17</v>
      </c>
      <c r="N947" t="s">
        <v>25</v>
      </c>
      <c r="O947" t="s">
        <v>50</v>
      </c>
      <c r="P947" t="s">
        <v>34</v>
      </c>
      <c r="Q947" t="s">
        <v>28</v>
      </c>
      <c r="R947" s="2">
        <v>0.6020833333333333</v>
      </c>
    </row>
    <row r="948" spans="1:18" x14ac:dyDescent="0.25">
      <c r="A948" t="s">
        <v>1714</v>
      </c>
      <c r="B948" t="s">
        <v>181</v>
      </c>
      <c r="C948" s="1">
        <v>45170</v>
      </c>
      <c r="D948" s="1" t="str">
        <f>TEXT(Delivery_data[[#This Row],[Order date]], "MMMM")</f>
        <v>September</v>
      </c>
      <c r="E948" s="1" t="str">
        <f>TEXT(Delivery_data[[#This Row],[Order date]], "DDDD")</f>
        <v>Friday</v>
      </c>
      <c r="F948" s="2">
        <v>0.3840277777777778</v>
      </c>
      <c r="G948" t="s">
        <v>48</v>
      </c>
      <c r="H948" t="str">
        <f>IF(Delivery_data[[#This Row],[Order Status]] = "In Progress", "Backlog", "Complete")</f>
        <v>Backlog</v>
      </c>
      <c r="I948" t="s">
        <v>182</v>
      </c>
      <c r="J948" t="s">
        <v>1633</v>
      </c>
      <c r="K948" t="s">
        <v>61</v>
      </c>
      <c r="L948">
        <v>180</v>
      </c>
      <c r="M948">
        <v>24</v>
      </c>
      <c r="N948" t="s">
        <v>38</v>
      </c>
      <c r="O948" t="s">
        <v>33</v>
      </c>
      <c r="P948" t="s">
        <v>27</v>
      </c>
      <c r="Q948" t="s">
        <v>46</v>
      </c>
      <c r="R948" s="2">
        <v>0.55347222222222225</v>
      </c>
    </row>
    <row r="949" spans="1:18" x14ac:dyDescent="0.25">
      <c r="A949" t="s">
        <v>1776</v>
      </c>
      <c r="B949" t="s">
        <v>262</v>
      </c>
      <c r="C949" s="1">
        <v>45177</v>
      </c>
      <c r="D949" s="1" t="str">
        <f>TEXT(Delivery_data[[#This Row],[Order date]], "MMMM")</f>
        <v>September</v>
      </c>
      <c r="E949" s="1" t="str">
        <f>TEXT(Delivery_data[[#This Row],[Order date]], "DDDD")</f>
        <v>Friday</v>
      </c>
      <c r="F949" s="2">
        <v>0.70694444444444449</v>
      </c>
      <c r="G949" t="s">
        <v>22</v>
      </c>
      <c r="H949" t="str">
        <f>IF(Delivery_data[[#This Row],[Order Status]] = "In Progress", "Backlog", "Complete")</f>
        <v>Complete</v>
      </c>
      <c r="I949" t="s">
        <v>182</v>
      </c>
      <c r="J949" t="s">
        <v>1637</v>
      </c>
      <c r="K949" t="s">
        <v>37</v>
      </c>
      <c r="L949">
        <v>215</v>
      </c>
      <c r="M949">
        <v>24</v>
      </c>
      <c r="N949" t="s">
        <v>38</v>
      </c>
      <c r="O949" t="s">
        <v>54</v>
      </c>
      <c r="P949" t="s">
        <v>27</v>
      </c>
      <c r="Q949" t="s">
        <v>46</v>
      </c>
      <c r="R949" s="2">
        <v>0.40763888888888888</v>
      </c>
    </row>
    <row r="950" spans="1:18" x14ac:dyDescent="0.25">
      <c r="A950" t="s">
        <v>1842</v>
      </c>
      <c r="B950" t="s">
        <v>341</v>
      </c>
      <c r="C950" s="1">
        <v>45177</v>
      </c>
      <c r="D950" s="1" t="str">
        <f>TEXT(Delivery_data[[#This Row],[Order date]], "MMMM")</f>
        <v>September</v>
      </c>
      <c r="E950" s="1" t="str">
        <f>TEXT(Delivery_data[[#This Row],[Order date]], "DDDD")</f>
        <v>Friday</v>
      </c>
      <c r="F950" s="2">
        <v>0.33958333333333335</v>
      </c>
      <c r="G950" t="s">
        <v>48</v>
      </c>
      <c r="H950" t="str">
        <f>IF(Delivery_data[[#This Row],[Order Status]] = "In Progress", "Backlog", "Complete")</f>
        <v>Backlog</v>
      </c>
      <c r="I950" t="s">
        <v>182</v>
      </c>
      <c r="J950" t="s">
        <v>1633</v>
      </c>
      <c r="K950" t="s">
        <v>61</v>
      </c>
      <c r="L950">
        <v>212</v>
      </c>
      <c r="M950">
        <v>23</v>
      </c>
      <c r="N950" t="s">
        <v>32</v>
      </c>
      <c r="O950" t="s">
        <v>41</v>
      </c>
      <c r="P950" t="s">
        <v>34</v>
      </c>
      <c r="Q950" t="s">
        <v>28</v>
      </c>
      <c r="R950" s="2">
        <v>0.45763888888888887</v>
      </c>
    </row>
    <row r="951" spans="1:18" x14ac:dyDescent="0.25">
      <c r="A951" t="s">
        <v>1889</v>
      </c>
      <c r="B951" t="s">
        <v>390</v>
      </c>
      <c r="C951" s="1">
        <v>45170</v>
      </c>
      <c r="D951" s="1" t="str">
        <f>TEXT(Delivery_data[[#This Row],[Order date]], "MMMM")</f>
        <v>September</v>
      </c>
      <c r="E951" s="1" t="str">
        <f>TEXT(Delivery_data[[#This Row],[Order date]], "DDDD")</f>
        <v>Friday</v>
      </c>
      <c r="F951" s="2">
        <v>0.52152777777777781</v>
      </c>
      <c r="G951" t="s">
        <v>48</v>
      </c>
      <c r="H951" t="str">
        <f>IF(Delivery_data[[#This Row],[Order Status]] = "In Progress", "Backlog", "Complete")</f>
        <v>Backlog</v>
      </c>
      <c r="I951" t="s">
        <v>182</v>
      </c>
      <c r="J951" t="s">
        <v>1633</v>
      </c>
      <c r="K951" t="s">
        <v>61</v>
      </c>
      <c r="L951">
        <v>218</v>
      </c>
      <c r="M951">
        <v>25</v>
      </c>
      <c r="N951" t="s">
        <v>32</v>
      </c>
      <c r="O951" t="s">
        <v>41</v>
      </c>
      <c r="P951" t="s">
        <v>45</v>
      </c>
      <c r="Q951" t="s">
        <v>46</v>
      </c>
      <c r="R951" s="2">
        <v>0.71875</v>
      </c>
    </row>
    <row r="952" spans="1:18" x14ac:dyDescent="0.25">
      <c r="A952" t="s">
        <v>1957</v>
      </c>
      <c r="B952" t="s">
        <v>461</v>
      </c>
      <c r="C952" s="1">
        <v>45170</v>
      </c>
      <c r="D952" s="1" t="str">
        <f>TEXT(Delivery_data[[#This Row],[Order date]], "MMMM")</f>
        <v>September</v>
      </c>
      <c r="E952" s="1" t="str">
        <f>TEXT(Delivery_data[[#This Row],[Order date]], "DDDD")</f>
        <v>Friday</v>
      </c>
      <c r="F952" s="2">
        <v>0.65416666666666667</v>
      </c>
      <c r="G952" t="s">
        <v>22</v>
      </c>
      <c r="H952" t="str">
        <f>IF(Delivery_data[[#This Row],[Order Status]] = "In Progress", "Backlog", "Complete")</f>
        <v>Complete</v>
      </c>
      <c r="I952" t="s">
        <v>182</v>
      </c>
      <c r="J952" t="s">
        <v>1631</v>
      </c>
      <c r="K952" t="s">
        <v>61</v>
      </c>
      <c r="L952">
        <v>201</v>
      </c>
      <c r="M952">
        <v>7</v>
      </c>
      <c r="N952" t="s">
        <v>32</v>
      </c>
      <c r="O952" t="s">
        <v>33</v>
      </c>
      <c r="P952" t="s">
        <v>34</v>
      </c>
      <c r="Q952" t="s">
        <v>46</v>
      </c>
      <c r="R952" s="2">
        <v>0.68333333333333335</v>
      </c>
    </row>
    <row r="953" spans="1:18" x14ac:dyDescent="0.25">
      <c r="A953" t="s">
        <v>1990</v>
      </c>
      <c r="B953" t="s">
        <v>495</v>
      </c>
      <c r="C953" s="1">
        <v>45172</v>
      </c>
      <c r="D953" s="1" t="str">
        <f>TEXT(Delivery_data[[#This Row],[Order date]], "MMMM")</f>
        <v>September</v>
      </c>
      <c r="E953" s="1" t="str">
        <f>TEXT(Delivery_data[[#This Row],[Order date]], "DDDD")</f>
        <v>Sunday</v>
      </c>
      <c r="F953" s="2">
        <v>0.47361111111111109</v>
      </c>
      <c r="G953" t="s">
        <v>22</v>
      </c>
      <c r="H953" t="str">
        <f>IF(Delivery_data[[#This Row],[Order Status]] = "In Progress", "Backlog", "Complete")</f>
        <v>Complete</v>
      </c>
      <c r="I953" t="s">
        <v>182</v>
      </c>
      <c r="J953" t="s">
        <v>1633</v>
      </c>
      <c r="K953" t="s">
        <v>31</v>
      </c>
      <c r="L953">
        <v>110</v>
      </c>
      <c r="M953">
        <v>15</v>
      </c>
      <c r="N953" t="s">
        <v>38</v>
      </c>
      <c r="O953" t="s">
        <v>54</v>
      </c>
      <c r="P953" t="s">
        <v>45</v>
      </c>
      <c r="Q953" t="s">
        <v>46</v>
      </c>
      <c r="R953" s="2">
        <v>0.60486111111111107</v>
      </c>
    </row>
    <row r="954" spans="1:18" x14ac:dyDescent="0.25">
      <c r="A954" t="s">
        <v>2003</v>
      </c>
      <c r="B954" t="s">
        <v>508</v>
      </c>
      <c r="C954" s="1">
        <v>45176</v>
      </c>
      <c r="D954" s="1" t="str">
        <f>TEXT(Delivery_data[[#This Row],[Order date]], "MMMM")</f>
        <v>September</v>
      </c>
      <c r="E954" s="1" t="str">
        <f>TEXT(Delivery_data[[#This Row],[Order date]], "DDDD")</f>
        <v>Thursday</v>
      </c>
      <c r="F954" s="2">
        <v>0.50069444444444444</v>
      </c>
      <c r="G954" t="s">
        <v>22</v>
      </c>
      <c r="H954" t="str">
        <f>IF(Delivery_data[[#This Row],[Order Status]] = "In Progress", "Backlog", "Complete")</f>
        <v>Complete</v>
      </c>
      <c r="I954" t="s">
        <v>182</v>
      </c>
      <c r="J954" t="s">
        <v>1637</v>
      </c>
      <c r="K954" t="s">
        <v>44</v>
      </c>
      <c r="L954">
        <v>172</v>
      </c>
      <c r="M954">
        <v>27</v>
      </c>
      <c r="N954" t="s">
        <v>38</v>
      </c>
      <c r="O954" t="s">
        <v>50</v>
      </c>
      <c r="P954" t="s">
        <v>45</v>
      </c>
      <c r="Q954" t="s">
        <v>51</v>
      </c>
      <c r="R954" s="2">
        <v>0.66388888888888886</v>
      </c>
    </row>
    <row r="955" spans="1:18" x14ac:dyDescent="0.25">
      <c r="A955" t="s">
        <v>2246</v>
      </c>
      <c r="B955" t="s">
        <v>746</v>
      </c>
      <c r="C955" s="1">
        <v>45175</v>
      </c>
      <c r="D955" s="1" t="str">
        <f>TEXT(Delivery_data[[#This Row],[Order date]], "MMMM")</f>
        <v>September</v>
      </c>
      <c r="E955" s="1" t="str">
        <f>TEXT(Delivery_data[[#This Row],[Order date]], "DDDD")</f>
        <v>Wednesday</v>
      </c>
      <c r="F955" s="2">
        <v>0.69791666666666663</v>
      </c>
      <c r="G955" t="s">
        <v>22</v>
      </c>
      <c r="H955" t="str">
        <f>IF(Delivery_data[[#This Row],[Order Status]] = "In Progress", "Backlog", "Complete")</f>
        <v>Complete</v>
      </c>
      <c r="I955" t="s">
        <v>182</v>
      </c>
      <c r="J955" t="s">
        <v>1633</v>
      </c>
      <c r="K955" t="s">
        <v>37</v>
      </c>
      <c r="L955">
        <v>106</v>
      </c>
      <c r="M955">
        <v>28</v>
      </c>
      <c r="N955" t="s">
        <v>38</v>
      </c>
      <c r="O955" t="s">
        <v>50</v>
      </c>
      <c r="P955" t="s">
        <v>45</v>
      </c>
      <c r="Q955" t="s">
        <v>51</v>
      </c>
      <c r="R955" s="2">
        <v>0.63402777777777775</v>
      </c>
    </row>
    <row r="956" spans="1:18" x14ac:dyDescent="0.25">
      <c r="A956" t="s">
        <v>2377</v>
      </c>
      <c r="B956" t="s">
        <v>874</v>
      </c>
      <c r="C956" s="1">
        <v>45175</v>
      </c>
      <c r="D956" s="1" t="str">
        <f>TEXT(Delivery_data[[#This Row],[Order date]], "MMMM")</f>
        <v>September</v>
      </c>
      <c r="E956" s="1" t="str">
        <f>TEXT(Delivery_data[[#This Row],[Order date]], "DDDD")</f>
        <v>Wednesday</v>
      </c>
      <c r="F956" s="2">
        <v>0.36319444444444443</v>
      </c>
      <c r="G956" t="s">
        <v>22</v>
      </c>
      <c r="H956" t="str">
        <f>IF(Delivery_data[[#This Row],[Order Status]] = "In Progress", "Backlog", "Complete")</f>
        <v>Complete</v>
      </c>
      <c r="I956" t="s">
        <v>182</v>
      </c>
      <c r="J956" t="s">
        <v>1631</v>
      </c>
      <c r="K956" t="s">
        <v>24</v>
      </c>
      <c r="L956">
        <v>222</v>
      </c>
      <c r="M956">
        <v>19</v>
      </c>
      <c r="N956" t="s">
        <v>38</v>
      </c>
      <c r="O956" t="s">
        <v>26</v>
      </c>
      <c r="P956" t="s">
        <v>27</v>
      </c>
      <c r="Q956" t="s">
        <v>46</v>
      </c>
      <c r="R956" s="2">
        <v>0.65555555555555556</v>
      </c>
    </row>
    <row r="957" spans="1:18" x14ac:dyDescent="0.25">
      <c r="A957" t="s">
        <v>2465</v>
      </c>
      <c r="B957" t="s">
        <v>957</v>
      </c>
      <c r="C957" s="1">
        <v>45170</v>
      </c>
      <c r="D957" s="1" t="str">
        <f>TEXT(Delivery_data[[#This Row],[Order date]], "MMMM")</f>
        <v>September</v>
      </c>
      <c r="E957" s="1" t="str">
        <f>TEXT(Delivery_data[[#This Row],[Order date]], "DDDD")</f>
        <v>Friday</v>
      </c>
      <c r="F957" s="2">
        <v>0.49444444444444446</v>
      </c>
      <c r="G957" t="s">
        <v>22</v>
      </c>
      <c r="H957" t="str">
        <f>IF(Delivery_data[[#This Row],[Order Status]] = "In Progress", "Backlog", "Complete")</f>
        <v>Complete</v>
      </c>
      <c r="I957" t="s">
        <v>182</v>
      </c>
      <c r="J957" t="s">
        <v>1633</v>
      </c>
      <c r="K957" t="s">
        <v>61</v>
      </c>
      <c r="L957">
        <v>219</v>
      </c>
      <c r="M957">
        <v>1</v>
      </c>
      <c r="N957" t="s">
        <v>38</v>
      </c>
      <c r="O957" t="s">
        <v>26</v>
      </c>
      <c r="P957" t="s">
        <v>34</v>
      </c>
      <c r="Q957" t="s">
        <v>46</v>
      </c>
      <c r="R957" s="2">
        <v>0.44722222222222224</v>
      </c>
    </row>
    <row r="958" spans="1:18" x14ac:dyDescent="0.25">
      <c r="A958" t="s">
        <v>2498</v>
      </c>
      <c r="B958" t="s">
        <v>987</v>
      </c>
      <c r="C958" s="1">
        <v>45176</v>
      </c>
      <c r="D958" s="1" t="str">
        <f>TEXT(Delivery_data[[#This Row],[Order date]], "MMMM")</f>
        <v>September</v>
      </c>
      <c r="E958" s="1" t="str">
        <f>TEXT(Delivery_data[[#This Row],[Order date]], "DDDD")</f>
        <v>Thursday</v>
      </c>
      <c r="F958" s="2">
        <v>0.65</v>
      </c>
      <c r="G958" t="s">
        <v>48</v>
      </c>
      <c r="H958" t="str">
        <f>IF(Delivery_data[[#This Row],[Order Status]] = "In Progress", "Backlog", "Complete")</f>
        <v>Backlog</v>
      </c>
      <c r="I958" t="s">
        <v>182</v>
      </c>
      <c r="J958" t="s">
        <v>1637</v>
      </c>
      <c r="K958" t="s">
        <v>37</v>
      </c>
      <c r="L958">
        <v>157</v>
      </c>
      <c r="M958">
        <v>6</v>
      </c>
      <c r="N958" t="s">
        <v>32</v>
      </c>
      <c r="O958" t="s">
        <v>54</v>
      </c>
      <c r="P958" t="s">
        <v>45</v>
      </c>
      <c r="Q958" t="s">
        <v>46</v>
      </c>
      <c r="R958" s="2">
        <v>0.39513888888888887</v>
      </c>
    </row>
    <row r="959" spans="1:18" x14ac:dyDescent="0.25">
      <c r="A959" t="s">
        <v>2617</v>
      </c>
      <c r="B959" t="s">
        <v>1101</v>
      </c>
      <c r="C959" s="1">
        <v>45177</v>
      </c>
      <c r="D959" s="1" t="str">
        <f>TEXT(Delivery_data[[#This Row],[Order date]], "MMMM")</f>
        <v>September</v>
      </c>
      <c r="E959" s="1" t="str">
        <f>TEXT(Delivery_data[[#This Row],[Order date]], "DDDD")</f>
        <v>Friday</v>
      </c>
      <c r="F959" s="2">
        <v>0.69027777777777777</v>
      </c>
      <c r="G959" t="s">
        <v>22</v>
      </c>
      <c r="H959" t="str">
        <f>IF(Delivery_data[[#This Row],[Order Status]] = "In Progress", "Backlog", "Complete")</f>
        <v>Complete</v>
      </c>
      <c r="I959" t="s">
        <v>182</v>
      </c>
      <c r="J959" t="s">
        <v>1637</v>
      </c>
      <c r="K959" t="s">
        <v>24</v>
      </c>
      <c r="L959">
        <v>214</v>
      </c>
      <c r="M959">
        <v>23</v>
      </c>
      <c r="N959" t="s">
        <v>25</v>
      </c>
      <c r="O959" t="s">
        <v>33</v>
      </c>
      <c r="P959" t="s">
        <v>34</v>
      </c>
      <c r="Q959" t="s">
        <v>28</v>
      </c>
      <c r="R959" s="2">
        <v>0.47361111111111109</v>
      </c>
    </row>
    <row r="960" spans="1:18" x14ac:dyDescent="0.25">
      <c r="A960" t="s">
        <v>2683</v>
      </c>
      <c r="B960" t="s">
        <v>1165</v>
      </c>
      <c r="C960" s="1">
        <v>45172</v>
      </c>
      <c r="D960" s="1" t="str">
        <f>TEXT(Delivery_data[[#This Row],[Order date]], "MMMM")</f>
        <v>September</v>
      </c>
      <c r="E960" s="1" t="str">
        <f>TEXT(Delivery_data[[#This Row],[Order date]], "DDDD")</f>
        <v>Sunday</v>
      </c>
      <c r="F960" s="2">
        <v>0.45416666666666666</v>
      </c>
      <c r="G960" t="s">
        <v>22</v>
      </c>
      <c r="H960" t="str">
        <f>IF(Delivery_data[[#This Row],[Order Status]] = "In Progress", "Backlog", "Complete")</f>
        <v>Complete</v>
      </c>
      <c r="I960" t="s">
        <v>182</v>
      </c>
      <c r="J960" t="s">
        <v>1637</v>
      </c>
      <c r="K960" t="s">
        <v>24</v>
      </c>
      <c r="L960">
        <v>147</v>
      </c>
      <c r="M960">
        <v>28</v>
      </c>
      <c r="N960" t="s">
        <v>38</v>
      </c>
      <c r="O960" t="s">
        <v>50</v>
      </c>
      <c r="P960" t="s">
        <v>45</v>
      </c>
      <c r="Q960" t="s">
        <v>46</v>
      </c>
      <c r="R960" s="2">
        <v>0.39097222222222222</v>
      </c>
    </row>
    <row r="961" spans="1:18" x14ac:dyDescent="0.25">
      <c r="A961" t="s">
        <v>2719</v>
      </c>
      <c r="B961" t="s">
        <v>1200</v>
      </c>
      <c r="C961" s="1">
        <v>45171</v>
      </c>
      <c r="D961" s="1" t="str">
        <f>TEXT(Delivery_data[[#This Row],[Order date]], "MMMM")</f>
        <v>September</v>
      </c>
      <c r="E961" s="1" t="str">
        <f>TEXT(Delivery_data[[#This Row],[Order date]], "DDDD")</f>
        <v>Saturday</v>
      </c>
      <c r="F961" s="2">
        <v>0.45555555555555555</v>
      </c>
      <c r="G961" t="s">
        <v>22</v>
      </c>
      <c r="H961" t="str">
        <f>IF(Delivery_data[[#This Row],[Order Status]] = "In Progress", "Backlog", "Complete")</f>
        <v>Complete</v>
      </c>
      <c r="I961" t="s">
        <v>182</v>
      </c>
      <c r="J961" t="s">
        <v>1633</v>
      </c>
      <c r="K961" t="s">
        <v>61</v>
      </c>
      <c r="L961">
        <v>238</v>
      </c>
      <c r="M961">
        <v>24</v>
      </c>
      <c r="N961" t="s">
        <v>32</v>
      </c>
      <c r="O961" t="s">
        <v>54</v>
      </c>
      <c r="P961" t="s">
        <v>34</v>
      </c>
      <c r="Q961" t="s">
        <v>28</v>
      </c>
      <c r="R961" s="2">
        <v>0.59722222222222221</v>
      </c>
    </row>
    <row r="962" spans="1:18" x14ac:dyDescent="0.25">
      <c r="A962" t="s">
        <v>2967</v>
      </c>
      <c r="B962" t="s">
        <v>1440</v>
      </c>
      <c r="C962" s="1">
        <v>45174</v>
      </c>
      <c r="D962" s="1" t="str">
        <f>TEXT(Delivery_data[[#This Row],[Order date]], "MMMM")</f>
        <v>September</v>
      </c>
      <c r="E962" s="1" t="str">
        <f>TEXT(Delivery_data[[#This Row],[Order date]], "DDDD")</f>
        <v>Tuesday</v>
      </c>
      <c r="F962" s="2">
        <v>0.64861111111111114</v>
      </c>
      <c r="G962" t="s">
        <v>22</v>
      </c>
      <c r="H962" t="str">
        <f>IF(Delivery_data[[#This Row],[Order Status]] = "In Progress", "Backlog", "Complete")</f>
        <v>Complete</v>
      </c>
      <c r="I962" t="s">
        <v>182</v>
      </c>
      <c r="J962" t="s">
        <v>1637</v>
      </c>
      <c r="K962" t="s">
        <v>44</v>
      </c>
      <c r="L962">
        <v>74</v>
      </c>
      <c r="M962">
        <v>6</v>
      </c>
      <c r="N962" t="s">
        <v>25</v>
      </c>
      <c r="O962" t="s">
        <v>33</v>
      </c>
      <c r="P962" t="s">
        <v>27</v>
      </c>
      <c r="Q962" t="s">
        <v>51</v>
      </c>
      <c r="R962" s="2">
        <v>0.73541666666666672</v>
      </c>
    </row>
    <row r="963" spans="1:18" x14ac:dyDescent="0.25">
      <c r="A963" t="s">
        <v>2991</v>
      </c>
      <c r="B963" t="s">
        <v>1464</v>
      </c>
      <c r="C963" s="1">
        <v>45176</v>
      </c>
      <c r="D963" s="1" t="str">
        <f>TEXT(Delivery_data[[#This Row],[Order date]], "MMMM")</f>
        <v>September</v>
      </c>
      <c r="E963" s="1" t="str">
        <f>TEXT(Delivery_data[[#This Row],[Order date]], "DDDD")</f>
        <v>Thursday</v>
      </c>
      <c r="F963" s="2">
        <v>0.6645833333333333</v>
      </c>
      <c r="G963" t="s">
        <v>22</v>
      </c>
      <c r="H963" t="str">
        <f>IF(Delivery_data[[#This Row],[Order Status]] = "In Progress", "Backlog", "Complete")</f>
        <v>Complete</v>
      </c>
      <c r="I963" t="s">
        <v>182</v>
      </c>
      <c r="J963" t="s">
        <v>1637</v>
      </c>
      <c r="K963" t="s">
        <v>37</v>
      </c>
      <c r="L963">
        <v>103</v>
      </c>
      <c r="M963">
        <v>15</v>
      </c>
      <c r="N963" t="s">
        <v>32</v>
      </c>
      <c r="O963" t="s">
        <v>33</v>
      </c>
      <c r="P963" t="s">
        <v>45</v>
      </c>
      <c r="Q963" t="s">
        <v>51</v>
      </c>
      <c r="R963" s="2">
        <v>0.46875</v>
      </c>
    </row>
    <row r="964" spans="1:18" x14ac:dyDescent="0.25">
      <c r="A964" t="s">
        <v>3000</v>
      </c>
      <c r="B964" t="s">
        <v>1471</v>
      </c>
      <c r="C964" s="1">
        <v>45170</v>
      </c>
      <c r="D964" s="1" t="str">
        <f>TEXT(Delivery_data[[#This Row],[Order date]], "MMMM")</f>
        <v>September</v>
      </c>
      <c r="E964" s="1" t="str">
        <f>TEXT(Delivery_data[[#This Row],[Order date]], "DDDD")</f>
        <v>Friday</v>
      </c>
      <c r="F964" s="2">
        <v>0.44722222222222224</v>
      </c>
      <c r="G964" t="s">
        <v>48</v>
      </c>
      <c r="H964" t="str">
        <f>IF(Delivery_data[[#This Row],[Order Status]] = "In Progress", "Backlog", "Complete")</f>
        <v>Backlog</v>
      </c>
      <c r="I964" t="s">
        <v>182</v>
      </c>
      <c r="J964" t="s">
        <v>1637</v>
      </c>
      <c r="K964" t="s">
        <v>37</v>
      </c>
      <c r="L964">
        <v>225</v>
      </c>
      <c r="M964">
        <v>19</v>
      </c>
      <c r="N964" t="s">
        <v>38</v>
      </c>
      <c r="O964" t="s">
        <v>33</v>
      </c>
      <c r="P964" t="s">
        <v>34</v>
      </c>
      <c r="Q964" t="s">
        <v>28</v>
      </c>
      <c r="R964" s="2">
        <v>0.62152777777777779</v>
      </c>
    </row>
    <row r="965" spans="1:18" x14ac:dyDescent="0.25">
      <c r="A965" t="s">
        <v>1727</v>
      </c>
      <c r="B965" t="s">
        <v>201</v>
      </c>
      <c r="C965" s="1">
        <v>45173</v>
      </c>
      <c r="D965" s="1" t="str">
        <f>TEXT(Delivery_data[[#This Row],[Order date]], "MMMM")</f>
        <v>September</v>
      </c>
      <c r="E965" s="1" t="str">
        <f>TEXT(Delivery_data[[#This Row],[Order date]], "DDDD")</f>
        <v>Monday</v>
      </c>
      <c r="F965" s="2">
        <v>0.39791666666666664</v>
      </c>
      <c r="G965" t="s">
        <v>48</v>
      </c>
      <c r="H965" t="str">
        <f>IF(Delivery_data[[#This Row],[Order Status]] = "In Progress", "Backlog", "Complete")</f>
        <v>Backlog</v>
      </c>
      <c r="I965" t="s">
        <v>202</v>
      </c>
      <c r="J965" t="s">
        <v>1633</v>
      </c>
      <c r="K965" t="s">
        <v>24</v>
      </c>
      <c r="L965">
        <v>157</v>
      </c>
      <c r="M965">
        <v>1</v>
      </c>
      <c r="N965" t="s">
        <v>25</v>
      </c>
      <c r="O965" t="s">
        <v>33</v>
      </c>
      <c r="P965" t="s">
        <v>45</v>
      </c>
      <c r="Q965" t="s">
        <v>46</v>
      </c>
      <c r="R965" s="2">
        <v>0.4777777777777778</v>
      </c>
    </row>
    <row r="966" spans="1:18" x14ac:dyDescent="0.25">
      <c r="A966" t="s">
        <v>1771</v>
      </c>
      <c r="B966" t="s">
        <v>257</v>
      </c>
      <c r="C966" s="1">
        <v>45177</v>
      </c>
      <c r="D966" s="1" t="str">
        <f>TEXT(Delivery_data[[#This Row],[Order date]], "MMMM")</f>
        <v>September</v>
      </c>
      <c r="E966" s="1" t="str">
        <f>TEXT(Delivery_data[[#This Row],[Order date]], "DDDD")</f>
        <v>Friday</v>
      </c>
      <c r="F966" s="2">
        <v>0.45624999999999999</v>
      </c>
      <c r="G966" t="s">
        <v>22</v>
      </c>
      <c r="H966" t="str">
        <f>IF(Delivery_data[[#This Row],[Order Status]] = "In Progress", "Backlog", "Complete")</f>
        <v>Complete</v>
      </c>
      <c r="I966" t="s">
        <v>202</v>
      </c>
      <c r="J966" t="s">
        <v>1633</v>
      </c>
      <c r="K966" t="s">
        <v>24</v>
      </c>
      <c r="L966">
        <v>97</v>
      </c>
      <c r="M966">
        <v>13</v>
      </c>
      <c r="N966" t="s">
        <v>25</v>
      </c>
      <c r="O966" t="s">
        <v>41</v>
      </c>
      <c r="P966" t="s">
        <v>45</v>
      </c>
      <c r="Q966" t="s">
        <v>46</v>
      </c>
      <c r="R966" s="2">
        <v>0.66111111111111109</v>
      </c>
    </row>
    <row r="967" spans="1:18" x14ac:dyDescent="0.25">
      <c r="A967" t="s">
        <v>1775</v>
      </c>
      <c r="B967" t="s">
        <v>261</v>
      </c>
      <c r="C967" s="1">
        <v>45177</v>
      </c>
      <c r="D967" s="1" t="str">
        <f>TEXT(Delivery_data[[#This Row],[Order date]], "MMMM")</f>
        <v>September</v>
      </c>
      <c r="E967" s="1" t="str">
        <f>TEXT(Delivery_data[[#This Row],[Order date]], "DDDD")</f>
        <v>Friday</v>
      </c>
      <c r="F967" s="2">
        <v>0.48749999999999999</v>
      </c>
      <c r="G967" t="s">
        <v>22</v>
      </c>
      <c r="H967" t="str">
        <f>IF(Delivery_data[[#This Row],[Order Status]] = "In Progress", "Backlog", "Complete")</f>
        <v>Complete</v>
      </c>
      <c r="I967" t="s">
        <v>202</v>
      </c>
      <c r="J967" t="s">
        <v>1633</v>
      </c>
      <c r="K967" t="s">
        <v>37</v>
      </c>
      <c r="L967">
        <v>223</v>
      </c>
      <c r="M967">
        <v>12</v>
      </c>
      <c r="N967" t="s">
        <v>38</v>
      </c>
      <c r="O967" t="s">
        <v>50</v>
      </c>
      <c r="P967" t="s">
        <v>45</v>
      </c>
      <c r="Q967" t="s">
        <v>51</v>
      </c>
      <c r="R967" s="2">
        <v>0.49583333333333335</v>
      </c>
    </row>
    <row r="968" spans="1:18" x14ac:dyDescent="0.25">
      <c r="A968" t="s">
        <v>2120</v>
      </c>
      <c r="B968" t="s">
        <v>624</v>
      </c>
      <c r="C968" s="1">
        <v>45173</v>
      </c>
      <c r="D968" s="1" t="str">
        <f>TEXT(Delivery_data[[#This Row],[Order date]], "MMMM")</f>
        <v>September</v>
      </c>
      <c r="E968" s="1" t="str">
        <f>TEXT(Delivery_data[[#This Row],[Order date]], "DDDD")</f>
        <v>Monday</v>
      </c>
      <c r="F968" s="2">
        <v>0.39583333333333331</v>
      </c>
      <c r="G968" t="s">
        <v>48</v>
      </c>
      <c r="H968" t="str">
        <f>IF(Delivery_data[[#This Row],[Order Status]] = "In Progress", "Backlog", "Complete")</f>
        <v>Backlog</v>
      </c>
      <c r="I968" t="s">
        <v>202</v>
      </c>
      <c r="J968" t="s">
        <v>1633</v>
      </c>
      <c r="K968" t="s">
        <v>24</v>
      </c>
      <c r="L968">
        <v>193</v>
      </c>
      <c r="M968">
        <v>28</v>
      </c>
      <c r="N968" t="s">
        <v>32</v>
      </c>
      <c r="O968" t="s">
        <v>54</v>
      </c>
      <c r="P968" t="s">
        <v>45</v>
      </c>
      <c r="Q968" t="s">
        <v>28</v>
      </c>
      <c r="R968" s="2">
        <v>0.59236111111111112</v>
      </c>
    </row>
    <row r="969" spans="1:18" x14ac:dyDescent="0.25">
      <c r="A969" t="s">
        <v>2172</v>
      </c>
      <c r="B969" t="s">
        <v>673</v>
      </c>
      <c r="C969" s="1">
        <v>45176</v>
      </c>
      <c r="D969" s="1" t="str">
        <f>TEXT(Delivery_data[[#This Row],[Order date]], "MMMM")</f>
        <v>September</v>
      </c>
      <c r="E969" s="1" t="str">
        <f>TEXT(Delivery_data[[#This Row],[Order date]], "DDDD")</f>
        <v>Thursday</v>
      </c>
      <c r="F969" s="2">
        <v>0.375</v>
      </c>
      <c r="G969" t="s">
        <v>48</v>
      </c>
      <c r="H969" t="str">
        <f>IF(Delivery_data[[#This Row],[Order Status]] = "In Progress", "Backlog", "Complete")</f>
        <v>Backlog</v>
      </c>
      <c r="I969" t="s">
        <v>202</v>
      </c>
      <c r="J969" t="s">
        <v>1631</v>
      </c>
      <c r="K969" t="s">
        <v>61</v>
      </c>
      <c r="L969">
        <v>231</v>
      </c>
      <c r="M969">
        <v>16</v>
      </c>
      <c r="N969" t="s">
        <v>32</v>
      </c>
      <c r="O969" t="s">
        <v>26</v>
      </c>
      <c r="P969" t="s">
        <v>45</v>
      </c>
      <c r="Q969" t="s">
        <v>46</v>
      </c>
      <c r="R969" s="2">
        <v>0.46319444444444446</v>
      </c>
    </row>
    <row r="970" spans="1:18" x14ac:dyDescent="0.25">
      <c r="A970" t="s">
        <v>2305</v>
      </c>
      <c r="B970" t="s">
        <v>803</v>
      </c>
      <c r="C970" s="1">
        <v>45174</v>
      </c>
      <c r="D970" s="1" t="str">
        <f>TEXT(Delivery_data[[#This Row],[Order date]], "MMMM")</f>
        <v>September</v>
      </c>
      <c r="E970" s="1" t="str">
        <f>TEXT(Delivery_data[[#This Row],[Order date]], "DDDD")</f>
        <v>Tuesday</v>
      </c>
      <c r="F970" s="2">
        <v>0.3527777777777778</v>
      </c>
      <c r="G970" t="s">
        <v>48</v>
      </c>
      <c r="H970" t="str">
        <f>IF(Delivery_data[[#This Row],[Order Status]] = "In Progress", "Backlog", "Complete")</f>
        <v>Backlog</v>
      </c>
      <c r="I970" t="s">
        <v>202</v>
      </c>
      <c r="J970" t="s">
        <v>1633</v>
      </c>
      <c r="K970" t="s">
        <v>61</v>
      </c>
      <c r="L970">
        <v>115</v>
      </c>
      <c r="M970">
        <v>6</v>
      </c>
      <c r="N970" t="s">
        <v>32</v>
      </c>
      <c r="O970" t="s">
        <v>33</v>
      </c>
      <c r="P970" t="s">
        <v>34</v>
      </c>
      <c r="Q970" t="s">
        <v>46</v>
      </c>
      <c r="R970" s="2">
        <v>0.67152777777777772</v>
      </c>
    </row>
    <row r="971" spans="1:18" x14ac:dyDescent="0.25">
      <c r="A971" t="s">
        <v>2358</v>
      </c>
      <c r="B971" t="s">
        <v>855</v>
      </c>
      <c r="C971" s="1">
        <v>45175</v>
      </c>
      <c r="D971" s="1" t="str">
        <f>TEXT(Delivery_data[[#This Row],[Order date]], "MMMM")</f>
        <v>September</v>
      </c>
      <c r="E971" s="1" t="str">
        <f>TEXT(Delivery_data[[#This Row],[Order date]], "DDDD")</f>
        <v>Wednesday</v>
      </c>
      <c r="F971" s="2">
        <v>0.34583333333333333</v>
      </c>
      <c r="G971" t="s">
        <v>22</v>
      </c>
      <c r="H971" t="str">
        <f>IF(Delivery_data[[#This Row],[Order Status]] = "In Progress", "Backlog", "Complete")</f>
        <v>Complete</v>
      </c>
      <c r="I971" t="s">
        <v>202</v>
      </c>
      <c r="J971" t="s">
        <v>1637</v>
      </c>
      <c r="K971" t="s">
        <v>61</v>
      </c>
      <c r="L971">
        <v>153</v>
      </c>
      <c r="M971">
        <v>26</v>
      </c>
      <c r="N971" t="s">
        <v>38</v>
      </c>
      <c r="O971" t="s">
        <v>33</v>
      </c>
      <c r="P971" t="s">
        <v>27</v>
      </c>
      <c r="Q971" t="s">
        <v>28</v>
      </c>
      <c r="R971" s="2">
        <v>0.53402777777777777</v>
      </c>
    </row>
    <row r="972" spans="1:18" x14ac:dyDescent="0.25">
      <c r="A972" t="s">
        <v>2375</v>
      </c>
      <c r="B972" t="s">
        <v>872</v>
      </c>
      <c r="C972" s="1">
        <v>45171</v>
      </c>
      <c r="D972" s="1" t="str">
        <f>TEXT(Delivery_data[[#This Row],[Order date]], "MMMM")</f>
        <v>September</v>
      </c>
      <c r="E972" s="1" t="str">
        <f>TEXT(Delivery_data[[#This Row],[Order date]], "DDDD")</f>
        <v>Saturday</v>
      </c>
      <c r="F972" s="2">
        <v>0.39027777777777778</v>
      </c>
      <c r="G972" t="s">
        <v>48</v>
      </c>
      <c r="H972" t="str">
        <f>IF(Delivery_data[[#This Row],[Order Status]] = "In Progress", "Backlog", "Complete")</f>
        <v>Backlog</v>
      </c>
      <c r="I972" t="s">
        <v>202</v>
      </c>
      <c r="J972" t="s">
        <v>1637</v>
      </c>
      <c r="K972" t="s">
        <v>61</v>
      </c>
      <c r="L972">
        <v>194</v>
      </c>
      <c r="M972">
        <v>14</v>
      </c>
      <c r="N972" t="s">
        <v>32</v>
      </c>
      <c r="O972" t="s">
        <v>26</v>
      </c>
      <c r="P972" t="s">
        <v>45</v>
      </c>
      <c r="Q972" t="s">
        <v>51</v>
      </c>
      <c r="R972" s="2">
        <v>0.46319444444444446</v>
      </c>
    </row>
    <row r="973" spans="1:18" x14ac:dyDescent="0.25">
      <c r="A973" t="s">
        <v>2567</v>
      </c>
      <c r="B973" t="s">
        <v>1052</v>
      </c>
      <c r="C973" s="1">
        <v>45173</v>
      </c>
      <c r="D973" s="1" t="str">
        <f>TEXT(Delivery_data[[#This Row],[Order date]], "MMMM")</f>
        <v>September</v>
      </c>
      <c r="E973" s="1" t="str">
        <f>TEXT(Delivery_data[[#This Row],[Order date]], "DDDD")</f>
        <v>Monday</v>
      </c>
      <c r="F973" s="2">
        <v>0.42291666666666666</v>
      </c>
      <c r="G973" t="s">
        <v>22</v>
      </c>
      <c r="H973" t="str">
        <f>IF(Delivery_data[[#This Row],[Order Status]] = "In Progress", "Backlog", "Complete")</f>
        <v>Complete</v>
      </c>
      <c r="I973" t="s">
        <v>202</v>
      </c>
      <c r="J973" t="s">
        <v>1631</v>
      </c>
      <c r="K973" t="s">
        <v>61</v>
      </c>
      <c r="L973">
        <v>188</v>
      </c>
      <c r="M973">
        <v>15</v>
      </c>
      <c r="N973" t="s">
        <v>25</v>
      </c>
      <c r="O973" t="s">
        <v>26</v>
      </c>
      <c r="P973" t="s">
        <v>34</v>
      </c>
      <c r="Q973" t="s">
        <v>28</v>
      </c>
      <c r="R973" s="2">
        <v>0.56736111111111109</v>
      </c>
    </row>
    <row r="974" spans="1:18" x14ac:dyDescent="0.25">
      <c r="A974" t="s">
        <v>2637</v>
      </c>
      <c r="B974" t="s">
        <v>1120</v>
      </c>
      <c r="C974" s="1">
        <v>45171</v>
      </c>
      <c r="D974" s="1" t="str">
        <f>TEXT(Delivery_data[[#This Row],[Order date]], "MMMM")</f>
        <v>September</v>
      </c>
      <c r="E974" s="1" t="str">
        <f>TEXT(Delivery_data[[#This Row],[Order date]], "DDDD")</f>
        <v>Saturday</v>
      </c>
      <c r="F974" s="2">
        <v>0.53888888888888886</v>
      </c>
      <c r="G974" t="s">
        <v>48</v>
      </c>
      <c r="H974" t="str">
        <f>IF(Delivery_data[[#This Row],[Order Status]] = "In Progress", "Backlog", "Complete")</f>
        <v>Backlog</v>
      </c>
      <c r="I974" t="s">
        <v>202</v>
      </c>
      <c r="J974" t="s">
        <v>1637</v>
      </c>
      <c r="K974" t="s">
        <v>37</v>
      </c>
      <c r="L974">
        <v>141</v>
      </c>
      <c r="M974">
        <v>9</v>
      </c>
      <c r="N974" t="s">
        <v>38</v>
      </c>
      <c r="O974" t="s">
        <v>41</v>
      </c>
      <c r="P974" t="s">
        <v>45</v>
      </c>
      <c r="Q974" t="s">
        <v>28</v>
      </c>
      <c r="R974" s="2">
        <v>0.59722222222222221</v>
      </c>
    </row>
    <row r="975" spans="1:18" x14ac:dyDescent="0.25">
      <c r="A975" t="s">
        <v>2638</v>
      </c>
      <c r="B975" t="s">
        <v>1121</v>
      </c>
      <c r="C975" s="1">
        <v>45173</v>
      </c>
      <c r="D975" s="1" t="str">
        <f>TEXT(Delivery_data[[#This Row],[Order date]], "MMMM")</f>
        <v>September</v>
      </c>
      <c r="E975" s="1" t="str">
        <f>TEXT(Delivery_data[[#This Row],[Order date]], "DDDD")</f>
        <v>Monday</v>
      </c>
      <c r="F975" s="2">
        <v>0.61944444444444446</v>
      </c>
      <c r="G975" t="s">
        <v>48</v>
      </c>
      <c r="H975" t="str">
        <f>IF(Delivery_data[[#This Row],[Order Status]] = "In Progress", "Backlog", "Complete")</f>
        <v>Backlog</v>
      </c>
      <c r="I975" t="s">
        <v>202</v>
      </c>
      <c r="J975" t="s">
        <v>1633</v>
      </c>
      <c r="K975" t="s">
        <v>44</v>
      </c>
      <c r="L975">
        <v>230</v>
      </c>
      <c r="M975">
        <v>23</v>
      </c>
      <c r="N975" t="s">
        <v>38</v>
      </c>
      <c r="O975" t="s">
        <v>54</v>
      </c>
      <c r="P975" t="s">
        <v>27</v>
      </c>
      <c r="Q975" t="s">
        <v>28</v>
      </c>
      <c r="R975" s="2">
        <v>0.58958333333333335</v>
      </c>
    </row>
    <row r="976" spans="1:18" x14ac:dyDescent="0.25">
      <c r="A976" t="s">
        <v>2689</v>
      </c>
      <c r="B976" t="s">
        <v>1170</v>
      </c>
      <c r="C976" s="1">
        <v>45170</v>
      </c>
      <c r="D976" s="1" t="str">
        <f>TEXT(Delivery_data[[#This Row],[Order date]], "MMMM")</f>
        <v>September</v>
      </c>
      <c r="E976" s="1" t="str">
        <f>TEXT(Delivery_data[[#This Row],[Order date]], "DDDD")</f>
        <v>Friday</v>
      </c>
      <c r="F976" s="2">
        <v>0.36944444444444446</v>
      </c>
      <c r="G976" t="s">
        <v>48</v>
      </c>
      <c r="H976" t="str">
        <f>IF(Delivery_data[[#This Row],[Order Status]] = "In Progress", "Backlog", "Complete")</f>
        <v>Backlog</v>
      </c>
      <c r="I976" t="s">
        <v>202</v>
      </c>
      <c r="J976" t="s">
        <v>1633</v>
      </c>
      <c r="K976" t="s">
        <v>37</v>
      </c>
      <c r="L976">
        <v>118</v>
      </c>
      <c r="M976">
        <v>2</v>
      </c>
      <c r="N976" t="s">
        <v>32</v>
      </c>
      <c r="O976" t="s">
        <v>54</v>
      </c>
      <c r="P976" t="s">
        <v>45</v>
      </c>
      <c r="Q976" t="s">
        <v>46</v>
      </c>
      <c r="R976" s="2">
        <v>0.7319444444444444</v>
      </c>
    </row>
    <row r="977" spans="1:18" x14ac:dyDescent="0.25">
      <c r="A977" t="s">
        <v>2744</v>
      </c>
      <c r="B977" t="s">
        <v>1224</v>
      </c>
      <c r="C977" s="1">
        <v>45170</v>
      </c>
      <c r="D977" s="1" t="str">
        <f>TEXT(Delivery_data[[#This Row],[Order date]], "MMMM")</f>
        <v>September</v>
      </c>
      <c r="E977" s="1" t="str">
        <f>TEXT(Delivery_data[[#This Row],[Order date]], "DDDD")</f>
        <v>Friday</v>
      </c>
      <c r="F977" s="2">
        <v>0.49791666666666667</v>
      </c>
      <c r="G977" t="s">
        <v>48</v>
      </c>
      <c r="H977" t="str">
        <f>IF(Delivery_data[[#This Row],[Order Status]] = "In Progress", "Backlog", "Complete")</f>
        <v>Backlog</v>
      </c>
      <c r="I977" t="s">
        <v>202</v>
      </c>
      <c r="J977" t="s">
        <v>1631</v>
      </c>
      <c r="K977" t="s">
        <v>31</v>
      </c>
      <c r="L977">
        <v>64</v>
      </c>
      <c r="M977">
        <v>10</v>
      </c>
      <c r="N977" t="s">
        <v>25</v>
      </c>
      <c r="O977" t="s">
        <v>54</v>
      </c>
      <c r="P977" t="s">
        <v>34</v>
      </c>
      <c r="Q977" t="s">
        <v>28</v>
      </c>
      <c r="R977" s="2">
        <v>0.59513888888888888</v>
      </c>
    </row>
    <row r="978" spans="1:18" x14ac:dyDescent="0.25">
      <c r="A978" t="s">
        <v>2836</v>
      </c>
      <c r="B978" t="s">
        <v>1312</v>
      </c>
      <c r="C978" s="1">
        <v>45174</v>
      </c>
      <c r="D978" s="1" t="str">
        <f>TEXT(Delivery_data[[#This Row],[Order date]], "MMMM")</f>
        <v>September</v>
      </c>
      <c r="E978" s="1" t="str">
        <f>TEXT(Delivery_data[[#This Row],[Order date]], "DDDD")</f>
        <v>Tuesday</v>
      </c>
      <c r="F978" s="2">
        <v>0.39097222222222222</v>
      </c>
      <c r="G978" t="s">
        <v>48</v>
      </c>
      <c r="H978" t="str">
        <f>IF(Delivery_data[[#This Row],[Order Status]] = "In Progress", "Backlog", "Complete")</f>
        <v>Backlog</v>
      </c>
      <c r="I978" t="s">
        <v>202</v>
      </c>
      <c r="J978" t="s">
        <v>1637</v>
      </c>
      <c r="K978" t="s">
        <v>24</v>
      </c>
      <c r="L978">
        <v>165</v>
      </c>
      <c r="M978">
        <v>2</v>
      </c>
      <c r="N978" t="s">
        <v>25</v>
      </c>
      <c r="O978" t="s">
        <v>41</v>
      </c>
      <c r="P978" t="s">
        <v>27</v>
      </c>
      <c r="Q978" t="s">
        <v>46</v>
      </c>
      <c r="R978" s="2">
        <v>0.69305555555555554</v>
      </c>
    </row>
    <row r="979" spans="1:18" x14ac:dyDescent="0.25">
      <c r="A979" t="s">
        <v>2920</v>
      </c>
      <c r="B979" t="s">
        <v>1393</v>
      </c>
      <c r="C979" s="1">
        <v>45177</v>
      </c>
      <c r="D979" s="1" t="str">
        <f>TEXT(Delivery_data[[#This Row],[Order date]], "MMMM")</f>
        <v>September</v>
      </c>
      <c r="E979" s="1" t="str">
        <f>TEXT(Delivery_data[[#This Row],[Order date]], "DDDD")</f>
        <v>Friday</v>
      </c>
      <c r="F979" s="2">
        <v>0.43055555555555558</v>
      </c>
      <c r="G979" t="s">
        <v>48</v>
      </c>
      <c r="H979" t="str">
        <f>IF(Delivery_data[[#This Row],[Order Status]] = "In Progress", "Backlog", "Complete")</f>
        <v>Backlog</v>
      </c>
      <c r="I979" t="s">
        <v>202</v>
      </c>
      <c r="J979" t="s">
        <v>1637</v>
      </c>
      <c r="K979" t="s">
        <v>61</v>
      </c>
      <c r="L979">
        <v>230</v>
      </c>
      <c r="M979">
        <v>5</v>
      </c>
      <c r="N979" t="s">
        <v>32</v>
      </c>
      <c r="O979" t="s">
        <v>54</v>
      </c>
      <c r="P979" t="s">
        <v>45</v>
      </c>
      <c r="Q979" t="s">
        <v>51</v>
      </c>
      <c r="R979" s="2">
        <v>0.62916666666666665</v>
      </c>
    </row>
    <row r="980" spans="1:18" x14ac:dyDescent="0.25">
      <c r="A980" t="s">
        <v>2973</v>
      </c>
      <c r="B980" t="s">
        <v>1446</v>
      </c>
      <c r="C980" s="1">
        <v>45173</v>
      </c>
      <c r="D980" s="1" t="str">
        <f>TEXT(Delivery_data[[#This Row],[Order date]], "MMMM")</f>
        <v>September</v>
      </c>
      <c r="E980" s="1" t="str">
        <f>TEXT(Delivery_data[[#This Row],[Order date]], "DDDD")</f>
        <v>Monday</v>
      </c>
      <c r="F980" s="2">
        <v>0.33819444444444446</v>
      </c>
      <c r="G980" t="s">
        <v>48</v>
      </c>
      <c r="H980" t="str">
        <f>IF(Delivery_data[[#This Row],[Order Status]] = "In Progress", "Backlog", "Complete")</f>
        <v>Backlog</v>
      </c>
      <c r="I980" t="s">
        <v>202</v>
      </c>
      <c r="J980" t="s">
        <v>1631</v>
      </c>
      <c r="K980" t="s">
        <v>61</v>
      </c>
      <c r="L980">
        <v>150</v>
      </c>
      <c r="M980">
        <v>9</v>
      </c>
      <c r="N980" t="s">
        <v>25</v>
      </c>
      <c r="O980" t="s">
        <v>41</v>
      </c>
      <c r="P980" t="s">
        <v>27</v>
      </c>
      <c r="Q980" t="s">
        <v>51</v>
      </c>
      <c r="R980" s="2">
        <v>0.5541666666666667</v>
      </c>
    </row>
    <row r="981" spans="1:18" x14ac:dyDescent="0.25">
      <c r="A981" t="s">
        <v>3001</v>
      </c>
      <c r="B981" t="s">
        <v>1472</v>
      </c>
      <c r="C981" s="1">
        <v>45173</v>
      </c>
      <c r="D981" s="1" t="str">
        <f>TEXT(Delivery_data[[#This Row],[Order date]], "MMMM")</f>
        <v>September</v>
      </c>
      <c r="E981" s="1" t="str">
        <f>TEXT(Delivery_data[[#This Row],[Order date]], "DDDD")</f>
        <v>Monday</v>
      </c>
      <c r="F981" s="2">
        <v>0.3659722222222222</v>
      </c>
      <c r="G981" t="s">
        <v>48</v>
      </c>
      <c r="H981" t="str">
        <f>IF(Delivery_data[[#This Row],[Order Status]] = "In Progress", "Backlog", "Complete")</f>
        <v>Backlog</v>
      </c>
      <c r="I981" t="s">
        <v>202</v>
      </c>
      <c r="J981" t="s">
        <v>1631</v>
      </c>
      <c r="K981" t="s">
        <v>31</v>
      </c>
      <c r="L981">
        <v>207</v>
      </c>
      <c r="M981">
        <v>2</v>
      </c>
      <c r="N981" t="s">
        <v>32</v>
      </c>
      <c r="O981" t="s">
        <v>50</v>
      </c>
      <c r="P981" t="s">
        <v>34</v>
      </c>
      <c r="Q981" t="s">
        <v>51</v>
      </c>
      <c r="R981" s="2">
        <v>0.73402777777777772</v>
      </c>
    </row>
    <row r="982" spans="1:18" x14ac:dyDescent="0.25">
      <c r="A982" t="s">
        <v>3042</v>
      </c>
      <c r="B982" t="s">
        <v>1512</v>
      </c>
      <c r="C982" s="1">
        <v>45171</v>
      </c>
      <c r="D982" s="1" t="str">
        <f>TEXT(Delivery_data[[#This Row],[Order date]], "MMMM")</f>
        <v>September</v>
      </c>
      <c r="E982" s="1" t="str">
        <f>TEXT(Delivery_data[[#This Row],[Order date]], "DDDD")</f>
        <v>Saturday</v>
      </c>
      <c r="F982" s="2">
        <v>0.5493055555555556</v>
      </c>
      <c r="G982" t="s">
        <v>48</v>
      </c>
      <c r="H982" t="str">
        <f>IF(Delivery_data[[#This Row],[Order Status]] = "In Progress", "Backlog", "Complete")</f>
        <v>Backlog</v>
      </c>
      <c r="I982" t="s">
        <v>202</v>
      </c>
      <c r="J982" t="s">
        <v>1631</v>
      </c>
      <c r="K982" t="s">
        <v>37</v>
      </c>
      <c r="L982">
        <v>156</v>
      </c>
      <c r="M982">
        <v>16</v>
      </c>
      <c r="N982" t="s">
        <v>25</v>
      </c>
      <c r="O982" t="s">
        <v>50</v>
      </c>
      <c r="P982" t="s">
        <v>45</v>
      </c>
      <c r="Q982" t="s">
        <v>28</v>
      </c>
      <c r="R982" s="2">
        <v>0.36458333333333331</v>
      </c>
    </row>
    <row r="983" spans="1:18" x14ac:dyDescent="0.25">
      <c r="A983" t="s">
        <v>3073</v>
      </c>
      <c r="B983" t="s">
        <v>1541</v>
      </c>
      <c r="C983" s="1">
        <v>45177</v>
      </c>
      <c r="D983" s="1" t="str">
        <f>TEXT(Delivery_data[[#This Row],[Order date]], "MMMM")</f>
        <v>September</v>
      </c>
      <c r="E983" s="1" t="str">
        <f>TEXT(Delivery_data[[#This Row],[Order date]], "DDDD")</f>
        <v>Friday</v>
      </c>
      <c r="F983" s="2">
        <v>0.39444444444444443</v>
      </c>
      <c r="G983" t="s">
        <v>22</v>
      </c>
      <c r="H983" t="str">
        <f>IF(Delivery_data[[#This Row],[Order Status]] = "In Progress", "Backlog", "Complete")</f>
        <v>Complete</v>
      </c>
      <c r="I983" t="s">
        <v>202</v>
      </c>
      <c r="J983" t="s">
        <v>1637</v>
      </c>
      <c r="K983" t="s">
        <v>44</v>
      </c>
      <c r="L983">
        <v>90</v>
      </c>
      <c r="M983">
        <v>10</v>
      </c>
      <c r="N983" t="s">
        <v>32</v>
      </c>
      <c r="O983" t="s">
        <v>54</v>
      </c>
      <c r="P983" t="s">
        <v>34</v>
      </c>
      <c r="Q983" t="s">
        <v>28</v>
      </c>
      <c r="R983" s="2">
        <v>0.7319444444444444</v>
      </c>
    </row>
    <row r="984" spans="1:18" x14ac:dyDescent="0.25">
      <c r="A984" t="s">
        <v>3131</v>
      </c>
      <c r="B984" t="s">
        <v>1594</v>
      </c>
      <c r="C984" s="1">
        <v>45173</v>
      </c>
      <c r="D984" s="1" t="str">
        <f>TEXT(Delivery_data[[#This Row],[Order date]], "MMMM")</f>
        <v>September</v>
      </c>
      <c r="E984" s="1" t="str">
        <f>TEXT(Delivery_data[[#This Row],[Order date]], "DDDD")</f>
        <v>Monday</v>
      </c>
      <c r="F984" s="2">
        <v>0.70694444444444449</v>
      </c>
      <c r="G984" t="s">
        <v>48</v>
      </c>
      <c r="H984" t="str">
        <f>IF(Delivery_data[[#This Row],[Order Status]] = "In Progress", "Backlog", "Complete")</f>
        <v>Backlog</v>
      </c>
      <c r="I984" t="s">
        <v>202</v>
      </c>
      <c r="J984" t="s">
        <v>1633</v>
      </c>
      <c r="K984" t="s">
        <v>61</v>
      </c>
      <c r="L984">
        <v>141</v>
      </c>
      <c r="M984">
        <v>7</v>
      </c>
      <c r="N984" t="s">
        <v>38</v>
      </c>
      <c r="O984" t="s">
        <v>26</v>
      </c>
      <c r="P984" t="s">
        <v>34</v>
      </c>
      <c r="Q984" t="s">
        <v>51</v>
      </c>
      <c r="R984" s="2">
        <v>0.65763888888888888</v>
      </c>
    </row>
    <row r="985" spans="1:18" x14ac:dyDescent="0.25">
      <c r="A985" t="s">
        <v>1692</v>
      </c>
      <c r="B985" t="s">
        <v>147</v>
      </c>
      <c r="C985" s="1">
        <v>45173</v>
      </c>
      <c r="D985" s="1" t="str">
        <f>TEXT(Delivery_data[[#This Row],[Order date]], "MMMM")</f>
        <v>September</v>
      </c>
      <c r="E985" s="1" t="str">
        <f>TEXT(Delivery_data[[#This Row],[Order date]], "DDDD")</f>
        <v>Monday</v>
      </c>
      <c r="F985" s="2">
        <v>0.54722222222222228</v>
      </c>
      <c r="G985" t="s">
        <v>48</v>
      </c>
      <c r="H985" t="str">
        <f>IF(Delivery_data[[#This Row],[Order Status]] = "In Progress", "Backlog", "Complete")</f>
        <v>Backlog</v>
      </c>
      <c r="I985" t="s">
        <v>148</v>
      </c>
      <c r="J985" t="s">
        <v>1631</v>
      </c>
      <c r="K985" t="s">
        <v>37</v>
      </c>
      <c r="L985">
        <v>132</v>
      </c>
      <c r="M985">
        <v>11</v>
      </c>
      <c r="N985" t="s">
        <v>38</v>
      </c>
      <c r="O985" t="s">
        <v>50</v>
      </c>
      <c r="P985" t="s">
        <v>27</v>
      </c>
      <c r="Q985" t="s">
        <v>28</v>
      </c>
      <c r="R985" s="2">
        <v>0.47152777777777777</v>
      </c>
    </row>
    <row r="986" spans="1:18" x14ac:dyDescent="0.25">
      <c r="A986" t="s">
        <v>1732</v>
      </c>
      <c r="B986" t="s">
        <v>210</v>
      </c>
      <c r="C986" s="1">
        <v>45176</v>
      </c>
      <c r="D986" s="1" t="str">
        <f>TEXT(Delivery_data[[#This Row],[Order date]], "MMMM")</f>
        <v>September</v>
      </c>
      <c r="E986" s="1" t="str">
        <f>TEXT(Delivery_data[[#This Row],[Order date]], "DDDD")</f>
        <v>Thursday</v>
      </c>
      <c r="F986" s="2">
        <v>0.37708333333333333</v>
      </c>
      <c r="G986" t="s">
        <v>22</v>
      </c>
      <c r="H986" t="str">
        <f>IF(Delivery_data[[#This Row],[Order Status]] = "In Progress", "Backlog", "Complete")</f>
        <v>Complete</v>
      </c>
      <c r="I986" t="s">
        <v>148</v>
      </c>
      <c r="J986" t="s">
        <v>1633</v>
      </c>
      <c r="K986" t="s">
        <v>31</v>
      </c>
      <c r="L986">
        <v>202</v>
      </c>
      <c r="M986">
        <v>20</v>
      </c>
      <c r="N986" t="s">
        <v>25</v>
      </c>
      <c r="O986" t="s">
        <v>33</v>
      </c>
      <c r="P986" t="s">
        <v>34</v>
      </c>
      <c r="Q986" t="s">
        <v>28</v>
      </c>
      <c r="R986" s="2">
        <v>0.51180555555555551</v>
      </c>
    </row>
    <row r="987" spans="1:18" x14ac:dyDescent="0.25">
      <c r="A987" t="s">
        <v>1784</v>
      </c>
      <c r="B987" t="s">
        <v>273</v>
      </c>
      <c r="C987" s="1">
        <v>45177</v>
      </c>
      <c r="D987" s="1" t="str">
        <f>TEXT(Delivery_data[[#This Row],[Order date]], "MMMM")</f>
        <v>September</v>
      </c>
      <c r="E987" s="1" t="str">
        <f>TEXT(Delivery_data[[#This Row],[Order date]], "DDDD")</f>
        <v>Friday</v>
      </c>
      <c r="F987" s="2">
        <v>0.53333333333333333</v>
      </c>
      <c r="G987" t="s">
        <v>22</v>
      </c>
      <c r="H987" t="str">
        <f>IF(Delivery_data[[#This Row],[Order Status]] = "In Progress", "Backlog", "Complete")</f>
        <v>Complete</v>
      </c>
      <c r="I987" t="s">
        <v>148</v>
      </c>
      <c r="J987" t="s">
        <v>1631</v>
      </c>
      <c r="K987" t="s">
        <v>37</v>
      </c>
      <c r="L987">
        <v>179</v>
      </c>
      <c r="M987">
        <v>19</v>
      </c>
      <c r="N987" t="s">
        <v>32</v>
      </c>
      <c r="O987" t="s">
        <v>50</v>
      </c>
      <c r="P987" t="s">
        <v>45</v>
      </c>
      <c r="Q987" t="s">
        <v>28</v>
      </c>
      <c r="R987" s="2">
        <v>0.37916666666666665</v>
      </c>
    </row>
    <row r="988" spans="1:18" x14ac:dyDescent="0.25">
      <c r="A988" t="s">
        <v>1806</v>
      </c>
      <c r="B988" t="s">
        <v>301</v>
      </c>
      <c r="C988" s="1">
        <v>45172</v>
      </c>
      <c r="D988" s="1" t="str">
        <f>TEXT(Delivery_data[[#This Row],[Order date]], "MMMM")</f>
        <v>September</v>
      </c>
      <c r="E988" s="1" t="str">
        <f>TEXT(Delivery_data[[#This Row],[Order date]], "DDDD")</f>
        <v>Sunday</v>
      </c>
      <c r="F988" s="2">
        <v>0.44861111111111113</v>
      </c>
      <c r="G988" t="s">
        <v>22</v>
      </c>
      <c r="H988" t="str">
        <f>IF(Delivery_data[[#This Row],[Order Status]] = "In Progress", "Backlog", "Complete")</f>
        <v>Complete</v>
      </c>
      <c r="I988" t="s">
        <v>148</v>
      </c>
      <c r="J988" t="s">
        <v>1637</v>
      </c>
      <c r="K988" t="s">
        <v>44</v>
      </c>
      <c r="L988">
        <v>178</v>
      </c>
      <c r="M988">
        <v>10</v>
      </c>
      <c r="N988" t="s">
        <v>25</v>
      </c>
      <c r="O988" t="s">
        <v>33</v>
      </c>
      <c r="P988" t="s">
        <v>34</v>
      </c>
      <c r="Q988" t="s">
        <v>46</v>
      </c>
      <c r="R988" s="2">
        <v>0.67569444444444449</v>
      </c>
    </row>
    <row r="989" spans="1:18" x14ac:dyDescent="0.25">
      <c r="A989" t="s">
        <v>1985</v>
      </c>
      <c r="B989" t="s">
        <v>490</v>
      </c>
      <c r="C989" s="1">
        <v>45176</v>
      </c>
      <c r="D989" s="1" t="str">
        <f>TEXT(Delivery_data[[#This Row],[Order date]], "MMMM")</f>
        <v>September</v>
      </c>
      <c r="E989" s="1" t="str">
        <f>TEXT(Delivery_data[[#This Row],[Order date]], "DDDD")</f>
        <v>Thursday</v>
      </c>
      <c r="F989" s="2">
        <v>0.42777777777777776</v>
      </c>
      <c r="G989" t="s">
        <v>22</v>
      </c>
      <c r="H989" t="str">
        <f>IF(Delivery_data[[#This Row],[Order Status]] = "In Progress", "Backlog", "Complete")</f>
        <v>Complete</v>
      </c>
      <c r="I989" t="s">
        <v>148</v>
      </c>
      <c r="J989" t="s">
        <v>1631</v>
      </c>
      <c r="K989" t="s">
        <v>61</v>
      </c>
      <c r="L989">
        <v>83</v>
      </c>
      <c r="M989">
        <v>19</v>
      </c>
      <c r="N989" t="s">
        <v>25</v>
      </c>
      <c r="O989" t="s">
        <v>41</v>
      </c>
      <c r="P989" t="s">
        <v>27</v>
      </c>
      <c r="Q989" t="s">
        <v>46</v>
      </c>
      <c r="R989" s="2">
        <v>0.62777777777777777</v>
      </c>
    </row>
    <row r="990" spans="1:18" x14ac:dyDescent="0.25">
      <c r="A990" t="s">
        <v>2111</v>
      </c>
      <c r="B990" t="s">
        <v>615</v>
      </c>
      <c r="C990" s="1">
        <v>45170</v>
      </c>
      <c r="D990" s="1" t="str">
        <f>TEXT(Delivery_data[[#This Row],[Order date]], "MMMM")</f>
        <v>September</v>
      </c>
      <c r="E990" s="1" t="str">
        <f>TEXT(Delivery_data[[#This Row],[Order date]], "DDDD")</f>
        <v>Friday</v>
      </c>
      <c r="F990" s="2">
        <v>0.5</v>
      </c>
      <c r="G990" t="s">
        <v>48</v>
      </c>
      <c r="H990" t="str">
        <f>IF(Delivery_data[[#This Row],[Order Status]] = "In Progress", "Backlog", "Complete")</f>
        <v>Backlog</v>
      </c>
      <c r="I990" t="s">
        <v>148</v>
      </c>
      <c r="J990" t="s">
        <v>1631</v>
      </c>
      <c r="K990" t="s">
        <v>61</v>
      </c>
      <c r="L990">
        <v>184</v>
      </c>
      <c r="M990">
        <v>19</v>
      </c>
      <c r="N990" t="s">
        <v>25</v>
      </c>
      <c r="O990" t="s">
        <v>26</v>
      </c>
      <c r="P990" t="s">
        <v>34</v>
      </c>
      <c r="Q990" t="s">
        <v>28</v>
      </c>
      <c r="R990" s="2">
        <v>0.52847222222222223</v>
      </c>
    </row>
    <row r="991" spans="1:18" x14ac:dyDescent="0.25">
      <c r="A991" t="s">
        <v>2127</v>
      </c>
      <c r="B991" t="s">
        <v>631</v>
      </c>
      <c r="C991" s="1">
        <v>45172</v>
      </c>
      <c r="D991" s="1" t="str">
        <f>TEXT(Delivery_data[[#This Row],[Order date]], "MMMM")</f>
        <v>September</v>
      </c>
      <c r="E991" s="1" t="str">
        <f>TEXT(Delivery_data[[#This Row],[Order date]], "DDDD")</f>
        <v>Sunday</v>
      </c>
      <c r="F991" s="2">
        <v>0.60902777777777772</v>
      </c>
      <c r="G991" t="s">
        <v>48</v>
      </c>
      <c r="H991" t="str">
        <f>IF(Delivery_data[[#This Row],[Order Status]] = "In Progress", "Backlog", "Complete")</f>
        <v>Backlog</v>
      </c>
      <c r="I991" t="s">
        <v>148</v>
      </c>
      <c r="J991" t="s">
        <v>1633</v>
      </c>
      <c r="K991" t="s">
        <v>31</v>
      </c>
      <c r="L991">
        <v>118</v>
      </c>
      <c r="M991">
        <v>29</v>
      </c>
      <c r="N991" t="s">
        <v>25</v>
      </c>
      <c r="O991" t="s">
        <v>26</v>
      </c>
      <c r="P991" t="s">
        <v>45</v>
      </c>
      <c r="Q991" t="s">
        <v>46</v>
      </c>
      <c r="R991" s="2">
        <v>0.41388888888888886</v>
      </c>
    </row>
    <row r="992" spans="1:18" x14ac:dyDescent="0.25">
      <c r="A992" t="s">
        <v>2167</v>
      </c>
      <c r="B992" t="s">
        <v>668</v>
      </c>
      <c r="C992" s="1">
        <v>45176</v>
      </c>
      <c r="D992" s="1" t="str">
        <f>TEXT(Delivery_data[[#This Row],[Order date]], "MMMM")</f>
        <v>September</v>
      </c>
      <c r="E992" s="1" t="str">
        <f>TEXT(Delivery_data[[#This Row],[Order date]], "DDDD")</f>
        <v>Thursday</v>
      </c>
      <c r="F992" s="2">
        <v>0.51458333333333328</v>
      </c>
      <c r="G992" t="s">
        <v>22</v>
      </c>
      <c r="H992" t="str">
        <f>IF(Delivery_data[[#This Row],[Order Status]] = "In Progress", "Backlog", "Complete")</f>
        <v>Complete</v>
      </c>
      <c r="I992" t="s">
        <v>148</v>
      </c>
      <c r="J992" t="s">
        <v>1633</v>
      </c>
      <c r="K992" t="s">
        <v>37</v>
      </c>
      <c r="L992">
        <v>228</v>
      </c>
      <c r="M992">
        <v>11</v>
      </c>
      <c r="N992" t="s">
        <v>25</v>
      </c>
      <c r="O992" t="s">
        <v>50</v>
      </c>
      <c r="P992" t="s">
        <v>34</v>
      </c>
      <c r="Q992" t="s">
        <v>51</v>
      </c>
      <c r="R992" s="2">
        <v>0.44583333333333336</v>
      </c>
    </row>
    <row r="993" spans="1:18" x14ac:dyDescent="0.25">
      <c r="A993" t="s">
        <v>2280</v>
      </c>
      <c r="B993" t="s">
        <v>779</v>
      </c>
      <c r="C993" s="1">
        <v>45173</v>
      </c>
      <c r="D993" s="1" t="str">
        <f>TEXT(Delivery_data[[#This Row],[Order date]], "MMMM")</f>
        <v>September</v>
      </c>
      <c r="E993" s="1" t="str">
        <f>TEXT(Delivery_data[[#This Row],[Order date]], "DDDD")</f>
        <v>Monday</v>
      </c>
      <c r="F993" s="2">
        <v>0.59027777777777779</v>
      </c>
      <c r="G993" t="s">
        <v>22</v>
      </c>
      <c r="H993" t="str">
        <f>IF(Delivery_data[[#This Row],[Order Status]] = "In Progress", "Backlog", "Complete")</f>
        <v>Complete</v>
      </c>
      <c r="I993" t="s">
        <v>148</v>
      </c>
      <c r="J993" t="s">
        <v>1637</v>
      </c>
      <c r="K993" t="s">
        <v>31</v>
      </c>
      <c r="L993">
        <v>203</v>
      </c>
      <c r="M993">
        <v>4</v>
      </c>
      <c r="N993" t="s">
        <v>25</v>
      </c>
      <c r="O993" t="s">
        <v>33</v>
      </c>
      <c r="P993" t="s">
        <v>45</v>
      </c>
      <c r="Q993" t="s">
        <v>28</v>
      </c>
      <c r="R993" s="2">
        <v>0.37361111111111112</v>
      </c>
    </row>
    <row r="994" spans="1:18" x14ac:dyDescent="0.25">
      <c r="A994" t="s">
        <v>2363</v>
      </c>
      <c r="B994" t="s">
        <v>860</v>
      </c>
      <c r="C994" s="1">
        <v>45173</v>
      </c>
      <c r="D994" s="1" t="str">
        <f>TEXT(Delivery_data[[#This Row],[Order date]], "MMMM")</f>
        <v>September</v>
      </c>
      <c r="E994" s="1" t="str">
        <f>TEXT(Delivery_data[[#This Row],[Order date]], "DDDD")</f>
        <v>Monday</v>
      </c>
      <c r="F994" s="2">
        <v>0.34305555555555556</v>
      </c>
      <c r="G994" t="s">
        <v>48</v>
      </c>
      <c r="H994" t="str">
        <f>IF(Delivery_data[[#This Row],[Order Status]] = "In Progress", "Backlog", "Complete")</f>
        <v>Backlog</v>
      </c>
      <c r="I994" t="s">
        <v>148</v>
      </c>
      <c r="J994" t="s">
        <v>1637</v>
      </c>
      <c r="K994" t="s">
        <v>44</v>
      </c>
      <c r="L994">
        <v>121</v>
      </c>
      <c r="M994">
        <v>22</v>
      </c>
      <c r="N994" t="s">
        <v>38</v>
      </c>
      <c r="O994" t="s">
        <v>33</v>
      </c>
      <c r="P994" t="s">
        <v>45</v>
      </c>
      <c r="Q994" t="s">
        <v>28</v>
      </c>
      <c r="R994" s="2">
        <v>0.65</v>
      </c>
    </row>
    <row r="995" spans="1:18" x14ac:dyDescent="0.25">
      <c r="A995" t="s">
        <v>2530</v>
      </c>
      <c r="B995" t="s">
        <v>1018</v>
      </c>
      <c r="C995" s="1">
        <v>45171</v>
      </c>
      <c r="D995" s="1" t="str">
        <f>TEXT(Delivery_data[[#This Row],[Order date]], "MMMM")</f>
        <v>September</v>
      </c>
      <c r="E995" s="1" t="str">
        <f>TEXT(Delivery_data[[#This Row],[Order date]], "DDDD")</f>
        <v>Saturday</v>
      </c>
      <c r="F995" s="2">
        <v>0.48333333333333334</v>
      </c>
      <c r="G995" t="s">
        <v>22</v>
      </c>
      <c r="H995" t="str">
        <f>IF(Delivery_data[[#This Row],[Order Status]] = "In Progress", "Backlog", "Complete")</f>
        <v>Complete</v>
      </c>
      <c r="I995" t="s">
        <v>148</v>
      </c>
      <c r="J995" t="s">
        <v>1631</v>
      </c>
      <c r="K995" t="s">
        <v>24</v>
      </c>
      <c r="L995">
        <v>172</v>
      </c>
      <c r="M995">
        <v>28</v>
      </c>
      <c r="N995" t="s">
        <v>32</v>
      </c>
      <c r="O995" t="s">
        <v>33</v>
      </c>
      <c r="P995" t="s">
        <v>27</v>
      </c>
      <c r="Q995" t="s">
        <v>46</v>
      </c>
      <c r="R995" s="2">
        <v>0.74027777777777781</v>
      </c>
    </row>
    <row r="996" spans="1:18" x14ac:dyDescent="0.25">
      <c r="A996" t="s">
        <v>2547</v>
      </c>
      <c r="B996" t="s">
        <v>1033</v>
      </c>
      <c r="C996" s="1">
        <v>45173</v>
      </c>
      <c r="D996" s="1" t="str">
        <f>TEXT(Delivery_data[[#This Row],[Order date]], "MMMM")</f>
        <v>September</v>
      </c>
      <c r="E996" s="1" t="str">
        <f>TEXT(Delivery_data[[#This Row],[Order date]], "DDDD")</f>
        <v>Monday</v>
      </c>
      <c r="F996" s="2">
        <v>0.65555555555555556</v>
      </c>
      <c r="G996" t="s">
        <v>22</v>
      </c>
      <c r="H996" t="str">
        <f>IF(Delivery_data[[#This Row],[Order Status]] = "In Progress", "Backlog", "Complete")</f>
        <v>Complete</v>
      </c>
      <c r="I996" t="s">
        <v>148</v>
      </c>
      <c r="J996" t="s">
        <v>1631</v>
      </c>
      <c r="K996" t="s">
        <v>37</v>
      </c>
      <c r="L996">
        <v>214</v>
      </c>
      <c r="M996">
        <v>13</v>
      </c>
      <c r="N996" t="s">
        <v>32</v>
      </c>
      <c r="O996" t="s">
        <v>50</v>
      </c>
      <c r="P996" t="s">
        <v>45</v>
      </c>
      <c r="Q996" t="s">
        <v>46</v>
      </c>
      <c r="R996" s="2">
        <v>0.63472222222222219</v>
      </c>
    </row>
    <row r="997" spans="1:18" x14ac:dyDescent="0.25">
      <c r="A997" t="s">
        <v>2565</v>
      </c>
      <c r="B997" t="s">
        <v>1050</v>
      </c>
      <c r="C997" s="1">
        <v>45173</v>
      </c>
      <c r="D997" s="1" t="str">
        <f>TEXT(Delivery_data[[#This Row],[Order date]], "MMMM")</f>
        <v>September</v>
      </c>
      <c r="E997" s="1" t="str">
        <f>TEXT(Delivery_data[[#This Row],[Order date]], "DDDD")</f>
        <v>Monday</v>
      </c>
      <c r="F997" s="2">
        <v>0.60416666666666663</v>
      </c>
      <c r="G997" t="s">
        <v>48</v>
      </c>
      <c r="H997" t="str">
        <f>IF(Delivery_data[[#This Row],[Order Status]] = "In Progress", "Backlog", "Complete")</f>
        <v>Backlog</v>
      </c>
      <c r="I997" t="s">
        <v>148</v>
      </c>
      <c r="J997" t="s">
        <v>1631</v>
      </c>
      <c r="K997" t="s">
        <v>61</v>
      </c>
      <c r="L997">
        <v>85</v>
      </c>
      <c r="M997">
        <v>22</v>
      </c>
      <c r="N997" t="s">
        <v>25</v>
      </c>
      <c r="O997" t="s">
        <v>26</v>
      </c>
      <c r="P997" t="s">
        <v>27</v>
      </c>
      <c r="Q997" t="s">
        <v>46</v>
      </c>
      <c r="R997" s="2">
        <v>0.53541666666666665</v>
      </c>
    </row>
    <row r="998" spans="1:18" x14ac:dyDescent="0.25">
      <c r="A998" t="s">
        <v>2795</v>
      </c>
      <c r="B998" t="s">
        <v>1272</v>
      </c>
      <c r="C998" s="1">
        <v>45173</v>
      </c>
      <c r="D998" s="1" t="str">
        <f>TEXT(Delivery_data[[#This Row],[Order date]], "MMMM")</f>
        <v>September</v>
      </c>
      <c r="E998" s="1" t="str">
        <f>TEXT(Delivery_data[[#This Row],[Order date]], "DDDD")</f>
        <v>Monday</v>
      </c>
      <c r="F998" s="2">
        <v>0.70277777777777772</v>
      </c>
      <c r="G998" t="s">
        <v>22</v>
      </c>
      <c r="H998" t="str">
        <f>IF(Delivery_data[[#This Row],[Order Status]] = "In Progress", "Backlog", "Complete")</f>
        <v>Complete</v>
      </c>
      <c r="I998" t="s">
        <v>148</v>
      </c>
      <c r="J998" t="s">
        <v>1633</v>
      </c>
      <c r="K998" t="s">
        <v>37</v>
      </c>
      <c r="L998">
        <v>72</v>
      </c>
      <c r="M998">
        <v>28</v>
      </c>
      <c r="N998" t="s">
        <v>38</v>
      </c>
      <c r="O998" t="s">
        <v>26</v>
      </c>
      <c r="P998" t="s">
        <v>45</v>
      </c>
      <c r="Q998" t="s">
        <v>51</v>
      </c>
      <c r="R998" s="2">
        <v>0.35694444444444445</v>
      </c>
    </row>
    <row r="999" spans="1:18" x14ac:dyDescent="0.25">
      <c r="A999" t="s">
        <v>1648</v>
      </c>
      <c r="B999" t="s">
        <v>72</v>
      </c>
      <c r="C999" s="1">
        <v>45174</v>
      </c>
      <c r="D999" s="1" t="str">
        <f>TEXT(Delivery_data[[#This Row],[Order date]], "MMMM")</f>
        <v>September</v>
      </c>
      <c r="E999" s="1" t="str">
        <f>TEXT(Delivery_data[[#This Row],[Order date]], "DDDD")</f>
        <v>Tuesday</v>
      </c>
      <c r="F999" s="2">
        <v>0.57777777777777772</v>
      </c>
      <c r="G999" t="s">
        <v>48</v>
      </c>
      <c r="H999" t="str">
        <f>IF(Delivery_data[[#This Row],[Order Status]] = "In Progress", "Backlog", "Complete")</f>
        <v>Backlog</v>
      </c>
      <c r="I999" t="s">
        <v>73</v>
      </c>
      <c r="J999" t="s">
        <v>1631</v>
      </c>
      <c r="K999" t="s">
        <v>44</v>
      </c>
      <c r="L999">
        <v>163</v>
      </c>
      <c r="M999">
        <v>6</v>
      </c>
      <c r="N999" t="s">
        <v>25</v>
      </c>
      <c r="O999" t="s">
        <v>50</v>
      </c>
      <c r="P999" t="s">
        <v>45</v>
      </c>
      <c r="Q999" t="s">
        <v>51</v>
      </c>
      <c r="R999" s="2">
        <v>0.43194444444444446</v>
      </c>
    </row>
    <row r="1000" spans="1:18" x14ac:dyDescent="0.25">
      <c r="A1000" t="s">
        <v>1773</v>
      </c>
      <c r="B1000" t="s">
        <v>259</v>
      </c>
      <c r="C1000" s="1">
        <v>45171</v>
      </c>
      <c r="D1000" s="1" t="str">
        <f>TEXT(Delivery_data[[#This Row],[Order date]], "MMMM")</f>
        <v>September</v>
      </c>
      <c r="E1000" s="1" t="str">
        <f>TEXT(Delivery_data[[#This Row],[Order date]], "DDDD")</f>
        <v>Saturday</v>
      </c>
      <c r="F1000" s="2">
        <v>0.43611111111111112</v>
      </c>
      <c r="G1000" t="s">
        <v>22</v>
      </c>
      <c r="H1000" t="str">
        <f>IF(Delivery_data[[#This Row],[Order Status]] = "In Progress", "Backlog", "Complete")</f>
        <v>Complete</v>
      </c>
      <c r="I1000" t="s">
        <v>73</v>
      </c>
      <c r="J1000" t="s">
        <v>1637</v>
      </c>
      <c r="K1000" t="s">
        <v>61</v>
      </c>
      <c r="L1000">
        <v>126</v>
      </c>
      <c r="M1000">
        <v>19</v>
      </c>
      <c r="N1000" t="s">
        <v>25</v>
      </c>
      <c r="O1000" t="s">
        <v>26</v>
      </c>
      <c r="P1000" t="s">
        <v>27</v>
      </c>
      <c r="Q1000" t="s">
        <v>46</v>
      </c>
      <c r="R1000" s="2">
        <v>0.68333333333333335</v>
      </c>
    </row>
    <row r="1001" spans="1:18" x14ac:dyDescent="0.25">
      <c r="A1001" t="s">
        <v>2208</v>
      </c>
      <c r="B1001" t="s">
        <v>709</v>
      </c>
      <c r="C1001" s="1">
        <v>45171</v>
      </c>
      <c r="D1001" s="1" t="str">
        <f>TEXT(Delivery_data[[#This Row],[Order date]], "MMMM")</f>
        <v>September</v>
      </c>
      <c r="E1001" s="1" t="str">
        <f>TEXT(Delivery_data[[#This Row],[Order date]], "DDDD")</f>
        <v>Saturday</v>
      </c>
      <c r="F1001" s="2">
        <v>0.63958333333333328</v>
      </c>
      <c r="G1001" t="s">
        <v>48</v>
      </c>
      <c r="H1001" t="str">
        <f>IF(Delivery_data[[#This Row],[Order Status]] = "In Progress", "Backlog", "Complete")</f>
        <v>Backlog</v>
      </c>
      <c r="I1001" t="s">
        <v>73</v>
      </c>
      <c r="J1001" t="s">
        <v>1637</v>
      </c>
      <c r="K1001" t="s">
        <v>24</v>
      </c>
      <c r="L1001">
        <v>230</v>
      </c>
      <c r="M1001">
        <v>25</v>
      </c>
      <c r="N1001" t="s">
        <v>32</v>
      </c>
      <c r="O1001" t="s">
        <v>50</v>
      </c>
      <c r="P1001" t="s">
        <v>27</v>
      </c>
      <c r="Q1001" t="s">
        <v>28</v>
      </c>
      <c r="R1001" s="2">
        <v>0.48472222222222222</v>
      </c>
    </row>
    <row r="1002" spans="1:18" x14ac:dyDescent="0.25">
      <c r="A1002" t="s">
        <v>2222</v>
      </c>
      <c r="B1002" t="s">
        <v>723</v>
      </c>
      <c r="C1002" s="1">
        <v>45177</v>
      </c>
      <c r="D1002" s="1" t="str">
        <f>TEXT(Delivery_data[[#This Row],[Order date]], "MMMM")</f>
        <v>September</v>
      </c>
      <c r="E1002" s="1" t="str">
        <f>TEXT(Delivery_data[[#This Row],[Order date]], "DDDD")</f>
        <v>Friday</v>
      </c>
      <c r="F1002" s="2">
        <v>0.4284722222222222</v>
      </c>
      <c r="G1002" t="s">
        <v>48</v>
      </c>
      <c r="H1002" t="str">
        <f>IF(Delivery_data[[#This Row],[Order Status]] = "In Progress", "Backlog", "Complete")</f>
        <v>Backlog</v>
      </c>
      <c r="I1002" t="s">
        <v>73</v>
      </c>
      <c r="J1002" t="s">
        <v>1631</v>
      </c>
      <c r="K1002" t="s">
        <v>44</v>
      </c>
      <c r="L1002">
        <v>187</v>
      </c>
      <c r="M1002">
        <v>14</v>
      </c>
      <c r="N1002" t="s">
        <v>38</v>
      </c>
      <c r="O1002" t="s">
        <v>50</v>
      </c>
      <c r="P1002" t="s">
        <v>34</v>
      </c>
      <c r="Q1002" t="s">
        <v>46</v>
      </c>
      <c r="R1002" s="2">
        <v>0.47986111111111113</v>
      </c>
    </row>
    <row r="1003" spans="1:18" x14ac:dyDescent="0.25">
      <c r="A1003" t="s">
        <v>2223</v>
      </c>
      <c r="B1003" t="s">
        <v>724</v>
      </c>
      <c r="C1003" s="1">
        <v>45172</v>
      </c>
      <c r="D1003" s="1" t="str">
        <f>TEXT(Delivery_data[[#This Row],[Order date]], "MMMM")</f>
        <v>September</v>
      </c>
      <c r="E1003" s="1" t="str">
        <f>TEXT(Delivery_data[[#This Row],[Order date]], "DDDD")</f>
        <v>Sunday</v>
      </c>
      <c r="F1003" s="2">
        <v>0.43888888888888888</v>
      </c>
      <c r="G1003" t="s">
        <v>48</v>
      </c>
      <c r="H1003" t="str">
        <f>IF(Delivery_data[[#This Row],[Order Status]] = "In Progress", "Backlog", "Complete")</f>
        <v>Backlog</v>
      </c>
      <c r="I1003" t="s">
        <v>73</v>
      </c>
      <c r="J1003" t="s">
        <v>1637</v>
      </c>
      <c r="K1003" t="s">
        <v>37</v>
      </c>
      <c r="L1003">
        <v>237</v>
      </c>
      <c r="M1003">
        <v>8</v>
      </c>
      <c r="N1003" t="s">
        <v>25</v>
      </c>
      <c r="O1003" t="s">
        <v>54</v>
      </c>
      <c r="P1003" t="s">
        <v>27</v>
      </c>
      <c r="Q1003" t="s">
        <v>28</v>
      </c>
      <c r="R1003" s="2">
        <v>0.39097222222222222</v>
      </c>
    </row>
    <row r="1004" spans="1:18" x14ac:dyDescent="0.25">
      <c r="A1004" t="s">
        <v>2293</v>
      </c>
      <c r="B1004" t="s">
        <v>463</v>
      </c>
      <c r="C1004" s="1">
        <v>45175</v>
      </c>
      <c r="D1004" s="1" t="str">
        <f>TEXT(Delivery_data[[#This Row],[Order date]], "MMMM")</f>
        <v>September</v>
      </c>
      <c r="E1004" s="1" t="str">
        <f>TEXT(Delivery_data[[#This Row],[Order date]], "DDDD")</f>
        <v>Wednesday</v>
      </c>
      <c r="F1004" s="2">
        <v>0.61458333333333337</v>
      </c>
      <c r="G1004" t="s">
        <v>22</v>
      </c>
      <c r="H1004" t="str">
        <f>IF(Delivery_data[[#This Row],[Order Status]] = "In Progress", "Backlog", "Complete")</f>
        <v>Complete</v>
      </c>
      <c r="I1004" t="s">
        <v>73</v>
      </c>
      <c r="J1004" t="s">
        <v>1633</v>
      </c>
      <c r="K1004" t="s">
        <v>44</v>
      </c>
      <c r="L1004">
        <v>135</v>
      </c>
      <c r="M1004">
        <v>18</v>
      </c>
      <c r="N1004" t="s">
        <v>32</v>
      </c>
      <c r="O1004" t="s">
        <v>54</v>
      </c>
      <c r="P1004" t="s">
        <v>27</v>
      </c>
      <c r="Q1004" t="s">
        <v>46</v>
      </c>
      <c r="R1004" s="2">
        <v>0.54652777777777772</v>
      </c>
    </row>
    <row r="1005" spans="1:18" x14ac:dyDescent="0.25">
      <c r="A1005" t="s">
        <v>2439</v>
      </c>
      <c r="B1005" t="s">
        <v>481</v>
      </c>
      <c r="C1005" s="1">
        <v>45170</v>
      </c>
      <c r="D1005" s="1" t="str">
        <f>TEXT(Delivery_data[[#This Row],[Order date]], "MMMM")</f>
        <v>September</v>
      </c>
      <c r="E1005" s="1" t="str">
        <f>TEXT(Delivery_data[[#This Row],[Order date]], "DDDD")</f>
        <v>Friday</v>
      </c>
      <c r="F1005" s="2">
        <v>0.5131944444444444</v>
      </c>
      <c r="G1005" t="s">
        <v>22</v>
      </c>
      <c r="H1005" t="str">
        <f>IF(Delivery_data[[#This Row],[Order Status]] = "In Progress", "Backlog", "Complete")</f>
        <v>Complete</v>
      </c>
      <c r="I1005" t="s">
        <v>73</v>
      </c>
      <c r="J1005" t="s">
        <v>1631</v>
      </c>
      <c r="K1005" t="s">
        <v>44</v>
      </c>
      <c r="L1005">
        <v>157</v>
      </c>
      <c r="M1005">
        <v>10</v>
      </c>
      <c r="N1005" t="s">
        <v>25</v>
      </c>
      <c r="O1005" t="s">
        <v>33</v>
      </c>
      <c r="P1005" t="s">
        <v>34</v>
      </c>
      <c r="Q1005" t="s">
        <v>28</v>
      </c>
      <c r="R1005" s="2">
        <v>0.69652777777777775</v>
      </c>
    </row>
    <row r="1006" spans="1:18" x14ac:dyDescent="0.25">
      <c r="A1006" t="s">
        <v>2643</v>
      </c>
      <c r="B1006" t="s">
        <v>1126</v>
      </c>
      <c r="C1006" s="1">
        <v>45175</v>
      </c>
      <c r="D1006" s="1" t="str">
        <f>TEXT(Delivery_data[[#This Row],[Order date]], "MMMM")</f>
        <v>September</v>
      </c>
      <c r="E1006" s="1" t="str">
        <f>TEXT(Delivery_data[[#This Row],[Order date]], "DDDD")</f>
        <v>Wednesday</v>
      </c>
      <c r="F1006" s="2">
        <v>0.47361111111111109</v>
      </c>
      <c r="G1006" t="s">
        <v>48</v>
      </c>
      <c r="H1006" t="str">
        <f>IF(Delivery_data[[#This Row],[Order Status]] = "In Progress", "Backlog", "Complete")</f>
        <v>Backlog</v>
      </c>
      <c r="I1006" t="s">
        <v>73</v>
      </c>
      <c r="J1006" t="s">
        <v>1637</v>
      </c>
      <c r="K1006" t="s">
        <v>31</v>
      </c>
      <c r="L1006">
        <v>217</v>
      </c>
      <c r="M1006">
        <v>29</v>
      </c>
      <c r="N1006" t="s">
        <v>32</v>
      </c>
      <c r="O1006" t="s">
        <v>26</v>
      </c>
      <c r="P1006" t="s">
        <v>34</v>
      </c>
      <c r="Q1006" t="s">
        <v>28</v>
      </c>
      <c r="R1006" s="2">
        <v>0.67777777777777781</v>
      </c>
    </row>
    <row r="1007" spans="1:18" x14ac:dyDescent="0.25">
      <c r="A1007" t="s">
        <v>2775</v>
      </c>
      <c r="B1007" t="s">
        <v>1253</v>
      </c>
      <c r="C1007" s="1">
        <v>45177</v>
      </c>
      <c r="D1007" s="1" t="str">
        <f>TEXT(Delivery_data[[#This Row],[Order date]], "MMMM")</f>
        <v>September</v>
      </c>
      <c r="E1007" s="1" t="str">
        <f>TEXT(Delivery_data[[#This Row],[Order date]], "DDDD")</f>
        <v>Friday</v>
      </c>
      <c r="F1007" s="2">
        <v>0.39791666666666664</v>
      </c>
      <c r="G1007" t="s">
        <v>48</v>
      </c>
      <c r="H1007" t="str">
        <f>IF(Delivery_data[[#This Row],[Order Status]] = "In Progress", "Backlog", "Complete")</f>
        <v>Backlog</v>
      </c>
      <c r="I1007" t="s">
        <v>73</v>
      </c>
      <c r="J1007" t="s">
        <v>1633</v>
      </c>
      <c r="K1007" t="s">
        <v>61</v>
      </c>
      <c r="L1007">
        <v>184</v>
      </c>
      <c r="M1007">
        <v>1</v>
      </c>
      <c r="N1007" t="s">
        <v>38</v>
      </c>
      <c r="O1007" t="s">
        <v>33</v>
      </c>
      <c r="P1007" t="s">
        <v>27</v>
      </c>
      <c r="Q1007" t="s">
        <v>51</v>
      </c>
      <c r="R1007" s="2">
        <v>0.41458333333333336</v>
      </c>
    </row>
    <row r="1008" spans="1:18" x14ac:dyDescent="0.25">
      <c r="A1008" t="s">
        <v>2902</v>
      </c>
      <c r="B1008" t="s">
        <v>1375</v>
      </c>
      <c r="C1008" s="1">
        <v>45175</v>
      </c>
      <c r="D1008" s="1" t="str">
        <f>TEXT(Delivery_data[[#This Row],[Order date]], "MMMM")</f>
        <v>September</v>
      </c>
      <c r="E1008" s="1" t="str">
        <f>TEXT(Delivery_data[[#This Row],[Order date]], "DDDD")</f>
        <v>Wednesday</v>
      </c>
      <c r="F1008" s="2">
        <v>0.6875</v>
      </c>
      <c r="G1008" t="s">
        <v>48</v>
      </c>
      <c r="H1008" t="str">
        <f>IF(Delivery_data[[#This Row],[Order Status]] = "In Progress", "Backlog", "Complete")</f>
        <v>Backlog</v>
      </c>
      <c r="I1008" t="s">
        <v>73</v>
      </c>
      <c r="J1008" t="s">
        <v>1637</v>
      </c>
      <c r="K1008" t="s">
        <v>31</v>
      </c>
      <c r="L1008">
        <v>226</v>
      </c>
      <c r="M1008">
        <v>15</v>
      </c>
      <c r="N1008" t="s">
        <v>25</v>
      </c>
      <c r="O1008" t="s">
        <v>50</v>
      </c>
      <c r="P1008" t="s">
        <v>34</v>
      </c>
      <c r="Q1008" t="s">
        <v>51</v>
      </c>
      <c r="R1008" s="2">
        <v>0.61875000000000002</v>
      </c>
    </row>
    <row r="1009" spans="1:18" x14ac:dyDescent="0.25">
      <c r="A1009" t="s">
        <v>3096</v>
      </c>
      <c r="B1009" t="s">
        <v>1562</v>
      </c>
      <c r="C1009" s="1">
        <v>45175</v>
      </c>
      <c r="D1009" s="1" t="str">
        <f>TEXT(Delivery_data[[#This Row],[Order date]], "MMMM")</f>
        <v>September</v>
      </c>
      <c r="E1009" s="1" t="str">
        <f>TEXT(Delivery_data[[#This Row],[Order date]], "DDDD")</f>
        <v>Wednesday</v>
      </c>
      <c r="F1009" s="2">
        <v>0.40277777777777779</v>
      </c>
      <c r="G1009" t="s">
        <v>48</v>
      </c>
      <c r="H1009" t="str">
        <f>IF(Delivery_data[[#This Row],[Order Status]] = "In Progress", "Backlog", "Complete")</f>
        <v>Backlog</v>
      </c>
      <c r="I1009" t="s">
        <v>73</v>
      </c>
      <c r="J1009" t="s">
        <v>1637</v>
      </c>
      <c r="K1009" t="s">
        <v>61</v>
      </c>
      <c r="L1009">
        <v>227</v>
      </c>
      <c r="M1009">
        <v>0</v>
      </c>
      <c r="N1009" t="s">
        <v>38</v>
      </c>
      <c r="O1009" t="s">
        <v>54</v>
      </c>
      <c r="P1009" t="s">
        <v>34</v>
      </c>
      <c r="Q1009" t="s">
        <v>46</v>
      </c>
      <c r="R1009" s="2">
        <v>0.38124999999999998</v>
      </c>
    </row>
    <row r="1010" spans="1:18" x14ac:dyDescent="0.25">
      <c r="A1010" t="s">
        <v>1701</v>
      </c>
      <c r="B1010" t="s">
        <v>160</v>
      </c>
      <c r="C1010" s="1">
        <v>45174</v>
      </c>
      <c r="D1010" s="1" t="str">
        <f>TEXT(Delivery_data[[#This Row],[Order date]], "MMMM")</f>
        <v>September</v>
      </c>
      <c r="E1010" s="1" t="str">
        <f>TEXT(Delivery_data[[#This Row],[Order date]], "DDDD")</f>
        <v>Tuesday</v>
      </c>
      <c r="F1010" s="2">
        <v>0.68125000000000002</v>
      </c>
      <c r="G1010" t="s">
        <v>48</v>
      </c>
      <c r="H1010" t="str">
        <f>IF(Delivery_data[[#This Row],[Order Status]] = "In Progress", "Backlog", "Complete")</f>
        <v>Backlog</v>
      </c>
      <c r="I1010" t="s">
        <v>161</v>
      </c>
      <c r="J1010" t="s">
        <v>1637</v>
      </c>
      <c r="K1010" t="s">
        <v>37</v>
      </c>
      <c r="L1010">
        <v>72</v>
      </c>
      <c r="M1010">
        <v>0</v>
      </c>
      <c r="N1010" t="s">
        <v>25</v>
      </c>
      <c r="O1010" t="s">
        <v>54</v>
      </c>
      <c r="P1010" t="s">
        <v>27</v>
      </c>
      <c r="Q1010" t="s">
        <v>51</v>
      </c>
      <c r="R1010" s="2">
        <v>0.37083333333333335</v>
      </c>
    </row>
    <row r="1011" spans="1:18" x14ac:dyDescent="0.25">
      <c r="A1011" t="s">
        <v>1911</v>
      </c>
      <c r="B1011" t="s">
        <v>413</v>
      </c>
      <c r="C1011" s="1">
        <v>45177</v>
      </c>
      <c r="D1011" s="1" t="str">
        <f>TEXT(Delivery_data[[#This Row],[Order date]], "MMMM")</f>
        <v>September</v>
      </c>
      <c r="E1011" s="1" t="str">
        <f>TEXT(Delivery_data[[#This Row],[Order date]], "DDDD")</f>
        <v>Friday</v>
      </c>
      <c r="F1011" s="2">
        <v>0.61805555555555558</v>
      </c>
      <c r="G1011" t="s">
        <v>48</v>
      </c>
      <c r="H1011" t="str">
        <f>IF(Delivery_data[[#This Row],[Order Status]] = "In Progress", "Backlog", "Complete")</f>
        <v>Backlog</v>
      </c>
      <c r="I1011" t="s">
        <v>161</v>
      </c>
      <c r="J1011" t="s">
        <v>1633</v>
      </c>
      <c r="K1011" t="s">
        <v>61</v>
      </c>
      <c r="L1011">
        <v>227</v>
      </c>
      <c r="M1011">
        <v>1</v>
      </c>
      <c r="N1011" t="s">
        <v>32</v>
      </c>
      <c r="O1011" t="s">
        <v>54</v>
      </c>
      <c r="P1011" t="s">
        <v>45</v>
      </c>
      <c r="Q1011" t="s">
        <v>46</v>
      </c>
      <c r="R1011" s="2">
        <v>0.59652777777777777</v>
      </c>
    </row>
    <row r="1012" spans="1:18" x14ac:dyDescent="0.25">
      <c r="A1012" t="s">
        <v>2121</v>
      </c>
      <c r="B1012" t="s">
        <v>625</v>
      </c>
      <c r="C1012" s="1">
        <v>45171</v>
      </c>
      <c r="D1012" s="1" t="str">
        <f>TEXT(Delivery_data[[#This Row],[Order date]], "MMMM")</f>
        <v>September</v>
      </c>
      <c r="E1012" s="1" t="str">
        <f>TEXT(Delivery_data[[#This Row],[Order date]], "DDDD")</f>
        <v>Saturday</v>
      </c>
      <c r="F1012" s="2">
        <v>0.65625</v>
      </c>
      <c r="G1012" t="s">
        <v>48</v>
      </c>
      <c r="H1012" t="str">
        <f>IF(Delivery_data[[#This Row],[Order Status]] = "In Progress", "Backlog", "Complete")</f>
        <v>Backlog</v>
      </c>
      <c r="I1012" t="s">
        <v>161</v>
      </c>
      <c r="J1012" t="s">
        <v>1637</v>
      </c>
      <c r="K1012" t="s">
        <v>61</v>
      </c>
      <c r="L1012">
        <v>172</v>
      </c>
      <c r="M1012">
        <v>12</v>
      </c>
      <c r="N1012" t="s">
        <v>32</v>
      </c>
      <c r="O1012" t="s">
        <v>26</v>
      </c>
      <c r="P1012" t="s">
        <v>34</v>
      </c>
      <c r="Q1012" t="s">
        <v>28</v>
      </c>
      <c r="R1012" s="2">
        <v>0.48333333333333334</v>
      </c>
    </row>
    <row r="1013" spans="1:18" x14ac:dyDescent="0.25">
      <c r="A1013" t="s">
        <v>2153</v>
      </c>
      <c r="B1013" t="s">
        <v>656</v>
      </c>
      <c r="C1013" s="1">
        <v>45174</v>
      </c>
      <c r="D1013" s="1" t="str">
        <f>TEXT(Delivery_data[[#This Row],[Order date]], "MMMM")</f>
        <v>September</v>
      </c>
      <c r="E1013" s="1" t="str">
        <f>TEXT(Delivery_data[[#This Row],[Order date]], "DDDD")</f>
        <v>Tuesday</v>
      </c>
      <c r="F1013" s="2">
        <v>0.67013888888888884</v>
      </c>
      <c r="G1013" t="s">
        <v>22</v>
      </c>
      <c r="H1013" t="str">
        <f>IF(Delivery_data[[#This Row],[Order Status]] = "In Progress", "Backlog", "Complete")</f>
        <v>Complete</v>
      </c>
      <c r="I1013" t="s">
        <v>161</v>
      </c>
      <c r="J1013" t="s">
        <v>1637</v>
      </c>
      <c r="K1013" t="s">
        <v>31</v>
      </c>
      <c r="L1013">
        <v>205</v>
      </c>
      <c r="M1013">
        <v>15</v>
      </c>
      <c r="N1013" t="s">
        <v>38</v>
      </c>
      <c r="O1013" t="s">
        <v>26</v>
      </c>
      <c r="P1013" t="s">
        <v>45</v>
      </c>
      <c r="Q1013" t="s">
        <v>46</v>
      </c>
      <c r="R1013" s="2">
        <v>0.67222222222222228</v>
      </c>
    </row>
    <row r="1014" spans="1:18" x14ac:dyDescent="0.25">
      <c r="A1014" t="s">
        <v>2177</v>
      </c>
      <c r="B1014" t="s">
        <v>678</v>
      </c>
      <c r="C1014" s="1">
        <v>45174</v>
      </c>
      <c r="D1014" s="1" t="str">
        <f>TEXT(Delivery_data[[#This Row],[Order date]], "MMMM")</f>
        <v>September</v>
      </c>
      <c r="E1014" s="1" t="str">
        <f>TEXT(Delivery_data[[#This Row],[Order date]], "DDDD")</f>
        <v>Tuesday</v>
      </c>
      <c r="F1014" s="2">
        <v>0.61041666666666672</v>
      </c>
      <c r="G1014" t="s">
        <v>48</v>
      </c>
      <c r="H1014" t="str">
        <f>IF(Delivery_data[[#This Row],[Order Status]] = "In Progress", "Backlog", "Complete")</f>
        <v>Backlog</v>
      </c>
      <c r="I1014" t="s">
        <v>161</v>
      </c>
      <c r="J1014" t="s">
        <v>1637</v>
      </c>
      <c r="K1014" t="s">
        <v>44</v>
      </c>
      <c r="L1014">
        <v>198</v>
      </c>
      <c r="M1014">
        <v>0</v>
      </c>
      <c r="N1014" t="s">
        <v>25</v>
      </c>
      <c r="O1014" t="s">
        <v>54</v>
      </c>
      <c r="P1014" t="s">
        <v>27</v>
      </c>
      <c r="Q1014" t="s">
        <v>28</v>
      </c>
      <c r="R1014" s="2">
        <v>0.49722222222222223</v>
      </c>
    </row>
    <row r="1015" spans="1:18" x14ac:dyDescent="0.25">
      <c r="A1015" t="s">
        <v>2373</v>
      </c>
      <c r="B1015" t="s">
        <v>870</v>
      </c>
      <c r="C1015" s="1">
        <v>45176</v>
      </c>
      <c r="D1015" s="1" t="str">
        <f>TEXT(Delivery_data[[#This Row],[Order date]], "MMMM")</f>
        <v>September</v>
      </c>
      <c r="E1015" s="1" t="str">
        <f>TEXT(Delivery_data[[#This Row],[Order date]], "DDDD")</f>
        <v>Thursday</v>
      </c>
      <c r="F1015" s="2">
        <v>0.42499999999999999</v>
      </c>
      <c r="G1015" t="s">
        <v>22</v>
      </c>
      <c r="H1015" t="str">
        <f>IF(Delivery_data[[#This Row],[Order Status]] = "In Progress", "Backlog", "Complete")</f>
        <v>Complete</v>
      </c>
      <c r="I1015" t="s">
        <v>161</v>
      </c>
      <c r="J1015" t="s">
        <v>1631</v>
      </c>
      <c r="K1015" t="s">
        <v>31</v>
      </c>
      <c r="L1015">
        <v>181</v>
      </c>
      <c r="M1015">
        <v>19</v>
      </c>
      <c r="N1015" t="s">
        <v>25</v>
      </c>
      <c r="O1015" t="s">
        <v>26</v>
      </c>
      <c r="P1015" t="s">
        <v>34</v>
      </c>
      <c r="Q1015" t="s">
        <v>28</v>
      </c>
      <c r="R1015" s="2">
        <v>0.55972222222222223</v>
      </c>
    </row>
    <row r="1016" spans="1:18" x14ac:dyDescent="0.25">
      <c r="A1016" t="s">
        <v>2623</v>
      </c>
      <c r="B1016" t="s">
        <v>1106</v>
      </c>
      <c r="C1016" s="1">
        <v>45175</v>
      </c>
      <c r="D1016" s="1" t="str">
        <f>TEXT(Delivery_data[[#This Row],[Order date]], "MMMM")</f>
        <v>September</v>
      </c>
      <c r="E1016" s="1" t="str">
        <f>TEXT(Delivery_data[[#This Row],[Order date]], "DDDD")</f>
        <v>Wednesday</v>
      </c>
      <c r="F1016" s="2">
        <v>0.35555555555555557</v>
      </c>
      <c r="G1016" t="s">
        <v>22</v>
      </c>
      <c r="H1016" t="str">
        <f>IF(Delivery_data[[#This Row],[Order Status]] = "In Progress", "Backlog", "Complete")</f>
        <v>Complete</v>
      </c>
      <c r="I1016" t="s">
        <v>161</v>
      </c>
      <c r="J1016" t="s">
        <v>1631</v>
      </c>
      <c r="K1016" t="s">
        <v>24</v>
      </c>
      <c r="L1016">
        <v>88</v>
      </c>
      <c r="M1016">
        <v>13</v>
      </c>
      <c r="N1016" t="s">
        <v>38</v>
      </c>
      <c r="O1016" t="s">
        <v>54</v>
      </c>
      <c r="P1016" t="s">
        <v>27</v>
      </c>
      <c r="Q1016" t="s">
        <v>51</v>
      </c>
      <c r="R1016" s="2">
        <v>0.4909722222222222</v>
      </c>
    </row>
    <row r="1017" spans="1:18" x14ac:dyDescent="0.25">
      <c r="A1017" t="s">
        <v>2642</v>
      </c>
      <c r="B1017" t="s">
        <v>1125</v>
      </c>
      <c r="C1017" s="1">
        <v>45176</v>
      </c>
      <c r="D1017" s="1" t="str">
        <f>TEXT(Delivery_data[[#This Row],[Order date]], "MMMM")</f>
        <v>September</v>
      </c>
      <c r="E1017" s="1" t="str">
        <f>TEXT(Delivery_data[[#This Row],[Order date]], "DDDD")</f>
        <v>Thursday</v>
      </c>
      <c r="F1017" s="2">
        <v>0.33402777777777776</v>
      </c>
      <c r="G1017" t="s">
        <v>22</v>
      </c>
      <c r="H1017" t="str">
        <f>IF(Delivery_data[[#This Row],[Order Status]] = "In Progress", "Backlog", "Complete")</f>
        <v>Complete</v>
      </c>
      <c r="I1017" t="s">
        <v>161</v>
      </c>
      <c r="J1017" t="s">
        <v>1637</v>
      </c>
      <c r="K1017" t="s">
        <v>61</v>
      </c>
      <c r="L1017">
        <v>210</v>
      </c>
      <c r="M1017">
        <v>0</v>
      </c>
      <c r="N1017" t="s">
        <v>38</v>
      </c>
      <c r="O1017" t="s">
        <v>50</v>
      </c>
      <c r="P1017" t="s">
        <v>27</v>
      </c>
      <c r="Q1017" t="s">
        <v>28</v>
      </c>
      <c r="R1017" s="2">
        <v>0.53194444444444444</v>
      </c>
    </row>
    <row r="1018" spans="1:18" x14ac:dyDescent="0.25">
      <c r="A1018" t="s">
        <v>2679</v>
      </c>
      <c r="B1018" t="s">
        <v>1161</v>
      </c>
      <c r="C1018" s="1">
        <v>45175</v>
      </c>
      <c r="D1018" s="1" t="str">
        <f>TEXT(Delivery_data[[#This Row],[Order date]], "MMMM")</f>
        <v>September</v>
      </c>
      <c r="E1018" s="1" t="str">
        <f>TEXT(Delivery_data[[#This Row],[Order date]], "DDDD")</f>
        <v>Wednesday</v>
      </c>
      <c r="F1018" s="2">
        <v>0.35416666666666669</v>
      </c>
      <c r="G1018" t="s">
        <v>48</v>
      </c>
      <c r="H1018" t="str">
        <f>IF(Delivery_data[[#This Row],[Order Status]] = "In Progress", "Backlog", "Complete")</f>
        <v>Backlog</v>
      </c>
      <c r="I1018" t="s">
        <v>161</v>
      </c>
      <c r="J1018" t="s">
        <v>1633</v>
      </c>
      <c r="K1018" t="s">
        <v>31</v>
      </c>
      <c r="L1018">
        <v>121</v>
      </c>
      <c r="M1018">
        <v>0</v>
      </c>
      <c r="N1018" t="s">
        <v>32</v>
      </c>
      <c r="O1018" t="s">
        <v>26</v>
      </c>
      <c r="P1018" t="s">
        <v>45</v>
      </c>
      <c r="Q1018" t="s">
        <v>46</v>
      </c>
      <c r="R1018" s="2">
        <v>0.64722222222222225</v>
      </c>
    </row>
    <row r="1019" spans="1:18" x14ac:dyDescent="0.25">
      <c r="A1019" t="s">
        <v>2752</v>
      </c>
      <c r="B1019" t="s">
        <v>1231</v>
      </c>
      <c r="C1019" s="1">
        <v>45177</v>
      </c>
      <c r="D1019" s="1" t="str">
        <f>TEXT(Delivery_data[[#This Row],[Order date]], "MMMM")</f>
        <v>September</v>
      </c>
      <c r="E1019" s="1" t="str">
        <f>TEXT(Delivery_data[[#This Row],[Order date]], "DDDD")</f>
        <v>Friday</v>
      </c>
      <c r="F1019" s="2">
        <v>0.6791666666666667</v>
      </c>
      <c r="G1019" t="s">
        <v>22</v>
      </c>
      <c r="H1019" t="str">
        <f>IF(Delivery_data[[#This Row],[Order Status]] = "In Progress", "Backlog", "Complete")</f>
        <v>Complete</v>
      </c>
      <c r="I1019" t="s">
        <v>161</v>
      </c>
      <c r="J1019" t="s">
        <v>1631</v>
      </c>
      <c r="K1019" t="s">
        <v>61</v>
      </c>
      <c r="L1019">
        <v>167</v>
      </c>
      <c r="M1019">
        <v>4</v>
      </c>
      <c r="N1019" t="s">
        <v>38</v>
      </c>
      <c r="O1019" t="s">
        <v>33</v>
      </c>
      <c r="P1019" t="s">
        <v>27</v>
      </c>
      <c r="Q1019" t="s">
        <v>46</v>
      </c>
      <c r="R1019" s="2">
        <v>0.46111111111111114</v>
      </c>
    </row>
    <row r="1020" spans="1:18" x14ac:dyDescent="0.25">
      <c r="A1020" t="s">
        <v>2764</v>
      </c>
      <c r="B1020" t="s">
        <v>1242</v>
      </c>
      <c r="C1020" s="1">
        <v>45177</v>
      </c>
      <c r="D1020" s="1" t="str">
        <f>TEXT(Delivery_data[[#This Row],[Order date]], "MMMM")</f>
        <v>September</v>
      </c>
      <c r="E1020" s="1" t="str">
        <f>TEXT(Delivery_data[[#This Row],[Order date]], "DDDD")</f>
        <v>Friday</v>
      </c>
      <c r="F1020" s="2">
        <v>0.70486111111111116</v>
      </c>
      <c r="G1020" t="s">
        <v>48</v>
      </c>
      <c r="H1020" t="str">
        <f>IF(Delivery_data[[#This Row],[Order Status]] = "In Progress", "Backlog", "Complete")</f>
        <v>Backlog</v>
      </c>
      <c r="I1020" t="s">
        <v>161</v>
      </c>
      <c r="J1020" t="s">
        <v>1633</v>
      </c>
      <c r="K1020" t="s">
        <v>31</v>
      </c>
      <c r="L1020">
        <v>75</v>
      </c>
      <c r="M1020">
        <v>28</v>
      </c>
      <c r="N1020" t="s">
        <v>25</v>
      </c>
      <c r="O1020" t="s">
        <v>26</v>
      </c>
      <c r="P1020" t="s">
        <v>27</v>
      </c>
      <c r="Q1020" t="s">
        <v>28</v>
      </c>
      <c r="R1020" s="2">
        <v>0.41180555555555554</v>
      </c>
    </row>
    <row r="1021" spans="1:18" x14ac:dyDescent="0.25">
      <c r="A1021" t="s">
        <v>2772</v>
      </c>
      <c r="B1021" t="s">
        <v>1250</v>
      </c>
      <c r="C1021" s="1">
        <v>45171</v>
      </c>
      <c r="D1021" s="1" t="str">
        <f>TEXT(Delivery_data[[#This Row],[Order date]], "MMMM")</f>
        <v>September</v>
      </c>
      <c r="E1021" s="1" t="str">
        <f>TEXT(Delivery_data[[#This Row],[Order date]], "DDDD")</f>
        <v>Saturday</v>
      </c>
      <c r="F1021" s="2">
        <v>0.4777777777777778</v>
      </c>
      <c r="G1021" t="s">
        <v>22</v>
      </c>
      <c r="H1021" t="str">
        <f>IF(Delivery_data[[#This Row],[Order Status]] = "In Progress", "Backlog", "Complete")</f>
        <v>Complete</v>
      </c>
      <c r="I1021" t="s">
        <v>161</v>
      </c>
      <c r="J1021" t="s">
        <v>1633</v>
      </c>
      <c r="K1021" t="s">
        <v>44</v>
      </c>
      <c r="L1021">
        <v>224</v>
      </c>
      <c r="M1021">
        <v>0</v>
      </c>
      <c r="N1021" t="s">
        <v>25</v>
      </c>
      <c r="O1021" t="s">
        <v>50</v>
      </c>
      <c r="P1021" t="s">
        <v>34</v>
      </c>
      <c r="Q1021" t="s">
        <v>51</v>
      </c>
      <c r="R1021" s="2">
        <v>0.70416666666666672</v>
      </c>
    </row>
    <row r="1022" spans="1:18" x14ac:dyDescent="0.25">
      <c r="A1022" t="s">
        <v>3065</v>
      </c>
      <c r="B1022" t="s">
        <v>1533</v>
      </c>
      <c r="C1022" s="1">
        <v>45174</v>
      </c>
      <c r="D1022" s="1" t="str">
        <f>TEXT(Delivery_data[[#This Row],[Order date]], "MMMM")</f>
        <v>September</v>
      </c>
      <c r="E1022" s="1" t="str">
        <f>TEXT(Delivery_data[[#This Row],[Order date]], "DDDD")</f>
        <v>Tuesday</v>
      </c>
      <c r="F1022" s="2">
        <v>0.6791666666666667</v>
      </c>
      <c r="G1022" t="s">
        <v>22</v>
      </c>
      <c r="H1022" t="str">
        <f>IF(Delivery_data[[#This Row],[Order Status]] = "In Progress", "Backlog", "Complete")</f>
        <v>Complete</v>
      </c>
      <c r="I1022" t="s">
        <v>161</v>
      </c>
      <c r="J1022" t="s">
        <v>1637</v>
      </c>
      <c r="K1022" t="s">
        <v>31</v>
      </c>
      <c r="L1022">
        <v>195</v>
      </c>
      <c r="M1022">
        <v>25</v>
      </c>
      <c r="N1022" t="s">
        <v>32</v>
      </c>
      <c r="O1022" t="s">
        <v>33</v>
      </c>
      <c r="P1022" t="s">
        <v>34</v>
      </c>
      <c r="Q1022" t="s">
        <v>46</v>
      </c>
      <c r="R1022" s="2">
        <v>0.6381944444444444</v>
      </c>
    </row>
    <row r="1023" spans="1:18" x14ac:dyDescent="0.25">
      <c r="A1023" t="s">
        <v>3090</v>
      </c>
      <c r="B1023" t="s">
        <v>1556</v>
      </c>
      <c r="C1023" s="1">
        <v>45171</v>
      </c>
      <c r="D1023" s="1" t="str">
        <f>TEXT(Delivery_data[[#This Row],[Order date]], "MMMM")</f>
        <v>September</v>
      </c>
      <c r="E1023" s="1" t="str">
        <f>TEXT(Delivery_data[[#This Row],[Order date]], "DDDD")</f>
        <v>Saturday</v>
      </c>
      <c r="F1023" s="2">
        <v>0.45347222222222222</v>
      </c>
      <c r="G1023" t="s">
        <v>22</v>
      </c>
      <c r="H1023" t="str">
        <f>IF(Delivery_data[[#This Row],[Order Status]] = "In Progress", "Backlog", "Complete")</f>
        <v>Complete</v>
      </c>
      <c r="I1023" t="s">
        <v>161</v>
      </c>
      <c r="J1023" t="s">
        <v>1633</v>
      </c>
      <c r="K1023" t="s">
        <v>37</v>
      </c>
      <c r="L1023">
        <v>221</v>
      </c>
      <c r="M1023">
        <v>0</v>
      </c>
      <c r="N1023" t="s">
        <v>32</v>
      </c>
      <c r="O1023" t="s">
        <v>50</v>
      </c>
      <c r="P1023" t="s">
        <v>45</v>
      </c>
      <c r="Q1023" t="s">
        <v>28</v>
      </c>
      <c r="R1023" s="2">
        <v>0.70486111111111116</v>
      </c>
    </row>
    <row r="1024" spans="1:18" x14ac:dyDescent="0.25">
      <c r="A1024" t="s">
        <v>3128</v>
      </c>
      <c r="B1024" t="s">
        <v>1591</v>
      </c>
      <c r="C1024" s="1">
        <v>45176</v>
      </c>
      <c r="D1024" s="1" t="str">
        <f>TEXT(Delivery_data[[#This Row],[Order date]], "MMMM")</f>
        <v>September</v>
      </c>
      <c r="E1024" s="1" t="str">
        <f>TEXT(Delivery_data[[#This Row],[Order date]], "DDDD")</f>
        <v>Thursday</v>
      </c>
      <c r="F1024" s="2">
        <v>0.37916666666666665</v>
      </c>
      <c r="G1024" t="s">
        <v>48</v>
      </c>
      <c r="H1024" t="str">
        <f>IF(Delivery_data[[#This Row],[Order Status]] = "In Progress", "Backlog", "Complete")</f>
        <v>Backlog</v>
      </c>
      <c r="I1024" t="s">
        <v>161</v>
      </c>
      <c r="J1024" t="s">
        <v>1633</v>
      </c>
      <c r="K1024" t="s">
        <v>24</v>
      </c>
      <c r="L1024">
        <v>213</v>
      </c>
      <c r="M1024">
        <v>18</v>
      </c>
      <c r="N1024" t="s">
        <v>32</v>
      </c>
      <c r="O1024" t="s">
        <v>26</v>
      </c>
      <c r="P1024" t="s">
        <v>45</v>
      </c>
      <c r="Q1024" t="s">
        <v>46</v>
      </c>
      <c r="R1024" s="2">
        <v>0.63055555555555554</v>
      </c>
    </row>
    <row r="1025" spans="1:18" x14ac:dyDescent="0.25">
      <c r="A1025" t="s">
        <v>1667</v>
      </c>
      <c r="B1025" t="s">
        <v>107</v>
      </c>
      <c r="C1025" s="1">
        <v>45170</v>
      </c>
      <c r="D1025" s="1" t="str">
        <f>TEXT(Delivery_data[[#This Row],[Order date]], "MMMM")</f>
        <v>September</v>
      </c>
      <c r="E1025" s="1" t="str">
        <f>TEXT(Delivery_data[[#This Row],[Order date]], "DDDD")</f>
        <v>Friday</v>
      </c>
      <c r="F1025" s="2">
        <v>0.50972222222222219</v>
      </c>
      <c r="G1025" t="s">
        <v>22</v>
      </c>
      <c r="H1025" t="str">
        <f>IF(Delivery_data[[#This Row],[Order Status]] = "In Progress", "Backlog", "Complete")</f>
        <v>Complete</v>
      </c>
      <c r="I1025" t="s">
        <v>108</v>
      </c>
      <c r="J1025" t="s">
        <v>1637</v>
      </c>
      <c r="K1025" t="s">
        <v>61</v>
      </c>
      <c r="L1025">
        <v>64</v>
      </c>
      <c r="M1025">
        <v>6</v>
      </c>
      <c r="N1025" t="s">
        <v>25</v>
      </c>
      <c r="O1025" t="s">
        <v>54</v>
      </c>
      <c r="P1025" t="s">
        <v>27</v>
      </c>
      <c r="Q1025" t="s">
        <v>51</v>
      </c>
      <c r="R1025" s="2">
        <v>0.39513888888888887</v>
      </c>
    </row>
    <row r="1026" spans="1:18" x14ac:dyDescent="0.25">
      <c r="A1026" t="s">
        <v>1728</v>
      </c>
      <c r="B1026" t="s">
        <v>203</v>
      </c>
      <c r="C1026" s="1">
        <v>45171</v>
      </c>
      <c r="D1026" s="1" t="str">
        <f>TEXT(Delivery_data[[#This Row],[Order date]], "MMMM")</f>
        <v>September</v>
      </c>
      <c r="E1026" s="1" t="str">
        <f>TEXT(Delivery_data[[#This Row],[Order date]], "DDDD")</f>
        <v>Saturday</v>
      </c>
      <c r="F1026" s="2">
        <v>0.44791666666666669</v>
      </c>
      <c r="G1026" t="s">
        <v>22</v>
      </c>
      <c r="H1026" t="str">
        <f>IF(Delivery_data[[#This Row],[Order Status]] = "In Progress", "Backlog", "Complete")</f>
        <v>Complete</v>
      </c>
      <c r="I1026" t="s">
        <v>108</v>
      </c>
      <c r="J1026" t="s">
        <v>1631</v>
      </c>
      <c r="K1026" t="s">
        <v>61</v>
      </c>
      <c r="L1026">
        <v>201</v>
      </c>
      <c r="M1026">
        <v>5</v>
      </c>
      <c r="N1026" t="s">
        <v>32</v>
      </c>
      <c r="O1026" t="s">
        <v>41</v>
      </c>
      <c r="P1026" t="s">
        <v>45</v>
      </c>
      <c r="Q1026" t="s">
        <v>51</v>
      </c>
      <c r="R1026" s="2">
        <v>0.55277777777777781</v>
      </c>
    </row>
    <row r="1027" spans="1:18" x14ac:dyDescent="0.25">
      <c r="A1027" t="s">
        <v>1744</v>
      </c>
      <c r="B1027" t="s">
        <v>223</v>
      </c>
      <c r="C1027" s="1">
        <v>45170</v>
      </c>
      <c r="D1027" s="1" t="str">
        <f>TEXT(Delivery_data[[#This Row],[Order date]], "MMMM")</f>
        <v>September</v>
      </c>
      <c r="E1027" s="1" t="str">
        <f>TEXT(Delivery_data[[#This Row],[Order date]], "DDDD")</f>
        <v>Friday</v>
      </c>
      <c r="F1027" s="2">
        <v>0.4548611111111111</v>
      </c>
      <c r="G1027" t="s">
        <v>22</v>
      </c>
      <c r="H1027" t="str">
        <f>IF(Delivery_data[[#This Row],[Order Status]] = "In Progress", "Backlog", "Complete")</f>
        <v>Complete</v>
      </c>
      <c r="I1027" t="s">
        <v>108</v>
      </c>
      <c r="J1027" t="s">
        <v>1633</v>
      </c>
      <c r="K1027" t="s">
        <v>24</v>
      </c>
      <c r="L1027">
        <v>212</v>
      </c>
      <c r="M1027">
        <v>14</v>
      </c>
      <c r="N1027" t="s">
        <v>32</v>
      </c>
      <c r="O1027" t="s">
        <v>41</v>
      </c>
      <c r="P1027" t="s">
        <v>45</v>
      </c>
      <c r="Q1027" t="s">
        <v>51</v>
      </c>
      <c r="R1027" s="2">
        <v>0.52013888888888893</v>
      </c>
    </row>
    <row r="1028" spans="1:18" x14ac:dyDescent="0.25">
      <c r="A1028" t="s">
        <v>1904</v>
      </c>
      <c r="B1028" t="s">
        <v>405</v>
      </c>
      <c r="C1028" s="1">
        <v>45174</v>
      </c>
      <c r="D1028" s="1" t="str">
        <f>TEXT(Delivery_data[[#This Row],[Order date]], "MMMM")</f>
        <v>September</v>
      </c>
      <c r="E1028" s="1" t="str">
        <f>TEXT(Delivery_data[[#This Row],[Order date]], "DDDD")</f>
        <v>Tuesday</v>
      </c>
      <c r="F1028" s="2">
        <v>0.33402777777777776</v>
      </c>
      <c r="G1028" t="s">
        <v>48</v>
      </c>
      <c r="H1028" t="str">
        <f>IF(Delivery_data[[#This Row],[Order Status]] = "In Progress", "Backlog", "Complete")</f>
        <v>Backlog</v>
      </c>
      <c r="I1028" t="s">
        <v>108</v>
      </c>
      <c r="J1028" t="s">
        <v>1633</v>
      </c>
      <c r="K1028" t="s">
        <v>31</v>
      </c>
      <c r="L1028">
        <v>235</v>
      </c>
      <c r="M1028">
        <v>18</v>
      </c>
      <c r="N1028" t="s">
        <v>38</v>
      </c>
      <c r="O1028" t="s">
        <v>41</v>
      </c>
      <c r="P1028" t="s">
        <v>34</v>
      </c>
      <c r="Q1028" t="s">
        <v>46</v>
      </c>
      <c r="R1028" s="2">
        <v>0.63958333333333328</v>
      </c>
    </row>
    <row r="1029" spans="1:18" x14ac:dyDescent="0.25">
      <c r="A1029" t="s">
        <v>2093</v>
      </c>
      <c r="B1029" t="s">
        <v>598</v>
      </c>
      <c r="C1029" s="1">
        <v>45171</v>
      </c>
      <c r="D1029" s="1" t="str">
        <f>TEXT(Delivery_data[[#This Row],[Order date]], "MMMM")</f>
        <v>September</v>
      </c>
      <c r="E1029" s="1" t="str">
        <f>TEXT(Delivery_data[[#This Row],[Order date]], "DDDD")</f>
        <v>Saturday</v>
      </c>
      <c r="F1029" s="2">
        <v>0.49583333333333335</v>
      </c>
      <c r="G1029" t="s">
        <v>48</v>
      </c>
      <c r="H1029" t="str">
        <f>IF(Delivery_data[[#This Row],[Order Status]] = "In Progress", "Backlog", "Complete")</f>
        <v>Backlog</v>
      </c>
      <c r="I1029" t="s">
        <v>108</v>
      </c>
      <c r="J1029" t="s">
        <v>1633</v>
      </c>
      <c r="K1029" t="s">
        <v>37</v>
      </c>
      <c r="L1029">
        <v>174</v>
      </c>
      <c r="M1029">
        <v>19</v>
      </c>
      <c r="N1029" t="s">
        <v>32</v>
      </c>
      <c r="O1029" t="s">
        <v>33</v>
      </c>
      <c r="P1029" t="s">
        <v>27</v>
      </c>
      <c r="Q1029" t="s">
        <v>51</v>
      </c>
      <c r="R1029" s="2">
        <v>0.40208333333333335</v>
      </c>
    </row>
    <row r="1030" spans="1:18" x14ac:dyDescent="0.25">
      <c r="A1030" t="s">
        <v>2105</v>
      </c>
      <c r="B1030" t="s">
        <v>465</v>
      </c>
      <c r="C1030" s="1">
        <v>45170</v>
      </c>
      <c r="D1030" s="1" t="str">
        <f>TEXT(Delivery_data[[#This Row],[Order date]], "MMMM")</f>
        <v>September</v>
      </c>
      <c r="E1030" s="1" t="str">
        <f>TEXT(Delivery_data[[#This Row],[Order date]], "DDDD")</f>
        <v>Friday</v>
      </c>
      <c r="F1030" s="2">
        <v>0.59375</v>
      </c>
      <c r="G1030" t="s">
        <v>48</v>
      </c>
      <c r="H1030" t="str">
        <f>IF(Delivery_data[[#This Row],[Order Status]] = "In Progress", "Backlog", "Complete")</f>
        <v>Backlog</v>
      </c>
      <c r="I1030" t="s">
        <v>108</v>
      </c>
      <c r="J1030" t="s">
        <v>1633</v>
      </c>
      <c r="K1030" t="s">
        <v>61</v>
      </c>
      <c r="L1030">
        <v>104</v>
      </c>
      <c r="M1030">
        <v>19</v>
      </c>
      <c r="N1030" t="s">
        <v>32</v>
      </c>
      <c r="O1030" t="s">
        <v>33</v>
      </c>
      <c r="P1030" t="s">
        <v>27</v>
      </c>
      <c r="Q1030" t="s">
        <v>46</v>
      </c>
      <c r="R1030" s="2">
        <v>0.45416666666666666</v>
      </c>
    </row>
    <row r="1031" spans="1:18" x14ac:dyDescent="0.25">
      <c r="A1031" t="s">
        <v>2252</v>
      </c>
      <c r="B1031" t="s">
        <v>752</v>
      </c>
      <c r="C1031" s="1">
        <v>45171</v>
      </c>
      <c r="D1031" s="1" t="str">
        <f>TEXT(Delivery_data[[#This Row],[Order date]], "MMMM")</f>
        <v>September</v>
      </c>
      <c r="E1031" s="1" t="str">
        <f>TEXT(Delivery_data[[#This Row],[Order date]], "DDDD")</f>
        <v>Saturday</v>
      </c>
      <c r="F1031" s="2">
        <v>0.39305555555555555</v>
      </c>
      <c r="G1031" t="s">
        <v>22</v>
      </c>
      <c r="H1031" t="str">
        <f>IF(Delivery_data[[#This Row],[Order Status]] = "In Progress", "Backlog", "Complete")</f>
        <v>Complete</v>
      </c>
      <c r="I1031" t="s">
        <v>108</v>
      </c>
      <c r="J1031" t="s">
        <v>1637</v>
      </c>
      <c r="K1031" t="s">
        <v>61</v>
      </c>
      <c r="L1031">
        <v>133</v>
      </c>
      <c r="M1031">
        <v>11</v>
      </c>
      <c r="N1031" t="s">
        <v>25</v>
      </c>
      <c r="O1031" t="s">
        <v>26</v>
      </c>
      <c r="P1031" t="s">
        <v>45</v>
      </c>
      <c r="Q1031" t="s">
        <v>51</v>
      </c>
      <c r="R1031" s="2">
        <v>0.64513888888888893</v>
      </c>
    </row>
    <row r="1032" spans="1:18" x14ac:dyDescent="0.25">
      <c r="A1032" t="s">
        <v>2461</v>
      </c>
      <c r="B1032" t="s">
        <v>953</v>
      </c>
      <c r="C1032" s="1">
        <v>45172</v>
      </c>
      <c r="D1032" s="1" t="str">
        <f>TEXT(Delivery_data[[#This Row],[Order date]], "MMMM")</f>
        <v>September</v>
      </c>
      <c r="E1032" s="1" t="str">
        <f>TEXT(Delivery_data[[#This Row],[Order date]], "DDDD")</f>
        <v>Sunday</v>
      </c>
      <c r="F1032" s="2">
        <v>0.52013888888888893</v>
      </c>
      <c r="G1032" t="s">
        <v>22</v>
      </c>
      <c r="H1032" t="str">
        <f>IF(Delivery_data[[#This Row],[Order Status]] = "In Progress", "Backlog", "Complete")</f>
        <v>Complete</v>
      </c>
      <c r="I1032" t="s">
        <v>108</v>
      </c>
      <c r="J1032" t="s">
        <v>1631</v>
      </c>
      <c r="K1032" t="s">
        <v>37</v>
      </c>
      <c r="L1032">
        <v>131</v>
      </c>
      <c r="M1032">
        <v>3</v>
      </c>
      <c r="N1032" t="s">
        <v>25</v>
      </c>
      <c r="O1032" t="s">
        <v>33</v>
      </c>
      <c r="P1032" t="s">
        <v>45</v>
      </c>
      <c r="Q1032" t="s">
        <v>28</v>
      </c>
      <c r="R1032" s="2">
        <v>0.58263888888888893</v>
      </c>
    </row>
    <row r="1033" spans="1:18" x14ac:dyDescent="0.25">
      <c r="A1033" t="s">
        <v>2515</v>
      </c>
      <c r="B1033" t="s">
        <v>1004</v>
      </c>
      <c r="C1033" s="1">
        <v>45172</v>
      </c>
      <c r="D1033" s="1" t="str">
        <f>TEXT(Delivery_data[[#This Row],[Order date]], "MMMM")</f>
        <v>September</v>
      </c>
      <c r="E1033" s="1" t="str">
        <f>TEXT(Delivery_data[[#This Row],[Order date]], "DDDD")</f>
        <v>Sunday</v>
      </c>
      <c r="F1033" s="2">
        <v>0.64444444444444449</v>
      </c>
      <c r="G1033" t="s">
        <v>48</v>
      </c>
      <c r="H1033" t="str">
        <f>IF(Delivery_data[[#This Row],[Order Status]] = "In Progress", "Backlog", "Complete")</f>
        <v>Backlog</v>
      </c>
      <c r="I1033" t="s">
        <v>108</v>
      </c>
      <c r="J1033" t="s">
        <v>1631</v>
      </c>
      <c r="K1033" t="s">
        <v>37</v>
      </c>
      <c r="L1033">
        <v>74</v>
      </c>
      <c r="M1033">
        <v>24</v>
      </c>
      <c r="N1033" t="s">
        <v>38</v>
      </c>
      <c r="O1033" t="s">
        <v>50</v>
      </c>
      <c r="P1033" t="s">
        <v>45</v>
      </c>
      <c r="Q1033" t="s">
        <v>51</v>
      </c>
      <c r="R1033" s="2">
        <v>0.47916666666666669</v>
      </c>
    </row>
    <row r="1034" spans="1:18" x14ac:dyDescent="0.25">
      <c r="A1034" t="s">
        <v>2647</v>
      </c>
      <c r="B1034" t="s">
        <v>1130</v>
      </c>
      <c r="C1034" s="1">
        <v>45177</v>
      </c>
      <c r="D1034" s="1" t="str">
        <f>TEXT(Delivery_data[[#This Row],[Order date]], "MMMM")</f>
        <v>September</v>
      </c>
      <c r="E1034" s="1" t="str">
        <f>TEXT(Delivery_data[[#This Row],[Order date]], "DDDD")</f>
        <v>Friday</v>
      </c>
      <c r="F1034" s="2">
        <v>0.43680555555555556</v>
      </c>
      <c r="G1034" t="s">
        <v>22</v>
      </c>
      <c r="H1034" t="str">
        <f>IF(Delivery_data[[#This Row],[Order Status]] = "In Progress", "Backlog", "Complete")</f>
        <v>Complete</v>
      </c>
      <c r="I1034" t="s">
        <v>108</v>
      </c>
      <c r="J1034" t="s">
        <v>1637</v>
      </c>
      <c r="K1034" t="s">
        <v>24</v>
      </c>
      <c r="L1034">
        <v>198</v>
      </c>
      <c r="M1034">
        <v>27</v>
      </c>
      <c r="N1034" t="s">
        <v>38</v>
      </c>
      <c r="O1034" t="s">
        <v>41</v>
      </c>
      <c r="P1034" t="s">
        <v>34</v>
      </c>
      <c r="Q1034" t="s">
        <v>46</v>
      </c>
      <c r="R1034" s="2">
        <v>0.49652777777777779</v>
      </c>
    </row>
    <row r="1035" spans="1:18" x14ac:dyDescent="0.25">
      <c r="A1035" t="s">
        <v>2814</v>
      </c>
      <c r="B1035" t="s">
        <v>1291</v>
      </c>
      <c r="C1035" s="1">
        <v>45176</v>
      </c>
      <c r="D1035" s="1" t="str">
        <f>TEXT(Delivery_data[[#This Row],[Order date]], "MMMM")</f>
        <v>September</v>
      </c>
      <c r="E1035" s="1" t="str">
        <f>TEXT(Delivery_data[[#This Row],[Order date]], "DDDD")</f>
        <v>Thursday</v>
      </c>
      <c r="F1035" s="2">
        <v>0.41388888888888886</v>
      </c>
      <c r="G1035" t="s">
        <v>48</v>
      </c>
      <c r="H1035" t="str">
        <f>IF(Delivery_data[[#This Row],[Order Status]] = "In Progress", "Backlog", "Complete")</f>
        <v>Backlog</v>
      </c>
      <c r="I1035" t="s">
        <v>108</v>
      </c>
      <c r="J1035" t="s">
        <v>1631</v>
      </c>
      <c r="K1035" t="s">
        <v>24</v>
      </c>
      <c r="L1035">
        <v>173</v>
      </c>
      <c r="M1035">
        <v>28</v>
      </c>
      <c r="N1035" t="s">
        <v>25</v>
      </c>
      <c r="O1035" t="s">
        <v>50</v>
      </c>
      <c r="P1035" t="s">
        <v>45</v>
      </c>
      <c r="Q1035" t="s">
        <v>46</v>
      </c>
      <c r="R1035" s="2">
        <v>0.37847222222222221</v>
      </c>
    </row>
    <row r="1036" spans="1:18" x14ac:dyDescent="0.25">
      <c r="A1036" t="s">
        <v>2913</v>
      </c>
      <c r="B1036" t="s">
        <v>1386</v>
      </c>
      <c r="C1036" s="1">
        <v>45174</v>
      </c>
      <c r="D1036" s="1" t="str">
        <f>TEXT(Delivery_data[[#This Row],[Order date]], "MMMM")</f>
        <v>September</v>
      </c>
      <c r="E1036" s="1" t="str">
        <f>TEXT(Delivery_data[[#This Row],[Order date]], "DDDD")</f>
        <v>Tuesday</v>
      </c>
      <c r="F1036" s="2">
        <v>0.69722222222222219</v>
      </c>
      <c r="G1036" t="s">
        <v>48</v>
      </c>
      <c r="H1036" t="str">
        <f>IF(Delivery_data[[#This Row],[Order Status]] = "In Progress", "Backlog", "Complete")</f>
        <v>Backlog</v>
      </c>
      <c r="I1036" t="s">
        <v>108</v>
      </c>
      <c r="J1036" t="s">
        <v>1633</v>
      </c>
      <c r="K1036" t="s">
        <v>24</v>
      </c>
      <c r="L1036">
        <v>159</v>
      </c>
      <c r="M1036">
        <v>24</v>
      </c>
      <c r="N1036" t="s">
        <v>38</v>
      </c>
      <c r="O1036" t="s">
        <v>33</v>
      </c>
      <c r="P1036" t="s">
        <v>27</v>
      </c>
      <c r="Q1036" t="s">
        <v>46</v>
      </c>
      <c r="R1036" s="2">
        <v>0.67986111111111114</v>
      </c>
    </row>
    <row r="1037" spans="1:18" x14ac:dyDescent="0.25">
      <c r="A1037" t="s">
        <v>3051</v>
      </c>
      <c r="B1037" t="s">
        <v>1121</v>
      </c>
      <c r="C1037" s="1">
        <v>45176</v>
      </c>
      <c r="D1037" s="1" t="str">
        <f>TEXT(Delivery_data[[#This Row],[Order date]], "MMMM")</f>
        <v>September</v>
      </c>
      <c r="E1037" s="1" t="str">
        <f>TEXT(Delivery_data[[#This Row],[Order date]], "DDDD")</f>
        <v>Thursday</v>
      </c>
      <c r="F1037" s="2">
        <v>0.64444444444444449</v>
      </c>
      <c r="G1037" t="s">
        <v>22</v>
      </c>
      <c r="H1037" t="str">
        <f>IF(Delivery_data[[#This Row],[Order Status]] = "In Progress", "Backlog", "Complete")</f>
        <v>Complete</v>
      </c>
      <c r="I1037" t="s">
        <v>108</v>
      </c>
      <c r="J1037" t="s">
        <v>1637</v>
      </c>
      <c r="K1037" t="s">
        <v>44</v>
      </c>
      <c r="L1037">
        <v>108</v>
      </c>
      <c r="M1037">
        <v>9</v>
      </c>
      <c r="N1037" t="s">
        <v>25</v>
      </c>
      <c r="O1037" t="s">
        <v>54</v>
      </c>
      <c r="P1037" t="s">
        <v>45</v>
      </c>
      <c r="Q1037" t="s">
        <v>28</v>
      </c>
      <c r="R1037" s="2">
        <v>0.68402777777777779</v>
      </c>
    </row>
    <row r="1038" spans="1:18" x14ac:dyDescent="0.25">
      <c r="A1038" t="s">
        <v>1906</v>
      </c>
      <c r="B1038" t="s">
        <v>407</v>
      </c>
      <c r="C1038" s="1">
        <v>45170</v>
      </c>
      <c r="D1038" s="1" t="str">
        <f>TEXT(Delivery_data[[#This Row],[Order date]], "MMMM")</f>
        <v>September</v>
      </c>
      <c r="E1038" s="1" t="str">
        <f>TEXT(Delivery_data[[#This Row],[Order date]], "DDDD")</f>
        <v>Friday</v>
      </c>
      <c r="F1038" s="2">
        <v>0.52500000000000002</v>
      </c>
      <c r="G1038" t="s">
        <v>48</v>
      </c>
      <c r="H1038" t="str">
        <f>IF(Delivery_data[[#This Row],[Order Status]] = "In Progress", "Backlog", "Complete")</f>
        <v>Backlog</v>
      </c>
      <c r="I1038" t="s">
        <v>408</v>
      </c>
      <c r="J1038" t="s">
        <v>1631</v>
      </c>
      <c r="K1038" t="s">
        <v>61</v>
      </c>
      <c r="L1038">
        <v>163</v>
      </c>
      <c r="M1038">
        <v>10</v>
      </c>
      <c r="N1038" t="s">
        <v>25</v>
      </c>
      <c r="O1038" t="s">
        <v>41</v>
      </c>
      <c r="P1038" t="s">
        <v>27</v>
      </c>
      <c r="Q1038" t="s">
        <v>46</v>
      </c>
      <c r="R1038" s="2">
        <v>0.39374999999999999</v>
      </c>
    </row>
    <row r="1039" spans="1:18" x14ac:dyDescent="0.25">
      <c r="A1039" t="s">
        <v>1917</v>
      </c>
      <c r="B1039" t="s">
        <v>420</v>
      </c>
      <c r="C1039" s="1">
        <v>45173</v>
      </c>
      <c r="D1039" s="1" t="str">
        <f>TEXT(Delivery_data[[#This Row],[Order date]], "MMMM")</f>
        <v>September</v>
      </c>
      <c r="E1039" s="1" t="str">
        <f>TEXT(Delivery_data[[#This Row],[Order date]], "DDDD")</f>
        <v>Monday</v>
      </c>
      <c r="F1039" s="2">
        <v>0.38124999999999998</v>
      </c>
      <c r="G1039" t="s">
        <v>22</v>
      </c>
      <c r="H1039" t="str">
        <f>IF(Delivery_data[[#This Row],[Order Status]] = "In Progress", "Backlog", "Complete")</f>
        <v>Complete</v>
      </c>
      <c r="I1039" t="s">
        <v>408</v>
      </c>
      <c r="J1039" t="s">
        <v>1633</v>
      </c>
      <c r="K1039" t="s">
        <v>44</v>
      </c>
      <c r="L1039">
        <v>159</v>
      </c>
      <c r="M1039">
        <v>6</v>
      </c>
      <c r="N1039" t="s">
        <v>32</v>
      </c>
      <c r="O1039" t="s">
        <v>50</v>
      </c>
      <c r="P1039" t="s">
        <v>34</v>
      </c>
      <c r="Q1039" t="s">
        <v>28</v>
      </c>
      <c r="R1039" s="2">
        <v>0.6020833333333333</v>
      </c>
    </row>
    <row r="1040" spans="1:18" x14ac:dyDescent="0.25">
      <c r="A1040" t="s">
        <v>2016</v>
      </c>
      <c r="B1040" t="s">
        <v>521</v>
      </c>
      <c r="C1040" s="1">
        <v>45173</v>
      </c>
      <c r="D1040" s="1" t="str">
        <f>TEXT(Delivery_data[[#This Row],[Order date]], "MMMM")</f>
        <v>September</v>
      </c>
      <c r="E1040" s="1" t="str">
        <f>TEXT(Delivery_data[[#This Row],[Order date]], "DDDD")</f>
        <v>Monday</v>
      </c>
      <c r="F1040" s="2">
        <v>0.69374999999999998</v>
      </c>
      <c r="G1040" t="s">
        <v>48</v>
      </c>
      <c r="H1040" t="str">
        <f>IF(Delivery_data[[#This Row],[Order Status]] = "In Progress", "Backlog", "Complete")</f>
        <v>Backlog</v>
      </c>
      <c r="I1040" t="s">
        <v>408</v>
      </c>
      <c r="J1040" t="s">
        <v>1631</v>
      </c>
      <c r="K1040" t="s">
        <v>24</v>
      </c>
      <c r="L1040">
        <v>140</v>
      </c>
      <c r="M1040">
        <v>7</v>
      </c>
      <c r="N1040" t="s">
        <v>38</v>
      </c>
      <c r="O1040" t="s">
        <v>41</v>
      </c>
      <c r="P1040" t="s">
        <v>34</v>
      </c>
      <c r="Q1040" t="s">
        <v>51</v>
      </c>
      <c r="R1040" s="2">
        <v>0.43263888888888891</v>
      </c>
    </row>
    <row r="1041" spans="1:18" x14ac:dyDescent="0.25">
      <c r="A1041" t="s">
        <v>2147</v>
      </c>
      <c r="B1041" t="s">
        <v>650</v>
      </c>
      <c r="C1041" s="1">
        <v>45170</v>
      </c>
      <c r="D1041" s="1" t="str">
        <f>TEXT(Delivery_data[[#This Row],[Order date]], "MMMM")</f>
        <v>September</v>
      </c>
      <c r="E1041" s="1" t="str">
        <f>TEXT(Delivery_data[[#This Row],[Order date]], "DDDD")</f>
        <v>Friday</v>
      </c>
      <c r="F1041" s="2">
        <v>0.45555555555555555</v>
      </c>
      <c r="G1041" t="s">
        <v>48</v>
      </c>
      <c r="H1041" t="str">
        <f>IF(Delivery_data[[#This Row],[Order Status]] = "In Progress", "Backlog", "Complete")</f>
        <v>Backlog</v>
      </c>
      <c r="I1041" t="s">
        <v>408</v>
      </c>
      <c r="J1041" t="s">
        <v>1631</v>
      </c>
      <c r="K1041" t="s">
        <v>37</v>
      </c>
      <c r="L1041">
        <v>188</v>
      </c>
      <c r="M1041">
        <v>16</v>
      </c>
      <c r="N1041" t="s">
        <v>25</v>
      </c>
      <c r="O1041" t="s">
        <v>41</v>
      </c>
      <c r="P1041" t="s">
        <v>45</v>
      </c>
      <c r="Q1041" t="s">
        <v>46</v>
      </c>
      <c r="R1041" s="2">
        <v>0.44166666666666665</v>
      </c>
    </row>
    <row r="1042" spans="1:18" x14ac:dyDescent="0.25">
      <c r="A1042" t="s">
        <v>2276</v>
      </c>
      <c r="B1042" t="s">
        <v>776</v>
      </c>
      <c r="C1042" s="1">
        <v>45174</v>
      </c>
      <c r="D1042" s="1" t="str">
        <f>TEXT(Delivery_data[[#This Row],[Order date]], "MMMM")</f>
        <v>September</v>
      </c>
      <c r="E1042" s="1" t="str">
        <f>TEXT(Delivery_data[[#This Row],[Order date]], "DDDD")</f>
        <v>Tuesday</v>
      </c>
      <c r="F1042" s="2">
        <v>0.66597222222222219</v>
      </c>
      <c r="G1042" t="s">
        <v>22</v>
      </c>
      <c r="H1042" t="str">
        <f>IF(Delivery_data[[#This Row],[Order Status]] = "In Progress", "Backlog", "Complete")</f>
        <v>Complete</v>
      </c>
      <c r="I1042" t="s">
        <v>408</v>
      </c>
      <c r="J1042" t="s">
        <v>1633</v>
      </c>
      <c r="K1042" t="s">
        <v>24</v>
      </c>
      <c r="L1042">
        <v>226</v>
      </c>
      <c r="M1042">
        <v>15</v>
      </c>
      <c r="N1042" t="s">
        <v>25</v>
      </c>
      <c r="O1042" t="s">
        <v>54</v>
      </c>
      <c r="P1042" t="s">
        <v>45</v>
      </c>
      <c r="Q1042" t="s">
        <v>51</v>
      </c>
      <c r="R1042" s="2">
        <v>0.45347222222222222</v>
      </c>
    </row>
    <row r="1043" spans="1:18" x14ac:dyDescent="0.25">
      <c r="A1043" t="s">
        <v>2343</v>
      </c>
      <c r="B1043" t="s">
        <v>841</v>
      </c>
      <c r="C1043" s="1">
        <v>45176</v>
      </c>
      <c r="D1043" s="1" t="str">
        <f>TEXT(Delivery_data[[#This Row],[Order date]], "MMMM")</f>
        <v>September</v>
      </c>
      <c r="E1043" s="1" t="str">
        <f>TEXT(Delivery_data[[#This Row],[Order date]], "DDDD")</f>
        <v>Thursday</v>
      </c>
      <c r="F1043" s="2">
        <v>0.50555555555555554</v>
      </c>
      <c r="G1043" t="s">
        <v>48</v>
      </c>
      <c r="H1043" t="str">
        <f>IF(Delivery_data[[#This Row],[Order Status]] = "In Progress", "Backlog", "Complete")</f>
        <v>Backlog</v>
      </c>
      <c r="I1043" t="s">
        <v>408</v>
      </c>
      <c r="J1043" t="s">
        <v>1633</v>
      </c>
      <c r="K1043" t="s">
        <v>24</v>
      </c>
      <c r="L1043">
        <v>151</v>
      </c>
      <c r="M1043">
        <v>7</v>
      </c>
      <c r="N1043" t="s">
        <v>38</v>
      </c>
      <c r="O1043" t="s">
        <v>50</v>
      </c>
      <c r="P1043" t="s">
        <v>27</v>
      </c>
      <c r="Q1043" t="s">
        <v>28</v>
      </c>
      <c r="R1043" s="2">
        <v>0.3972222222222222</v>
      </c>
    </row>
    <row r="1044" spans="1:18" x14ac:dyDescent="0.25">
      <c r="A1044" t="s">
        <v>2434</v>
      </c>
      <c r="B1044" t="s">
        <v>927</v>
      </c>
      <c r="C1044" s="1">
        <v>45170</v>
      </c>
      <c r="D1044" s="1" t="str">
        <f>TEXT(Delivery_data[[#This Row],[Order date]], "MMMM")</f>
        <v>September</v>
      </c>
      <c r="E1044" s="1" t="str">
        <f>TEXT(Delivery_data[[#This Row],[Order date]], "DDDD")</f>
        <v>Friday</v>
      </c>
      <c r="F1044" s="2">
        <v>0.65833333333333333</v>
      </c>
      <c r="G1044" t="s">
        <v>22</v>
      </c>
      <c r="H1044" t="str">
        <f>IF(Delivery_data[[#This Row],[Order Status]] = "In Progress", "Backlog", "Complete")</f>
        <v>Complete</v>
      </c>
      <c r="I1044" t="s">
        <v>408</v>
      </c>
      <c r="J1044" t="s">
        <v>1631</v>
      </c>
      <c r="K1044" t="s">
        <v>24</v>
      </c>
      <c r="L1044">
        <v>235</v>
      </c>
      <c r="M1044">
        <v>7</v>
      </c>
      <c r="N1044" t="s">
        <v>38</v>
      </c>
      <c r="O1044" t="s">
        <v>54</v>
      </c>
      <c r="P1044" t="s">
        <v>45</v>
      </c>
      <c r="Q1044" t="s">
        <v>46</v>
      </c>
      <c r="R1044" s="2">
        <v>0.72638888888888886</v>
      </c>
    </row>
    <row r="1045" spans="1:18" x14ac:dyDescent="0.25">
      <c r="A1045" t="s">
        <v>2578</v>
      </c>
      <c r="B1045" t="s">
        <v>1062</v>
      </c>
      <c r="C1045" s="1">
        <v>45171</v>
      </c>
      <c r="D1045" s="1" t="str">
        <f>TEXT(Delivery_data[[#This Row],[Order date]], "MMMM")</f>
        <v>September</v>
      </c>
      <c r="E1045" s="1" t="str">
        <f>TEXT(Delivery_data[[#This Row],[Order date]], "DDDD")</f>
        <v>Saturday</v>
      </c>
      <c r="F1045" s="2">
        <v>0.46111111111111114</v>
      </c>
      <c r="G1045" t="s">
        <v>22</v>
      </c>
      <c r="H1045" t="str">
        <f>IF(Delivery_data[[#This Row],[Order Status]] = "In Progress", "Backlog", "Complete")</f>
        <v>Complete</v>
      </c>
      <c r="I1045" t="s">
        <v>408</v>
      </c>
      <c r="J1045" t="s">
        <v>1637</v>
      </c>
      <c r="K1045" t="s">
        <v>37</v>
      </c>
      <c r="L1045">
        <v>128</v>
      </c>
      <c r="M1045">
        <v>13</v>
      </c>
      <c r="N1045" t="s">
        <v>38</v>
      </c>
      <c r="O1045" t="s">
        <v>50</v>
      </c>
      <c r="P1045" t="s">
        <v>45</v>
      </c>
      <c r="Q1045" t="s">
        <v>46</v>
      </c>
      <c r="R1045" s="2">
        <v>0.5541666666666667</v>
      </c>
    </row>
    <row r="1046" spans="1:18" x14ac:dyDescent="0.25">
      <c r="A1046" t="s">
        <v>2675</v>
      </c>
      <c r="B1046" t="s">
        <v>1158</v>
      </c>
      <c r="C1046" s="1">
        <v>45172</v>
      </c>
      <c r="D1046" s="1" t="str">
        <f>TEXT(Delivery_data[[#This Row],[Order date]], "MMMM")</f>
        <v>September</v>
      </c>
      <c r="E1046" s="1" t="str">
        <f>TEXT(Delivery_data[[#This Row],[Order date]], "DDDD")</f>
        <v>Sunday</v>
      </c>
      <c r="F1046" s="2">
        <v>0.38541666666666669</v>
      </c>
      <c r="G1046" t="s">
        <v>22</v>
      </c>
      <c r="H1046" t="str">
        <f>IF(Delivery_data[[#This Row],[Order Status]] = "In Progress", "Backlog", "Complete")</f>
        <v>Complete</v>
      </c>
      <c r="I1046" t="s">
        <v>408</v>
      </c>
      <c r="J1046" t="s">
        <v>1633</v>
      </c>
      <c r="K1046" t="s">
        <v>31</v>
      </c>
      <c r="L1046">
        <v>131</v>
      </c>
      <c r="M1046">
        <v>7</v>
      </c>
      <c r="N1046" t="s">
        <v>25</v>
      </c>
      <c r="O1046" t="s">
        <v>41</v>
      </c>
      <c r="P1046" t="s">
        <v>27</v>
      </c>
      <c r="Q1046" t="s">
        <v>46</v>
      </c>
      <c r="R1046" s="2">
        <v>0.43125000000000002</v>
      </c>
    </row>
    <row r="1047" spans="1:18" x14ac:dyDescent="0.25">
      <c r="A1047" t="s">
        <v>2691</v>
      </c>
      <c r="B1047" t="s">
        <v>1172</v>
      </c>
      <c r="C1047" s="1">
        <v>45171</v>
      </c>
      <c r="D1047" s="1" t="str">
        <f>TEXT(Delivery_data[[#This Row],[Order date]], "MMMM")</f>
        <v>September</v>
      </c>
      <c r="E1047" s="1" t="str">
        <f>TEXT(Delivery_data[[#This Row],[Order date]], "DDDD")</f>
        <v>Saturday</v>
      </c>
      <c r="F1047" s="2">
        <v>0.38055555555555554</v>
      </c>
      <c r="G1047" t="s">
        <v>22</v>
      </c>
      <c r="H1047" t="str">
        <f>IF(Delivery_data[[#This Row],[Order Status]] = "In Progress", "Backlog", "Complete")</f>
        <v>Complete</v>
      </c>
      <c r="I1047" t="s">
        <v>408</v>
      </c>
      <c r="J1047" t="s">
        <v>1631</v>
      </c>
      <c r="K1047" t="s">
        <v>31</v>
      </c>
      <c r="L1047">
        <v>183</v>
      </c>
      <c r="M1047">
        <v>14</v>
      </c>
      <c r="N1047" t="s">
        <v>38</v>
      </c>
      <c r="O1047" t="s">
        <v>26</v>
      </c>
      <c r="P1047" t="s">
        <v>34</v>
      </c>
      <c r="Q1047" t="s">
        <v>28</v>
      </c>
      <c r="R1047" s="2">
        <v>0.39027777777777778</v>
      </c>
    </row>
    <row r="1048" spans="1:18" x14ac:dyDescent="0.25">
      <c r="A1048" t="s">
        <v>2705</v>
      </c>
      <c r="B1048" t="s">
        <v>1186</v>
      </c>
      <c r="C1048" s="1">
        <v>45172</v>
      </c>
      <c r="D1048" s="1" t="str">
        <f>TEXT(Delivery_data[[#This Row],[Order date]], "MMMM")</f>
        <v>September</v>
      </c>
      <c r="E1048" s="1" t="str">
        <f>TEXT(Delivery_data[[#This Row],[Order date]], "DDDD")</f>
        <v>Sunday</v>
      </c>
      <c r="F1048" s="2">
        <v>0.53888888888888886</v>
      </c>
      <c r="G1048" t="s">
        <v>48</v>
      </c>
      <c r="H1048" t="str">
        <f>IF(Delivery_data[[#This Row],[Order Status]] = "In Progress", "Backlog", "Complete")</f>
        <v>Backlog</v>
      </c>
      <c r="I1048" t="s">
        <v>408</v>
      </c>
      <c r="J1048" t="s">
        <v>1633</v>
      </c>
      <c r="K1048" t="s">
        <v>44</v>
      </c>
      <c r="L1048">
        <v>110</v>
      </c>
      <c r="M1048">
        <v>13</v>
      </c>
      <c r="N1048" t="s">
        <v>32</v>
      </c>
      <c r="O1048" t="s">
        <v>54</v>
      </c>
      <c r="P1048" t="s">
        <v>27</v>
      </c>
      <c r="Q1048" t="s">
        <v>46</v>
      </c>
      <c r="R1048" s="2">
        <v>0.57916666666666672</v>
      </c>
    </row>
    <row r="1049" spans="1:18" x14ac:dyDescent="0.25">
      <c r="A1049" t="s">
        <v>2742</v>
      </c>
      <c r="B1049" t="s">
        <v>1222</v>
      </c>
      <c r="C1049" s="1">
        <v>45177</v>
      </c>
      <c r="D1049" s="1" t="str">
        <f>TEXT(Delivery_data[[#This Row],[Order date]], "MMMM")</f>
        <v>September</v>
      </c>
      <c r="E1049" s="1" t="str">
        <f>TEXT(Delivery_data[[#This Row],[Order date]], "DDDD")</f>
        <v>Friday</v>
      </c>
      <c r="F1049" s="2">
        <v>0.45069444444444445</v>
      </c>
      <c r="G1049" t="s">
        <v>22</v>
      </c>
      <c r="H1049" t="str">
        <f>IF(Delivery_data[[#This Row],[Order Status]] = "In Progress", "Backlog", "Complete")</f>
        <v>Complete</v>
      </c>
      <c r="I1049" t="s">
        <v>408</v>
      </c>
      <c r="J1049" t="s">
        <v>1633</v>
      </c>
      <c r="K1049" t="s">
        <v>37</v>
      </c>
      <c r="L1049">
        <v>238</v>
      </c>
      <c r="M1049">
        <v>16</v>
      </c>
      <c r="N1049" t="s">
        <v>38</v>
      </c>
      <c r="O1049" t="s">
        <v>50</v>
      </c>
      <c r="P1049" t="s">
        <v>45</v>
      </c>
      <c r="Q1049" t="s">
        <v>51</v>
      </c>
      <c r="R1049" s="2">
        <v>0.6694444444444444</v>
      </c>
    </row>
    <row r="1050" spans="1:18" x14ac:dyDescent="0.25">
      <c r="A1050" t="s">
        <v>3080</v>
      </c>
      <c r="B1050" t="s">
        <v>1198</v>
      </c>
      <c r="C1050" s="1">
        <v>45173</v>
      </c>
      <c r="D1050" s="1" t="str">
        <f>TEXT(Delivery_data[[#This Row],[Order date]], "MMMM")</f>
        <v>September</v>
      </c>
      <c r="E1050" s="1" t="str">
        <f>TEXT(Delivery_data[[#This Row],[Order date]], "DDDD")</f>
        <v>Monday</v>
      </c>
      <c r="F1050" s="2">
        <v>0.53472222222222221</v>
      </c>
      <c r="G1050" t="s">
        <v>48</v>
      </c>
      <c r="H1050" t="str">
        <f>IF(Delivery_data[[#This Row],[Order Status]] = "In Progress", "Backlog", "Complete")</f>
        <v>Backlog</v>
      </c>
      <c r="I1050" t="s">
        <v>408</v>
      </c>
      <c r="J1050" t="s">
        <v>1631</v>
      </c>
      <c r="K1050" t="s">
        <v>44</v>
      </c>
      <c r="L1050">
        <v>232</v>
      </c>
      <c r="M1050">
        <v>5</v>
      </c>
      <c r="N1050" t="s">
        <v>25</v>
      </c>
      <c r="O1050" t="s">
        <v>50</v>
      </c>
      <c r="P1050" t="s">
        <v>27</v>
      </c>
      <c r="Q1050" t="s">
        <v>51</v>
      </c>
      <c r="R1050" s="2">
        <v>0.61805555555555558</v>
      </c>
    </row>
    <row r="1051" spans="1:18" x14ac:dyDescent="0.25">
      <c r="A1051" t="s">
        <v>1635</v>
      </c>
      <c r="B1051" t="s">
        <v>39</v>
      </c>
      <c r="C1051" s="1">
        <v>45172</v>
      </c>
      <c r="D1051" s="1" t="str">
        <f>TEXT(Delivery_data[[#This Row],[Order date]], "MMMM")</f>
        <v>September</v>
      </c>
      <c r="E1051" s="1" t="str">
        <f>TEXT(Delivery_data[[#This Row],[Order date]], "DDDD")</f>
        <v>Sunday</v>
      </c>
      <c r="F1051" s="2">
        <v>0.6118055555555556</v>
      </c>
      <c r="G1051" t="s">
        <v>22</v>
      </c>
      <c r="H1051" t="str">
        <f>IF(Delivery_data[[#This Row],[Order Status]] = "In Progress", "Backlog", "Complete")</f>
        <v>Complete</v>
      </c>
      <c r="I1051" t="s">
        <v>40</v>
      </c>
      <c r="J1051" t="s">
        <v>1633</v>
      </c>
      <c r="K1051" t="s">
        <v>31</v>
      </c>
      <c r="L1051">
        <v>143</v>
      </c>
      <c r="M1051">
        <v>17</v>
      </c>
      <c r="N1051" t="s">
        <v>25</v>
      </c>
      <c r="O1051" t="s">
        <v>41</v>
      </c>
      <c r="P1051" t="s">
        <v>34</v>
      </c>
      <c r="Q1051" t="s">
        <v>28</v>
      </c>
      <c r="R1051" s="2">
        <v>0.64097222222222228</v>
      </c>
    </row>
    <row r="1052" spans="1:18" x14ac:dyDescent="0.25">
      <c r="A1052" t="s">
        <v>1679</v>
      </c>
      <c r="B1052" t="s">
        <v>128</v>
      </c>
      <c r="C1052" s="1">
        <v>45172</v>
      </c>
      <c r="D1052" s="1" t="str">
        <f>TEXT(Delivery_data[[#This Row],[Order date]], "MMMM")</f>
        <v>September</v>
      </c>
      <c r="E1052" s="1" t="str">
        <f>TEXT(Delivery_data[[#This Row],[Order date]], "DDDD")</f>
        <v>Sunday</v>
      </c>
      <c r="F1052" s="2">
        <v>0.49027777777777776</v>
      </c>
      <c r="G1052" t="s">
        <v>22</v>
      </c>
      <c r="H1052" t="str">
        <f>IF(Delivery_data[[#This Row],[Order Status]] = "In Progress", "Backlog", "Complete")</f>
        <v>Complete</v>
      </c>
      <c r="I1052" t="s">
        <v>40</v>
      </c>
      <c r="J1052" t="s">
        <v>1631</v>
      </c>
      <c r="K1052" t="s">
        <v>44</v>
      </c>
      <c r="L1052">
        <v>123</v>
      </c>
      <c r="M1052">
        <v>14</v>
      </c>
      <c r="N1052" t="s">
        <v>25</v>
      </c>
      <c r="O1052" t="s">
        <v>26</v>
      </c>
      <c r="P1052" t="s">
        <v>45</v>
      </c>
      <c r="Q1052" t="s">
        <v>28</v>
      </c>
      <c r="R1052" s="2">
        <v>0.55138888888888893</v>
      </c>
    </row>
    <row r="1053" spans="1:18" x14ac:dyDescent="0.25">
      <c r="A1053" t="s">
        <v>1811</v>
      </c>
      <c r="B1053" t="s">
        <v>307</v>
      </c>
      <c r="C1053" s="1">
        <v>45176</v>
      </c>
      <c r="D1053" s="1" t="str">
        <f>TEXT(Delivery_data[[#This Row],[Order date]], "MMMM")</f>
        <v>September</v>
      </c>
      <c r="E1053" s="1" t="str">
        <f>TEXT(Delivery_data[[#This Row],[Order date]], "DDDD")</f>
        <v>Thursday</v>
      </c>
      <c r="F1053" s="2">
        <v>0.37986111111111109</v>
      </c>
      <c r="G1053" t="s">
        <v>22</v>
      </c>
      <c r="H1053" t="str">
        <f>IF(Delivery_data[[#This Row],[Order Status]] = "In Progress", "Backlog", "Complete")</f>
        <v>Complete</v>
      </c>
      <c r="I1053" t="s">
        <v>40</v>
      </c>
      <c r="J1053" t="s">
        <v>1631</v>
      </c>
      <c r="K1053" t="s">
        <v>61</v>
      </c>
      <c r="L1053">
        <v>109</v>
      </c>
      <c r="M1053">
        <v>22</v>
      </c>
      <c r="N1053" t="s">
        <v>32</v>
      </c>
      <c r="O1053" t="s">
        <v>50</v>
      </c>
      <c r="P1053" t="s">
        <v>45</v>
      </c>
      <c r="Q1053" t="s">
        <v>28</v>
      </c>
      <c r="R1053" s="2">
        <v>0.65763888888888888</v>
      </c>
    </row>
    <row r="1054" spans="1:18" x14ac:dyDescent="0.25">
      <c r="A1054" t="s">
        <v>1870</v>
      </c>
      <c r="B1054" t="s">
        <v>369</v>
      </c>
      <c r="C1054" s="1">
        <v>45171</v>
      </c>
      <c r="D1054" s="1" t="str">
        <f>TEXT(Delivery_data[[#This Row],[Order date]], "MMMM")</f>
        <v>September</v>
      </c>
      <c r="E1054" s="1" t="str">
        <f>TEXT(Delivery_data[[#This Row],[Order date]], "DDDD")</f>
        <v>Saturday</v>
      </c>
      <c r="F1054" s="2">
        <v>0.53333333333333333</v>
      </c>
      <c r="G1054" t="s">
        <v>48</v>
      </c>
      <c r="H1054" t="str">
        <f>IF(Delivery_data[[#This Row],[Order Status]] = "In Progress", "Backlog", "Complete")</f>
        <v>Backlog</v>
      </c>
      <c r="I1054" t="s">
        <v>40</v>
      </c>
      <c r="J1054" t="s">
        <v>1633</v>
      </c>
      <c r="K1054" t="s">
        <v>31</v>
      </c>
      <c r="L1054">
        <v>111</v>
      </c>
      <c r="M1054">
        <v>19</v>
      </c>
      <c r="N1054" t="s">
        <v>25</v>
      </c>
      <c r="O1054" t="s">
        <v>54</v>
      </c>
      <c r="P1054" t="s">
        <v>34</v>
      </c>
      <c r="Q1054" t="s">
        <v>51</v>
      </c>
      <c r="R1054" s="2">
        <v>0.73055555555555551</v>
      </c>
    </row>
    <row r="1055" spans="1:18" x14ac:dyDescent="0.25">
      <c r="A1055" t="s">
        <v>1921</v>
      </c>
      <c r="B1055" t="s">
        <v>424</v>
      </c>
      <c r="C1055" s="1">
        <v>45172</v>
      </c>
      <c r="D1055" s="1" t="str">
        <f>TEXT(Delivery_data[[#This Row],[Order date]], "MMMM")</f>
        <v>September</v>
      </c>
      <c r="E1055" s="1" t="str">
        <f>TEXT(Delivery_data[[#This Row],[Order date]], "DDDD")</f>
        <v>Sunday</v>
      </c>
      <c r="F1055" s="2">
        <v>0.56041666666666667</v>
      </c>
      <c r="G1055" t="s">
        <v>48</v>
      </c>
      <c r="H1055" t="str">
        <f>IF(Delivery_data[[#This Row],[Order Status]] = "In Progress", "Backlog", "Complete")</f>
        <v>Backlog</v>
      </c>
      <c r="I1055" t="s">
        <v>40</v>
      </c>
      <c r="J1055" t="s">
        <v>1633</v>
      </c>
      <c r="K1055" t="s">
        <v>61</v>
      </c>
      <c r="L1055">
        <v>145</v>
      </c>
      <c r="M1055">
        <v>13</v>
      </c>
      <c r="N1055" t="s">
        <v>32</v>
      </c>
      <c r="O1055" t="s">
        <v>54</v>
      </c>
      <c r="P1055" t="s">
        <v>34</v>
      </c>
      <c r="Q1055" t="s">
        <v>51</v>
      </c>
      <c r="R1055" s="2">
        <v>0.37291666666666667</v>
      </c>
    </row>
    <row r="1056" spans="1:18" x14ac:dyDescent="0.25">
      <c r="A1056" t="s">
        <v>1945</v>
      </c>
      <c r="B1056" t="s">
        <v>449</v>
      </c>
      <c r="C1056" s="1">
        <v>45170</v>
      </c>
      <c r="D1056" s="1" t="str">
        <f>TEXT(Delivery_data[[#This Row],[Order date]], "MMMM")</f>
        <v>September</v>
      </c>
      <c r="E1056" s="1" t="str">
        <f>TEXT(Delivery_data[[#This Row],[Order date]], "DDDD")</f>
        <v>Friday</v>
      </c>
      <c r="F1056" s="2">
        <v>0.6743055555555556</v>
      </c>
      <c r="G1056" t="s">
        <v>22</v>
      </c>
      <c r="H1056" t="str">
        <f>IF(Delivery_data[[#This Row],[Order Status]] = "In Progress", "Backlog", "Complete")</f>
        <v>Complete</v>
      </c>
      <c r="I1056" t="s">
        <v>40</v>
      </c>
      <c r="J1056" t="s">
        <v>1633</v>
      </c>
      <c r="K1056" t="s">
        <v>31</v>
      </c>
      <c r="L1056">
        <v>182</v>
      </c>
      <c r="M1056">
        <v>15</v>
      </c>
      <c r="N1056" t="s">
        <v>32</v>
      </c>
      <c r="O1056" t="s">
        <v>33</v>
      </c>
      <c r="P1056" t="s">
        <v>27</v>
      </c>
      <c r="Q1056" t="s">
        <v>28</v>
      </c>
      <c r="R1056" s="2">
        <v>0.59305555555555556</v>
      </c>
    </row>
    <row r="1057" spans="1:18" x14ac:dyDescent="0.25">
      <c r="A1057" t="s">
        <v>1980</v>
      </c>
      <c r="B1057" t="s">
        <v>485</v>
      </c>
      <c r="C1057" s="1">
        <v>45172</v>
      </c>
      <c r="D1057" s="1" t="str">
        <f>TEXT(Delivery_data[[#This Row],[Order date]], "MMMM")</f>
        <v>September</v>
      </c>
      <c r="E1057" s="1" t="str">
        <f>TEXT(Delivery_data[[#This Row],[Order date]], "DDDD")</f>
        <v>Sunday</v>
      </c>
      <c r="F1057" s="2">
        <v>0.52361111111111114</v>
      </c>
      <c r="G1057" t="s">
        <v>22</v>
      </c>
      <c r="H1057" t="str">
        <f>IF(Delivery_data[[#This Row],[Order Status]] = "In Progress", "Backlog", "Complete")</f>
        <v>Complete</v>
      </c>
      <c r="I1057" t="s">
        <v>40</v>
      </c>
      <c r="J1057" t="s">
        <v>1633</v>
      </c>
      <c r="K1057" t="s">
        <v>44</v>
      </c>
      <c r="L1057">
        <v>156</v>
      </c>
      <c r="M1057">
        <v>1</v>
      </c>
      <c r="N1057" t="s">
        <v>38</v>
      </c>
      <c r="O1057" t="s">
        <v>33</v>
      </c>
      <c r="P1057" t="s">
        <v>45</v>
      </c>
      <c r="Q1057" t="s">
        <v>46</v>
      </c>
      <c r="R1057" s="2">
        <v>0.6743055555555556</v>
      </c>
    </row>
    <row r="1058" spans="1:18" x14ac:dyDescent="0.25">
      <c r="A1058" t="s">
        <v>2081</v>
      </c>
      <c r="B1058" t="s">
        <v>586</v>
      </c>
      <c r="C1058" s="1">
        <v>45176</v>
      </c>
      <c r="D1058" s="1" t="str">
        <f>TEXT(Delivery_data[[#This Row],[Order date]], "MMMM")</f>
        <v>September</v>
      </c>
      <c r="E1058" s="1" t="str">
        <f>TEXT(Delivery_data[[#This Row],[Order date]], "DDDD")</f>
        <v>Thursday</v>
      </c>
      <c r="F1058" s="2">
        <v>0.59861111111111109</v>
      </c>
      <c r="G1058" t="s">
        <v>22</v>
      </c>
      <c r="H1058" t="str">
        <f>IF(Delivery_data[[#This Row],[Order Status]] = "In Progress", "Backlog", "Complete")</f>
        <v>Complete</v>
      </c>
      <c r="I1058" t="s">
        <v>40</v>
      </c>
      <c r="J1058" t="s">
        <v>1633</v>
      </c>
      <c r="K1058" t="s">
        <v>61</v>
      </c>
      <c r="L1058">
        <v>176</v>
      </c>
      <c r="M1058">
        <v>16</v>
      </c>
      <c r="N1058" t="s">
        <v>32</v>
      </c>
      <c r="O1058" t="s">
        <v>33</v>
      </c>
      <c r="P1058" t="s">
        <v>45</v>
      </c>
      <c r="Q1058" t="s">
        <v>28</v>
      </c>
      <c r="R1058" s="2">
        <v>0.47638888888888886</v>
      </c>
    </row>
    <row r="1059" spans="1:18" x14ac:dyDescent="0.25">
      <c r="A1059" t="s">
        <v>2098</v>
      </c>
      <c r="B1059" t="s">
        <v>603</v>
      </c>
      <c r="C1059" s="1">
        <v>45173</v>
      </c>
      <c r="D1059" s="1" t="str">
        <f>TEXT(Delivery_data[[#This Row],[Order date]], "MMMM")</f>
        <v>September</v>
      </c>
      <c r="E1059" s="1" t="str">
        <f>TEXT(Delivery_data[[#This Row],[Order date]], "DDDD")</f>
        <v>Monday</v>
      </c>
      <c r="F1059" s="2">
        <v>0.6166666666666667</v>
      </c>
      <c r="G1059" t="s">
        <v>48</v>
      </c>
      <c r="H1059" t="str">
        <f>IF(Delivery_data[[#This Row],[Order Status]] = "In Progress", "Backlog", "Complete")</f>
        <v>Backlog</v>
      </c>
      <c r="I1059" t="s">
        <v>40</v>
      </c>
      <c r="J1059" t="s">
        <v>1631</v>
      </c>
      <c r="K1059" t="s">
        <v>31</v>
      </c>
      <c r="L1059">
        <v>178</v>
      </c>
      <c r="M1059">
        <v>2</v>
      </c>
      <c r="N1059" t="s">
        <v>25</v>
      </c>
      <c r="O1059" t="s">
        <v>50</v>
      </c>
      <c r="P1059" t="s">
        <v>34</v>
      </c>
      <c r="Q1059" t="s">
        <v>46</v>
      </c>
      <c r="R1059" s="2">
        <v>0.64375000000000004</v>
      </c>
    </row>
    <row r="1060" spans="1:18" x14ac:dyDescent="0.25">
      <c r="A1060" t="s">
        <v>2165</v>
      </c>
      <c r="B1060" t="s">
        <v>666</v>
      </c>
      <c r="C1060" s="1">
        <v>45176</v>
      </c>
      <c r="D1060" s="1" t="str">
        <f>TEXT(Delivery_data[[#This Row],[Order date]], "MMMM")</f>
        <v>September</v>
      </c>
      <c r="E1060" s="1" t="str">
        <f>TEXT(Delivery_data[[#This Row],[Order date]], "DDDD")</f>
        <v>Thursday</v>
      </c>
      <c r="F1060" s="2">
        <v>0.66180555555555554</v>
      </c>
      <c r="G1060" t="s">
        <v>48</v>
      </c>
      <c r="H1060" t="str">
        <f>IF(Delivery_data[[#This Row],[Order Status]] = "In Progress", "Backlog", "Complete")</f>
        <v>Backlog</v>
      </c>
      <c r="I1060" t="s">
        <v>40</v>
      </c>
      <c r="J1060" t="s">
        <v>1633</v>
      </c>
      <c r="K1060" t="s">
        <v>31</v>
      </c>
      <c r="L1060">
        <v>208</v>
      </c>
      <c r="M1060">
        <v>10</v>
      </c>
      <c r="N1060" t="s">
        <v>38</v>
      </c>
      <c r="O1060" t="s">
        <v>33</v>
      </c>
      <c r="P1060" t="s">
        <v>34</v>
      </c>
      <c r="Q1060" t="s">
        <v>28</v>
      </c>
      <c r="R1060" s="2">
        <v>0.39027777777777778</v>
      </c>
    </row>
    <row r="1061" spans="1:18" x14ac:dyDescent="0.25">
      <c r="A1061" t="s">
        <v>2263</v>
      </c>
      <c r="B1061" t="s">
        <v>763</v>
      </c>
      <c r="C1061" s="1">
        <v>45172</v>
      </c>
      <c r="D1061" s="1" t="str">
        <f>TEXT(Delivery_data[[#This Row],[Order date]], "MMMM")</f>
        <v>September</v>
      </c>
      <c r="E1061" s="1" t="str">
        <f>TEXT(Delivery_data[[#This Row],[Order date]], "DDDD")</f>
        <v>Sunday</v>
      </c>
      <c r="F1061" s="2">
        <v>0.57986111111111116</v>
      </c>
      <c r="G1061" t="s">
        <v>22</v>
      </c>
      <c r="H1061" t="str">
        <f>IF(Delivery_data[[#This Row],[Order Status]] = "In Progress", "Backlog", "Complete")</f>
        <v>Complete</v>
      </c>
      <c r="I1061" t="s">
        <v>40</v>
      </c>
      <c r="J1061" t="s">
        <v>1633</v>
      </c>
      <c r="K1061" t="s">
        <v>61</v>
      </c>
      <c r="L1061">
        <v>116</v>
      </c>
      <c r="M1061">
        <v>1</v>
      </c>
      <c r="N1061" t="s">
        <v>25</v>
      </c>
      <c r="O1061" t="s">
        <v>54</v>
      </c>
      <c r="P1061" t="s">
        <v>27</v>
      </c>
      <c r="Q1061" t="s">
        <v>28</v>
      </c>
      <c r="R1061" s="2">
        <v>0.43611111111111112</v>
      </c>
    </row>
    <row r="1062" spans="1:18" x14ac:dyDescent="0.25">
      <c r="A1062" t="s">
        <v>2267</v>
      </c>
      <c r="B1062" t="s">
        <v>767</v>
      </c>
      <c r="C1062" s="1">
        <v>45173</v>
      </c>
      <c r="D1062" s="1" t="str">
        <f>TEXT(Delivery_data[[#This Row],[Order date]], "MMMM")</f>
        <v>September</v>
      </c>
      <c r="E1062" s="1" t="str">
        <f>TEXT(Delivery_data[[#This Row],[Order date]], "DDDD")</f>
        <v>Monday</v>
      </c>
      <c r="F1062" s="2">
        <v>0.60277777777777775</v>
      </c>
      <c r="G1062" t="s">
        <v>48</v>
      </c>
      <c r="H1062" t="str">
        <f>IF(Delivery_data[[#This Row],[Order Status]] = "In Progress", "Backlog", "Complete")</f>
        <v>Backlog</v>
      </c>
      <c r="I1062" t="s">
        <v>40</v>
      </c>
      <c r="J1062" t="s">
        <v>1631</v>
      </c>
      <c r="K1062" t="s">
        <v>44</v>
      </c>
      <c r="L1062">
        <v>129</v>
      </c>
      <c r="M1062">
        <v>24</v>
      </c>
      <c r="N1062" t="s">
        <v>32</v>
      </c>
      <c r="O1062" t="s">
        <v>54</v>
      </c>
      <c r="P1062" t="s">
        <v>27</v>
      </c>
      <c r="Q1062" t="s">
        <v>51</v>
      </c>
      <c r="R1062" s="2">
        <v>0.39166666666666666</v>
      </c>
    </row>
    <row r="1063" spans="1:18" x14ac:dyDescent="0.25">
      <c r="A1063" t="s">
        <v>2355</v>
      </c>
      <c r="B1063" t="s">
        <v>852</v>
      </c>
      <c r="C1063" s="1">
        <v>45171</v>
      </c>
      <c r="D1063" s="1" t="str">
        <f>TEXT(Delivery_data[[#This Row],[Order date]], "MMMM")</f>
        <v>September</v>
      </c>
      <c r="E1063" s="1" t="str">
        <f>TEXT(Delivery_data[[#This Row],[Order date]], "DDDD")</f>
        <v>Saturday</v>
      </c>
      <c r="F1063" s="2">
        <v>0.33958333333333335</v>
      </c>
      <c r="G1063" t="s">
        <v>48</v>
      </c>
      <c r="H1063" t="str">
        <f>IF(Delivery_data[[#This Row],[Order Status]] = "In Progress", "Backlog", "Complete")</f>
        <v>Backlog</v>
      </c>
      <c r="I1063" t="s">
        <v>40</v>
      </c>
      <c r="J1063" t="s">
        <v>1631</v>
      </c>
      <c r="K1063" t="s">
        <v>31</v>
      </c>
      <c r="L1063">
        <v>112</v>
      </c>
      <c r="M1063">
        <v>1</v>
      </c>
      <c r="N1063" t="s">
        <v>38</v>
      </c>
      <c r="O1063" t="s">
        <v>41</v>
      </c>
      <c r="P1063" t="s">
        <v>45</v>
      </c>
      <c r="Q1063" t="s">
        <v>28</v>
      </c>
      <c r="R1063" s="2">
        <v>0.68888888888888888</v>
      </c>
    </row>
    <row r="1064" spans="1:18" x14ac:dyDescent="0.25">
      <c r="A1064" t="s">
        <v>2545</v>
      </c>
      <c r="B1064" t="s">
        <v>1031</v>
      </c>
      <c r="C1064" s="1">
        <v>45172</v>
      </c>
      <c r="D1064" s="1" t="str">
        <f>TEXT(Delivery_data[[#This Row],[Order date]], "MMMM")</f>
        <v>September</v>
      </c>
      <c r="E1064" s="1" t="str">
        <f>TEXT(Delivery_data[[#This Row],[Order date]], "DDDD")</f>
        <v>Sunday</v>
      </c>
      <c r="F1064" s="2">
        <v>0.69305555555555554</v>
      </c>
      <c r="G1064" t="s">
        <v>48</v>
      </c>
      <c r="H1064" t="str">
        <f>IF(Delivery_data[[#This Row],[Order Status]] = "In Progress", "Backlog", "Complete")</f>
        <v>Backlog</v>
      </c>
      <c r="I1064" t="s">
        <v>40</v>
      </c>
      <c r="J1064" t="s">
        <v>1631</v>
      </c>
      <c r="K1064" t="s">
        <v>61</v>
      </c>
      <c r="L1064">
        <v>68</v>
      </c>
      <c r="M1064">
        <v>14</v>
      </c>
      <c r="N1064" t="s">
        <v>25</v>
      </c>
      <c r="O1064" t="s">
        <v>50</v>
      </c>
      <c r="P1064" t="s">
        <v>27</v>
      </c>
      <c r="Q1064" t="s">
        <v>28</v>
      </c>
      <c r="R1064" s="2">
        <v>0.67708333333333337</v>
      </c>
    </row>
    <row r="1065" spans="1:18" x14ac:dyDescent="0.25">
      <c r="A1065" t="s">
        <v>2620</v>
      </c>
      <c r="B1065" t="s">
        <v>1103</v>
      </c>
      <c r="C1065" s="1">
        <v>45171</v>
      </c>
      <c r="D1065" s="1" t="str">
        <f>TEXT(Delivery_data[[#This Row],[Order date]], "MMMM")</f>
        <v>September</v>
      </c>
      <c r="E1065" s="1" t="str">
        <f>TEXT(Delivery_data[[#This Row],[Order date]], "DDDD")</f>
        <v>Saturday</v>
      </c>
      <c r="F1065" s="2">
        <v>0.5083333333333333</v>
      </c>
      <c r="G1065" t="s">
        <v>48</v>
      </c>
      <c r="H1065" t="str">
        <f>IF(Delivery_data[[#This Row],[Order Status]] = "In Progress", "Backlog", "Complete")</f>
        <v>Backlog</v>
      </c>
      <c r="I1065" t="s">
        <v>40</v>
      </c>
      <c r="J1065" t="s">
        <v>1633</v>
      </c>
      <c r="K1065" t="s">
        <v>31</v>
      </c>
      <c r="L1065">
        <v>131</v>
      </c>
      <c r="M1065">
        <v>21</v>
      </c>
      <c r="N1065" t="s">
        <v>32</v>
      </c>
      <c r="O1065" t="s">
        <v>26</v>
      </c>
      <c r="P1065" t="s">
        <v>34</v>
      </c>
      <c r="Q1065" t="s">
        <v>28</v>
      </c>
      <c r="R1065" s="2">
        <v>0.36041666666666666</v>
      </c>
    </row>
    <row r="1066" spans="1:18" x14ac:dyDescent="0.25">
      <c r="A1066" t="s">
        <v>2918</v>
      </c>
      <c r="B1066" t="s">
        <v>1391</v>
      </c>
      <c r="C1066" s="1">
        <v>45172</v>
      </c>
      <c r="D1066" s="1" t="str">
        <f>TEXT(Delivery_data[[#This Row],[Order date]], "MMMM")</f>
        <v>September</v>
      </c>
      <c r="E1066" s="1" t="str">
        <f>TEXT(Delivery_data[[#This Row],[Order date]], "DDDD")</f>
        <v>Sunday</v>
      </c>
      <c r="F1066" s="2">
        <v>0.68333333333333335</v>
      </c>
      <c r="G1066" t="s">
        <v>22</v>
      </c>
      <c r="H1066" t="str">
        <f>IF(Delivery_data[[#This Row],[Order Status]] = "In Progress", "Backlog", "Complete")</f>
        <v>Complete</v>
      </c>
      <c r="I1066" t="s">
        <v>40</v>
      </c>
      <c r="J1066" t="s">
        <v>1633</v>
      </c>
      <c r="K1066" t="s">
        <v>37</v>
      </c>
      <c r="L1066">
        <v>105</v>
      </c>
      <c r="M1066">
        <v>20</v>
      </c>
      <c r="N1066" t="s">
        <v>25</v>
      </c>
      <c r="O1066" t="s">
        <v>50</v>
      </c>
      <c r="P1066" t="s">
        <v>27</v>
      </c>
      <c r="Q1066" t="s">
        <v>28</v>
      </c>
      <c r="R1066" s="2">
        <v>0.40902777777777777</v>
      </c>
    </row>
    <row r="1067" spans="1:18" x14ac:dyDescent="0.25">
      <c r="A1067" t="s">
        <v>2987</v>
      </c>
      <c r="B1067" t="s">
        <v>1460</v>
      </c>
      <c r="C1067" s="1">
        <v>45170</v>
      </c>
      <c r="D1067" s="1" t="str">
        <f>TEXT(Delivery_data[[#This Row],[Order date]], "MMMM")</f>
        <v>September</v>
      </c>
      <c r="E1067" s="1" t="str">
        <f>TEXT(Delivery_data[[#This Row],[Order date]], "DDDD")</f>
        <v>Friday</v>
      </c>
      <c r="F1067" s="2">
        <v>0.40138888888888891</v>
      </c>
      <c r="G1067" t="s">
        <v>48</v>
      </c>
      <c r="H1067" t="str">
        <f>IF(Delivery_data[[#This Row],[Order Status]] = "In Progress", "Backlog", "Complete")</f>
        <v>Backlog</v>
      </c>
      <c r="I1067" t="s">
        <v>40</v>
      </c>
      <c r="J1067" t="s">
        <v>1637</v>
      </c>
      <c r="K1067" t="s">
        <v>31</v>
      </c>
      <c r="L1067">
        <v>141</v>
      </c>
      <c r="M1067">
        <v>2</v>
      </c>
      <c r="N1067" t="s">
        <v>25</v>
      </c>
      <c r="O1067" t="s">
        <v>50</v>
      </c>
      <c r="P1067" t="s">
        <v>27</v>
      </c>
      <c r="Q1067" t="s">
        <v>28</v>
      </c>
      <c r="R1067" s="2">
        <v>0.42777777777777776</v>
      </c>
    </row>
    <row r="1068" spans="1:18" x14ac:dyDescent="0.25">
      <c r="A1068" t="s">
        <v>1756</v>
      </c>
      <c r="B1068" t="s">
        <v>238</v>
      </c>
      <c r="C1068" s="1">
        <v>45172</v>
      </c>
      <c r="D1068" s="1" t="str">
        <f>TEXT(Delivery_data[[#This Row],[Order date]], "MMMM")</f>
        <v>September</v>
      </c>
      <c r="E1068" s="1" t="str">
        <f>TEXT(Delivery_data[[#This Row],[Order date]], "DDDD")</f>
        <v>Sunday</v>
      </c>
      <c r="F1068" s="2">
        <v>0.62222222222222223</v>
      </c>
      <c r="G1068" t="s">
        <v>22</v>
      </c>
      <c r="H1068" t="str">
        <f>IF(Delivery_data[[#This Row],[Order Status]] = "In Progress", "Backlog", "Complete")</f>
        <v>Complete</v>
      </c>
      <c r="I1068" t="s">
        <v>239</v>
      </c>
      <c r="J1068" t="s">
        <v>1631</v>
      </c>
      <c r="K1068" t="s">
        <v>31</v>
      </c>
      <c r="L1068">
        <v>83</v>
      </c>
      <c r="M1068">
        <v>2</v>
      </c>
      <c r="N1068" t="s">
        <v>32</v>
      </c>
      <c r="O1068" t="s">
        <v>41</v>
      </c>
      <c r="P1068" t="s">
        <v>27</v>
      </c>
      <c r="Q1068" t="s">
        <v>51</v>
      </c>
      <c r="R1068" s="2">
        <v>0.61250000000000004</v>
      </c>
    </row>
    <row r="1069" spans="1:18" x14ac:dyDescent="0.25">
      <c r="A1069" t="s">
        <v>1778</v>
      </c>
      <c r="B1069" t="s">
        <v>264</v>
      </c>
      <c r="C1069" s="1">
        <v>45173</v>
      </c>
      <c r="D1069" s="1" t="str">
        <f>TEXT(Delivery_data[[#This Row],[Order date]], "MMMM")</f>
        <v>September</v>
      </c>
      <c r="E1069" s="1" t="str">
        <f>TEXT(Delivery_data[[#This Row],[Order date]], "DDDD")</f>
        <v>Monday</v>
      </c>
      <c r="F1069" s="2">
        <v>0.54722222222222228</v>
      </c>
      <c r="G1069" t="s">
        <v>48</v>
      </c>
      <c r="H1069" t="str">
        <f>IF(Delivery_data[[#This Row],[Order Status]] = "In Progress", "Backlog", "Complete")</f>
        <v>Backlog</v>
      </c>
      <c r="I1069" t="s">
        <v>239</v>
      </c>
      <c r="J1069" t="s">
        <v>1637</v>
      </c>
      <c r="K1069" t="s">
        <v>44</v>
      </c>
      <c r="L1069">
        <v>172</v>
      </c>
      <c r="M1069">
        <v>15</v>
      </c>
      <c r="N1069" t="s">
        <v>38</v>
      </c>
      <c r="O1069" t="s">
        <v>26</v>
      </c>
      <c r="P1069" t="s">
        <v>34</v>
      </c>
      <c r="Q1069" t="s">
        <v>28</v>
      </c>
      <c r="R1069" s="2">
        <v>0.58194444444444449</v>
      </c>
    </row>
    <row r="1070" spans="1:18" x14ac:dyDescent="0.25">
      <c r="A1070" t="s">
        <v>1855</v>
      </c>
      <c r="B1070" t="s">
        <v>354</v>
      </c>
      <c r="C1070" s="1">
        <v>45170</v>
      </c>
      <c r="D1070" s="1" t="str">
        <f>TEXT(Delivery_data[[#This Row],[Order date]], "MMMM")</f>
        <v>September</v>
      </c>
      <c r="E1070" s="1" t="str">
        <f>TEXT(Delivery_data[[#This Row],[Order date]], "DDDD")</f>
        <v>Friday</v>
      </c>
      <c r="F1070" s="2">
        <v>0.34375</v>
      </c>
      <c r="G1070" t="s">
        <v>22</v>
      </c>
      <c r="H1070" t="str">
        <f>IF(Delivery_data[[#This Row],[Order Status]] = "In Progress", "Backlog", "Complete")</f>
        <v>Complete</v>
      </c>
      <c r="I1070" t="s">
        <v>239</v>
      </c>
      <c r="J1070" t="s">
        <v>1631</v>
      </c>
      <c r="K1070" t="s">
        <v>44</v>
      </c>
      <c r="L1070">
        <v>103</v>
      </c>
      <c r="M1070">
        <v>15</v>
      </c>
      <c r="N1070" t="s">
        <v>32</v>
      </c>
      <c r="O1070" t="s">
        <v>26</v>
      </c>
      <c r="P1070" t="s">
        <v>34</v>
      </c>
      <c r="Q1070" t="s">
        <v>51</v>
      </c>
      <c r="R1070" s="2">
        <v>0.51458333333333328</v>
      </c>
    </row>
    <row r="1071" spans="1:18" x14ac:dyDescent="0.25">
      <c r="A1071" t="s">
        <v>2007</v>
      </c>
      <c r="B1071" t="s">
        <v>512</v>
      </c>
      <c r="C1071" s="1">
        <v>45170</v>
      </c>
      <c r="D1071" s="1" t="str">
        <f>TEXT(Delivery_data[[#This Row],[Order date]], "MMMM")</f>
        <v>September</v>
      </c>
      <c r="E1071" s="1" t="str">
        <f>TEXT(Delivery_data[[#This Row],[Order date]], "DDDD")</f>
        <v>Friday</v>
      </c>
      <c r="F1071" s="2">
        <v>0.52638888888888891</v>
      </c>
      <c r="G1071" t="s">
        <v>48</v>
      </c>
      <c r="H1071" t="str">
        <f>IF(Delivery_data[[#This Row],[Order Status]] = "In Progress", "Backlog", "Complete")</f>
        <v>Backlog</v>
      </c>
      <c r="I1071" t="s">
        <v>239</v>
      </c>
      <c r="J1071" t="s">
        <v>1631</v>
      </c>
      <c r="K1071" t="s">
        <v>31</v>
      </c>
      <c r="L1071">
        <v>61</v>
      </c>
      <c r="M1071">
        <v>20</v>
      </c>
      <c r="N1071" t="s">
        <v>38</v>
      </c>
      <c r="O1071" t="s">
        <v>54</v>
      </c>
      <c r="P1071" t="s">
        <v>34</v>
      </c>
      <c r="Q1071" t="s">
        <v>46</v>
      </c>
      <c r="R1071" s="2">
        <v>0.39444444444444443</v>
      </c>
    </row>
    <row r="1072" spans="1:18" x14ac:dyDescent="0.25">
      <c r="A1072" t="s">
        <v>2207</v>
      </c>
      <c r="B1072" t="s">
        <v>708</v>
      </c>
      <c r="C1072" s="1">
        <v>45172</v>
      </c>
      <c r="D1072" s="1" t="str">
        <f>TEXT(Delivery_data[[#This Row],[Order date]], "MMMM")</f>
        <v>September</v>
      </c>
      <c r="E1072" s="1" t="str">
        <f>TEXT(Delivery_data[[#This Row],[Order date]], "DDDD")</f>
        <v>Sunday</v>
      </c>
      <c r="F1072" s="2">
        <v>0.4236111111111111</v>
      </c>
      <c r="G1072" t="s">
        <v>22</v>
      </c>
      <c r="H1072" t="str">
        <f>IF(Delivery_data[[#This Row],[Order Status]] = "In Progress", "Backlog", "Complete")</f>
        <v>Complete</v>
      </c>
      <c r="I1072" t="s">
        <v>239</v>
      </c>
      <c r="J1072" t="s">
        <v>1637</v>
      </c>
      <c r="K1072" t="s">
        <v>31</v>
      </c>
      <c r="L1072">
        <v>165</v>
      </c>
      <c r="M1072">
        <v>6</v>
      </c>
      <c r="N1072" t="s">
        <v>25</v>
      </c>
      <c r="O1072" t="s">
        <v>50</v>
      </c>
      <c r="P1072" t="s">
        <v>34</v>
      </c>
      <c r="Q1072" t="s">
        <v>28</v>
      </c>
      <c r="R1072" s="2">
        <v>0.68055555555555558</v>
      </c>
    </row>
    <row r="1073" spans="1:18" x14ac:dyDescent="0.25">
      <c r="A1073" t="s">
        <v>2269</v>
      </c>
      <c r="B1073" t="s">
        <v>769</v>
      </c>
      <c r="C1073" s="1">
        <v>45173</v>
      </c>
      <c r="D1073" s="1" t="str">
        <f>TEXT(Delivery_data[[#This Row],[Order date]], "MMMM")</f>
        <v>September</v>
      </c>
      <c r="E1073" s="1" t="str">
        <f>TEXT(Delivery_data[[#This Row],[Order date]], "DDDD")</f>
        <v>Monday</v>
      </c>
      <c r="F1073" s="2">
        <v>0.54097222222222219</v>
      </c>
      <c r="G1073" t="s">
        <v>22</v>
      </c>
      <c r="H1073" t="str">
        <f>IF(Delivery_data[[#This Row],[Order Status]] = "In Progress", "Backlog", "Complete")</f>
        <v>Complete</v>
      </c>
      <c r="I1073" t="s">
        <v>239</v>
      </c>
      <c r="J1073" t="s">
        <v>1633</v>
      </c>
      <c r="K1073" t="s">
        <v>31</v>
      </c>
      <c r="L1073">
        <v>204</v>
      </c>
      <c r="M1073">
        <v>24</v>
      </c>
      <c r="N1073" t="s">
        <v>25</v>
      </c>
      <c r="O1073" t="s">
        <v>26</v>
      </c>
      <c r="P1073" t="s">
        <v>45</v>
      </c>
      <c r="Q1073" t="s">
        <v>46</v>
      </c>
      <c r="R1073" s="2">
        <v>0.42152777777777778</v>
      </c>
    </row>
    <row r="1074" spans="1:18" x14ac:dyDescent="0.25">
      <c r="A1074" t="s">
        <v>2346</v>
      </c>
      <c r="B1074" t="s">
        <v>844</v>
      </c>
      <c r="C1074" s="1">
        <v>45170</v>
      </c>
      <c r="D1074" s="1" t="str">
        <f>TEXT(Delivery_data[[#This Row],[Order date]], "MMMM")</f>
        <v>September</v>
      </c>
      <c r="E1074" s="1" t="str">
        <f>TEXT(Delivery_data[[#This Row],[Order date]], "DDDD")</f>
        <v>Friday</v>
      </c>
      <c r="F1074" s="2">
        <v>0.44236111111111109</v>
      </c>
      <c r="G1074" t="s">
        <v>22</v>
      </c>
      <c r="H1074" t="str">
        <f>IF(Delivery_data[[#This Row],[Order Status]] = "In Progress", "Backlog", "Complete")</f>
        <v>Complete</v>
      </c>
      <c r="I1074" t="s">
        <v>239</v>
      </c>
      <c r="J1074" t="s">
        <v>1631</v>
      </c>
      <c r="K1074" t="s">
        <v>44</v>
      </c>
      <c r="L1074">
        <v>150</v>
      </c>
      <c r="M1074">
        <v>27</v>
      </c>
      <c r="N1074" t="s">
        <v>38</v>
      </c>
      <c r="O1074" t="s">
        <v>50</v>
      </c>
      <c r="P1074" t="s">
        <v>34</v>
      </c>
      <c r="Q1074" t="s">
        <v>28</v>
      </c>
      <c r="R1074" s="2">
        <v>0.65763888888888888</v>
      </c>
    </row>
    <row r="1075" spans="1:18" x14ac:dyDescent="0.25">
      <c r="A1075" t="s">
        <v>2403</v>
      </c>
      <c r="B1075" t="s">
        <v>898</v>
      </c>
      <c r="C1075" s="1">
        <v>45170</v>
      </c>
      <c r="D1075" s="1" t="str">
        <f>TEXT(Delivery_data[[#This Row],[Order date]], "MMMM")</f>
        <v>September</v>
      </c>
      <c r="E1075" s="1" t="str">
        <f>TEXT(Delivery_data[[#This Row],[Order date]], "DDDD")</f>
        <v>Friday</v>
      </c>
      <c r="F1075" s="2">
        <v>0.44930555555555557</v>
      </c>
      <c r="G1075" t="s">
        <v>22</v>
      </c>
      <c r="H1075" t="str">
        <f>IF(Delivery_data[[#This Row],[Order Status]] = "In Progress", "Backlog", "Complete")</f>
        <v>Complete</v>
      </c>
      <c r="I1075" t="s">
        <v>239</v>
      </c>
      <c r="J1075" t="s">
        <v>1631</v>
      </c>
      <c r="K1075" t="s">
        <v>44</v>
      </c>
      <c r="L1075">
        <v>61</v>
      </c>
      <c r="M1075">
        <v>10</v>
      </c>
      <c r="N1075" t="s">
        <v>32</v>
      </c>
      <c r="O1075" t="s">
        <v>41</v>
      </c>
      <c r="P1075" t="s">
        <v>34</v>
      </c>
      <c r="Q1075" t="s">
        <v>51</v>
      </c>
      <c r="R1075" s="2">
        <v>0.37152777777777779</v>
      </c>
    </row>
    <row r="1076" spans="1:18" x14ac:dyDescent="0.25">
      <c r="A1076" t="s">
        <v>2407</v>
      </c>
      <c r="B1076" t="s">
        <v>724</v>
      </c>
      <c r="C1076" s="1">
        <v>45177</v>
      </c>
      <c r="D1076" s="1" t="str">
        <f>TEXT(Delivery_data[[#This Row],[Order date]], "MMMM")</f>
        <v>September</v>
      </c>
      <c r="E1076" s="1" t="str">
        <f>TEXT(Delivery_data[[#This Row],[Order date]], "DDDD")</f>
        <v>Friday</v>
      </c>
      <c r="F1076" s="2">
        <v>0.44791666666666669</v>
      </c>
      <c r="G1076" t="s">
        <v>48</v>
      </c>
      <c r="H1076" t="str">
        <f>IF(Delivery_data[[#This Row],[Order Status]] = "In Progress", "Backlog", "Complete")</f>
        <v>Backlog</v>
      </c>
      <c r="I1076" t="s">
        <v>239</v>
      </c>
      <c r="J1076" t="s">
        <v>1637</v>
      </c>
      <c r="K1076" t="s">
        <v>37</v>
      </c>
      <c r="L1076">
        <v>125</v>
      </c>
      <c r="M1076">
        <v>13</v>
      </c>
      <c r="N1076" t="s">
        <v>38</v>
      </c>
      <c r="O1076" t="s">
        <v>26</v>
      </c>
      <c r="P1076" t="s">
        <v>34</v>
      </c>
      <c r="Q1076" t="s">
        <v>28</v>
      </c>
      <c r="R1076" s="2">
        <v>0.36249999999999999</v>
      </c>
    </row>
    <row r="1077" spans="1:18" x14ac:dyDescent="0.25">
      <c r="A1077" t="s">
        <v>2585</v>
      </c>
      <c r="B1077" t="s">
        <v>1069</v>
      </c>
      <c r="C1077" s="1">
        <v>45171</v>
      </c>
      <c r="D1077" s="1" t="str">
        <f>TEXT(Delivery_data[[#This Row],[Order date]], "MMMM")</f>
        <v>September</v>
      </c>
      <c r="E1077" s="1" t="str">
        <f>TEXT(Delivery_data[[#This Row],[Order date]], "DDDD")</f>
        <v>Saturday</v>
      </c>
      <c r="F1077" s="2">
        <v>0.41666666666666669</v>
      </c>
      <c r="G1077" t="s">
        <v>22</v>
      </c>
      <c r="H1077" t="str">
        <f>IF(Delivery_data[[#This Row],[Order Status]] = "In Progress", "Backlog", "Complete")</f>
        <v>Complete</v>
      </c>
      <c r="I1077" t="s">
        <v>239</v>
      </c>
      <c r="J1077" t="s">
        <v>1631</v>
      </c>
      <c r="K1077" t="s">
        <v>44</v>
      </c>
      <c r="L1077">
        <v>65</v>
      </c>
      <c r="M1077">
        <v>0</v>
      </c>
      <c r="N1077" t="s">
        <v>25</v>
      </c>
      <c r="O1077" t="s">
        <v>26</v>
      </c>
      <c r="P1077" t="s">
        <v>34</v>
      </c>
      <c r="Q1077" t="s">
        <v>51</v>
      </c>
      <c r="R1077" s="2">
        <v>0.7006944444444444</v>
      </c>
    </row>
    <row r="1078" spans="1:18" x14ac:dyDescent="0.25">
      <c r="A1078" t="s">
        <v>2621</v>
      </c>
      <c r="B1078" t="s">
        <v>1104</v>
      </c>
      <c r="C1078" s="1">
        <v>45176</v>
      </c>
      <c r="D1078" s="1" t="str">
        <f>TEXT(Delivery_data[[#This Row],[Order date]], "MMMM")</f>
        <v>September</v>
      </c>
      <c r="E1078" s="1" t="str">
        <f>TEXT(Delivery_data[[#This Row],[Order date]], "DDDD")</f>
        <v>Thursday</v>
      </c>
      <c r="F1078" s="2">
        <v>0.40277777777777779</v>
      </c>
      <c r="G1078" t="s">
        <v>22</v>
      </c>
      <c r="H1078" t="str">
        <f>IF(Delivery_data[[#This Row],[Order Status]] = "In Progress", "Backlog", "Complete")</f>
        <v>Complete</v>
      </c>
      <c r="I1078" t="s">
        <v>239</v>
      </c>
      <c r="J1078" t="s">
        <v>1637</v>
      </c>
      <c r="K1078" t="s">
        <v>37</v>
      </c>
      <c r="L1078">
        <v>165</v>
      </c>
      <c r="M1078">
        <v>12</v>
      </c>
      <c r="N1078" t="s">
        <v>38</v>
      </c>
      <c r="O1078" t="s">
        <v>41</v>
      </c>
      <c r="P1078" t="s">
        <v>45</v>
      </c>
      <c r="Q1078" t="s">
        <v>28</v>
      </c>
      <c r="R1078" s="2">
        <v>0.46805555555555556</v>
      </c>
    </row>
    <row r="1079" spans="1:18" x14ac:dyDescent="0.25">
      <c r="A1079" t="s">
        <v>2701</v>
      </c>
      <c r="B1079" t="s">
        <v>1182</v>
      </c>
      <c r="C1079" s="1">
        <v>45173</v>
      </c>
      <c r="D1079" s="1" t="str">
        <f>TEXT(Delivery_data[[#This Row],[Order date]], "MMMM")</f>
        <v>September</v>
      </c>
      <c r="E1079" s="1" t="str">
        <f>TEXT(Delivery_data[[#This Row],[Order date]], "DDDD")</f>
        <v>Monday</v>
      </c>
      <c r="F1079" s="2">
        <v>0.6</v>
      </c>
      <c r="G1079" t="s">
        <v>48</v>
      </c>
      <c r="H1079" t="str">
        <f>IF(Delivery_data[[#This Row],[Order Status]] = "In Progress", "Backlog", "Complete")</f>
        <v>Backlog</v>
      </c>
      <c r="I1079" t="s">
        <v>239</v>
      </c>
      <c r="J1079" t="s">
        <v>1631</v>
      </c>
      <c r="K1079" t="s">
        <v>31</v>
      </c>
      <c r="L1079">
        <v>199</v>
      </c>
      <c r="M1079">
        <v>9</v>
      </c>
      <c r="N1079" t="s">
        <v>25</v>
      </c>
      <c r="O1079" t="s">
        <v>33</v>
      </c>
      <c r="P1079" t="s">
        <v>45</v>
      </c>
      <c r="Q1079" t="s">
        <v>51</v>
      </c>
      <c r="R1079" s="2">
        <v>0.52152777777777781</v>
      </c>
    </row>
    <row r="1080" spans="1:18" x14ac:dyDescent="0.25">
      <c r="A1080" t="s">
        <v>2793</v>
      </c>
      <c r="B1080" t="s">
        <v>1270</v>
      </c>
      <c r="C1080" s="1">
        <v>45173</v>
      </c>
      <c r="D1080" s="1" t="str">
        <f>TEXT(Delivery_data[[#This Row],[Order date]], "MMMM")</f>
        <v>September</v>
      </c>
      <c r="E1080" s="1" t="str">
        <f>TEXT(Delivery_data[[#This Row],[Order date]], "DDDD")</f>
        <v>Monday</v>
      </c>
      <c r="F1080" s="2">
        <v>0.62083333333333335</v>
      </c>
      <c r="G1080" t="s">
        <v>48</v>
      </c>
      <c r="H1080" t="str">
        <f>IF(Delivery_data[[#This Row],[Order Status]] = "In Progress", "Backlog", "Complete")</f>
        <v>Backlog</v>
      </c>
      <c r="I1080" t="s">
        <v>239</v>
      </c>
      <c r="J1080" t="s">
        <v>1631</v>
      </c>
      <c r="K1080" t="s">
        <v>37</v>
      </c>
      <c r="L1080">
        <v>60</v>
      </c>
      <c r="M1080">
        <v>16</v>
      </c>
      <c r="N1080" t="s">
        <v>38</v>
      </c>
      <c r="O1080" t="s">
        <v>50</v>
      </c>
      <c r="P1080" t="s">
        <v>45</v>
      </c>
      <c r="Q1080" t="s">
        <v>51</v>
      </c>
      <c r="R1080" s="2">
        <v>0.36527777777777776</v>
      </c>
    </row>
    <row r="1081" spans="1:18" x14ac:dyDescent="0.25">
      <c r="A1081" t="s">
        <v>2827</v>
      </c>
      <c r="B1081" t="s">
        <v>1303</v>
      </c>
      <c r="C1081" s="1">
        <v>45175</v>
      </c>
      <c r="D1081" s="1" t="str">
        <f>TEXT(Delivery_data[[#This Row],[Order date]], "MMMM")</f>
        <v>September</v>
      </c>
      <c r="E1081" s="1" t="str">
        <f>TEXT(Delivery_data[[#This Row],[Order date]], "DDDD")</f>
        <v>Wednesday</v>
      </c>
      <c r="F1081" s="2">
        <v>0.58611111111111114</v>
      </c>
      <c r="G1081" t="s">
        <v>22</v>
      </c>
      <c r="H1081" t="str">
        <f>IF(Delivery_data[[#This Row],[Order Status]] = "In Progress", "Backlog", "Complete")</f>
        <v>Complete</v>
      </c>
      <c r="I1081" t="s">
        <v>239</v>
      </c>
      <c r="J1081" t="s">
        <v>1633</v>
      </c>
      <c r="K1081" t="s">
        <v>31</v>
      </c>
      <c r="L1081">
        <v>135</v>
      </c>
      <c r="M1081">
        <v>12</v>
      </c>
      <c r="N1081" t="s">
        <v>38</v>
      </c>
      <c r="O1081" t="s">
        <v>50</v>
      </c>
      <c r="P1081" t="s">
        <v>34</v>
      </c>
      <c r="Q1081" t="s">
        <v>28</v>
      </c>
      <c r="R1081" s="2">
        <v>0.48333333333333334</v>
      </c>
    </row>
    <row r="1082" spans="1:18" x14ac:dyDescent="0.25">
      <c r="A1082" t="s">
        <v>2832</v>
      </c>
      <c r="B1082" t="s">
        <v>1308</v>
      </c>
      <c r="C1082" s="1">
        <v>45173</v>
      </c>
      <c r="D1082" s="1" t="str">
        <f>TEXT(Delivery_data[[#This Row],[Order date]], "MMMM")</f>
        <v>September</v>
      </c>
      <c r="E1082" s="1" t="str">
        <f>TEXT(Delivery_data[[#This Row],[Order date]], "DDDD")</f>
        <v>Monday</v>
      </c>
      <c r="F1082" s="2">
        <v>0.34513888888888888</v>
      </c>
      <c r="G1082" t="s">
        <v>22</v>
      </c>
      <c r="H1082" t="str">
        <f>IF(Delivery_data[[#This Row],[Order Status]] = "In Progress", "Backlog", "Complete")</f>
        <v>Complete</v>
      </c>
      <c r="I1082" t="s">
        <v>239</v>
      </c>
      <c r="J1082" t="s">
        <v>1631</v>
      </c>
      <c r="K1082" t="s">
        <v>61</v>
      </c>
      <c r="L1082">
        <v>163</v>
      </c>
      <c r="M1082">
        <v>9</v>
      </c>
      <c r="N1082" t="s">
        <v>32</v>
      </c>
      <c r="O1082" t="s">
        <v>33</v>
      </c>
      <c r="P1082" t="s">
        <v>45</v>
      </c>
      <c r="Q1082" t="s">
        <v>51</v>
      </c>
      <c r="R1082" s="2">
        <v>0.54374999999999996</v>
      </c>
    </row>
    <row r="1083" spans="1:18" x14ac:dyDescent="0.25">
      <c r="A1083" t="s">
        <v>2860</v>
      </c>
      <c r="B1083" t="s">
        <v>1335</v>
      </c>
      <c r="C1083" s="1">
        <v>45174</v>
      </c>
      <c r="D1083" s="1" t="str">
        <f>TEXT(Delivery_data[[#This Row],[Order date]], "MMMM")</f>
        <v>September</v>
      </c>
      <c r="E1083" s="1" t="str">
        <f>TEXT(Delivery_data[[#This Row],[Order date]], "DDDD")</f>
        <v>Tuesday</v>
      </c>
      <c r="F1083" s="2">
        <v>0.37638888888888888</v>
      </c>
      <c r="G1083" t="s">
        <v>48</v>
      </c>
      <c r="H1083" t="str">
        <f>IF(Delivery_data[[#This Row],[Order Status]] = "In Progress", "Backlog", "Complete")</f>
        <v>Backlog</v>
      </c>
      <c r="I1083" t="s">
        <v>239</v>
      </c>
      <c r="J1083" t="s">
        <v>1631</v>
      </c>
      <c r="K1083" t="s">
        <v>31</v>
      </c>
      <c r="L1083">
        <v>145</v>
      </c>
      <c r="M1083">
        <v>5</v>
      </c>
      <c r="N1083" t="s">
        <v>38</v>
      </c>
      <c r="O1083" t="s">
        <v>50</v>
      </c>
      <c r="P1083" t="s">
        <v>45</v>
      </c>
      <c r="Q1083" t="s">
        <v>46</v>
      </c>
      <c r="R1083" s="2">
        <v>0.49861111111111112</v>
      </c>
    </row>
    <row r="1084" spans="1:18" x14ac:dyDescent="0.25">
      <c r="A1084" t="s">
        <v>2945</v>
      </c>
      <c r="B1084" t="s">
        <v>1418</v>
      </c>
      <c r="C1084" s="1">
        <v>45172</v>
      </c>
      <c r="D1084" s="1" t="str">
        <f>TEXT(Delivery_data[[#This Row],[Order date]], "MMMM")</f>
        <v>September</v>
      </c>
      <c r="E1084" s="1" t="str">
        <f>TEXT(Delivery_data[[#This Row],[Order date]], "DDDD")</f>
        <v>Sunday</v>
      </c>
      <c r="F1084" s="2">
        <v>0.34722222222222221</v>
      </c>
      <c r="G1084" t="s">
        <v>22</v>
      </c>
      <c r="H1084" t="str">
        <f>IF(Delivery_data[[#This Row],[Order Status]] = "In Progress", "Backlog", "Complete")</f>
        <v>Complete</v>
      </c>
      <c r="I1084" t="s">
        <v>239</v>
      </c>
      <c r="J1084" t="s">
        <v>1633</v>
      </c>
      <c r="K1084" t="s">
        <v>61</v>
      </c>
      <c r="L1084">
        <v>95</v>
      </c>
      <c r="M1084">
        <v>4</v>
      </c>
      <c r="N1084" t="s">
        <v>38</v>
      </c>
      <c r="O1084" t="s">
        <v>33</v>
      </c>
      <c r="P1084" t="s">
        <v>27</v>
      </c>
      <c r="Q1084" t="s">
        <v>28</v>
      </c>
      <c r="R1084" s="2">
        <v>0.49236111111111114</v>
      </c>
    </row>
    <row r="1085" spans="1:18" x14ac:dyDescent="0.25">
      <c r="A1085" t="s">
        <v>2958</v>
      </c>
      <c r="B1085" t="s">
        <v>1431</v>
      </c>
      <c r="C1085" s="1">
        <v>45172</v>
      </c>
      <c r="D1085" s="1" t="str">
        <f>TEXT(Delivery_data[[#This Row],[Order date]], "MMMM")</f>
        <v>September</v>
      </c>
      <c r="E1085" s="1" t="str">
        <f>TEXT(Delivery_data[[#This Row],[Order date]], "DDDD")</f>
        <v>Sunday</v>
      </c>
      <c r="F1085" s="2">
        <v>0.45833333333333331</v>
      </c>
      <c r="G1085" t="s">
        <v>48</v>
      </c>
      <c r="H1085" t="str">
        <f>IF(Delivery_data[[#This Row],[Order Status]] = "In Progress", "Backlog", "Complete")</f>
        <v>Backlog</v>
      </c>
      <c r="I1085" t="s">
        <v>239</v>
      </c>
      <c r="J1085" t="s">
        <v>1631</v>
      </c>
      <c r="K1085" t="s">
        <v>31</v>
      </c>
      <c r="L1085">
        <v>230</v>
      </c>
      <c r="M1085">
        <v>26</v>
      </c>
      <c r="N1085" t="s">
        <v>32</v>
      </c>
      <c r="O1085" t="s">
        <v>41</v>
      </c>
      <c r="P1085" t="s">
        <v>34</v>
      </c>
      <c r="Q1085" t="s">
        <v>51</v>
      </c>
      <c r="R1085" s="2">
        <v>0.58402777777777781</v>
      </c>
    </row>
    <row r="1086" spans="1:18" x14ac:dyDescent="0.25">
      <c r="A1086" t="s">
        <v>2980</v>
      </c>
      <c r="B1086" t="s">
        <v>1453</v>
      </c>
      <c r="C1086" s="1">
        <v>45174</v>
      </c>
      <c r="D1086" s="1" t="str">
        <f>TEXT(Delivery_data[[#This Row],[Order date]], "MMMM")</f>
        <v>September</v>
      </c>
      <c r="E1086" s="1" t="str">
        <f>TEXT(Delivery_data[[#This Row],[Order date]], "DDDD")</f>
        <v>Tuesday</v>
      </c>
      <c r="F1086" s="2">
        <v>0.54861111111111116</v>
      </c>
      <c r="G1086" t="s">
        <v>48</v>
      </c>
      <c r="H1086" t="str">
        <f>IF(Delivery_data[[#This Row],[Order Status]] = "In Progress", "Backlog", "Complete")</f>
        <v>Backlog</v>
      </c>
      <c r="I1086" t="s">
        <v>239</v>
      </c>
      <c r="J1086" t="s">
        <v>1631</v>
      </c>
      <c r="K1086" t="s">
        <v>61</v>
      </c>
      <c r="L1086">
        <v>161</v>
      </c>
      <c r="M1086">
        <v>25</v>
      </c>
      <c r="N1086" t="s">
        <v>32</v>
      </c>
      <c r="O1086" t="s">
        <v>50</v>
      </c>
      <c r="P1086" t="s">
        <v>45</v>
      </c>
      <c r="Q1086" t="s">
        <v>51</v>
      </c>
      <c r="R1086" s="2">
        <v>0.50416666666666665</v>
      </c>
    </row>
    <row r="1087" spans="1:18" x14ac:dyDescent="0.25">
      <c r="A1087" t="s">
        <v>3118</v>
      </c>
      <c r="B1087" t="s">
        <v>1584</v>
      </c>
      <c r="C1087" s="1">
        <v>45175</v>
      </c>
      <c r="D1087" s="1" t="str">
        <f>TEXT(Delivery_data[[#This Row],[Order date]], "MMMM")</f>
        <v>September</v>
      </c>
      <c r="E1087" s="1" t="str">
        <f>TEXT(Delivery_data[[#This Row],[Order date]], "DDDD")</f>
        <v>Wednesday</v>
      </c>
      <c r="F1087" s="2">
        <v>0.46736111111111112</v>
      </c>
      <c r="G1087" t="s">
        <v>48</v>
      </c>
      <c r="H1087" t="str">
        <f>IF(Delivery_data[[#This Row],[Order Status]] = "In Progress", "Backlog", "Complete")</f>
        <v>Backlog</v>
      </c>
      <c r="I1087" t="s">
        <v>239</v>
      </c>
      <c r="J1087" t="s">
        <v>1633</v>
      </c>
      <c r="K1087" t="s">
        <v>31</v>
      </c>
      <c r="L1087">
        <v>159</v>
      </c>
      <c r="M1087">
        <v>6</v>
      </c>
      <c r="N1087" t="s">
        <v>38</v>
      </c>
      <c r="O1087" t="s">
        <v>41</v>
      </c>
      <c r="P1087" t="s">
        <v>27</v>
      </c>
      <c r="Q1087" t="s">
        <v>28</v>
      </c>
      <c r="R1087" s="2">
        <v>0.50416666666666665</v>
      </c>
    </row>
    <row r="1088" spans="1:18" x14ac:dyDescent="0.25">
      <c r="A1088" t="s">
        <v>1678</v>
      </c>
      <c r="B1088" t="s">
        <v>126</v>
      </c>
      <c r="C1088" s="1">
        <v>45171</v>
      </c>
      <c r="D1088" s="1" t="str">
        <f>TEXT(Delivery_data[[#This Row],[Order date]], "MMMM")</f>
        <v>September</v>
      </c>
      <c r="E1088" s="1" t="str">
        <f>TEXT(Delivery_data[[#This Row],[Order date]], "DDDD")</f>
        <v>Saturday</v>
      </c>
      <c r="F1088" s="2">
        <v>0.55000000000000004</v>
      </c>
      <c r="G1088" t="s">
        <v>22</v>
      </c>
      <c r="H1088" t="str">
        <f>IF(Delivery_data[[#This Row],[Order Status]] = "In Progress", "Backlog", "Complete")</f>
        <v>Complete</v>
      </c>
      <c r="I1088" t="s">
        <v>127</v>
      </c>
      <c r="J1088" t="s">
        <v>1631</v>
      </c>
      <c r="K1088" t="s">
        <v>44</v>
      </c>
      <c r="L1088">
        <v>94</v>
      </c>
      <c r="M1088">
        <v>4</v>
      </c>
      <c r="N1088" t="s">
        <v>38</v>
      </c>
      <c r="O1088" t="s">
        <v>26</v>
      </c>
      <c r="P1088" t="s">
        <v>27</v>
      </c>
      <c r="Q1088" t="s">
        <v>46</v>
      </c>
      <c r="R1088" s="2">
        <v>0.62430555555555556</v>
      </c>
    </row>
    <row r="1089" spans="1:18" x14ac:dyDescent="0.25">
      <c r="A1089" t="s">
        <v>1757</v>
      </c>
      <c r="B1089" t="s">
        <v>240</v>
      </c>
      <c r="C1089" s="1">
        <v>45176</v>
      </c>
      <c r="D1089" s="1" t="str">
        <f>TEXT(Delivery_data[[#This Row],[Order date]], "MMMM")</f>
        <v>September</v>
      </c>
      <c r="E1089" s="1" t="str">
        <f>TEXT(Delivery_data[[#This Row],[Order date]], "DDDD")</f>
        <v>Thursday</v>
      </c>
      <c r="F1089" s="2">
        <v>0.40694444444444444</v>
      </c>
      <c r="G1089" t="s">
        <v>48</v>
      </c>
      <c r="H1089" t="str">
        <f>IF(Delivery_data[[#This Row],[Order Status]] = "In Progress", "Backlog", "Complete")</f>
        <v>Backlog</v>
      </c>
      <c r="I1089" t="s">
        <v>127</v>
      </c>
      <c r="J1089" t="s">
        <v>1631</v>
      </c>
      <c r="K1089" t="s">
        <v>31</v>
      </c>
      <c r="L1089">
        <v>178</v>
      </c>
      <c r="M1089">
        <v>28</v>
      </c>
      <c r="N1089" t="s">
        <v>32</v>
      </c>
      <c r="O1089" t="s">
        <v>33</v>
      </c>
      <c r="P1089" t="s">
        <v>27</v>
      </c>
      <c r="Q1089" t="s">
        <v>28</v>
      </c>
      <c r="R1089" s="2">
        <v>0.65277777777777779</v>
      </c>
    </row>
    <row r="1090" spans="1:18" x14ac:dyDescent="0.25">
      <c r="A1090" t="s">
        <v>1876</v>
      </c>
      <c r="B1090" t="s">
        <v>376</v>
      </c>
      <c r="C1090" s="1">
        <v>45170</v>
      </c>
      <c r="D1090" s="1" t="str">
        <f>TEXT(Delivery_data[[#This Row],[Order date]], "MMMM")</f>
        <v>September</v>
      </c>
      <c r="E1090" s="1" t="str">
        <f>TEXT(Delivery_data[[#This Row],[Order date]], "DDDD")</f>
        <v>Friday</v>
      </c>
      <c r="F1090" s="2">
        <v>0.57291666666666663</v>
      </c>
      <c r="G1090" t="s">
        <v>22</v>
      </c>
      <c r="H1090" t="str">
        <f>IF(Delivery_data[[#This Row],[Order Status]] = "In Progress", "Backlog", "Complete")</f>
        <v>Complete</v>
      </c>
      <c r="I1090" t="s">
        <v>127</v>
      </c>
      <c r="J1090" t="s">
        <v>1631</v>
      </c>
      <c r="K1090" t="s">
        <v>61</v>
      </c>
      <c r="L1090">
        <v>74</v>
      </c>
      <c r="M1090">
        <v>26</v>
      </c>
      <c r="N1090" t="s">
        <v>25</v>
      </c>
      <c r="O1090" t="s">
        <v>50</v>
      </c>
      <c r="P1090" t="s">
        <v>34</v>
      </c>
      <c r="Q1090" t="s">
        <v>46</v>
      </c>
      <c r="R1090" s="2">
        <v>0.41249999999999998</v>
      </c>
    </row>
    <row r="1091" spans="1:18" x14ac:dyDescent="0.25">
      <c r="A1091" t="s">
        <v>2072</v>
      </c>
      <c r="B1091" t="s">
        <v>577</v>
      </c>
      <c r="C1091" s="1">
        <v>45175</v>
      </c>
      <c r="D1091" s="1" t="str">
        <f>TEXT(Delivery_data[[#This Row],[Order date]], "MMMM")</f>
        <v>September</v>
      </c>
      <c r="E1091" s="1" t="str">
        <f>TEXT(Delivery_data[[#This Row],[Order date]], "DDDD")</f>
        <v>Wednesday</v>
      </c>
      <c r="F1091" s="2">
        <v>0.38263888888888886</v>
      </c>
      <c r="G1091" t="s">
        <v>22</v>
      </c>
      <c r="H1091" t="str">
        <f>IF(Delivery_data[[#This Row],[Order Status]] = "In Progress", "Backlog", "Complete")</f>
        <v>Complete</v>
      </c>
      <c r="I1091" t="s">
        <v>127</v>
      </c>
      <c r="J1091" t="s">
        <v>1637</v>
      </c>
      <c r="K1091" t="s">
        <v>37</v>
      </c>
      <c r="L1091">
        <v>107</v>
      </c>
      <c r="M1091">
        <v>9</v>
      </c>
      <c r="N1091" t="s">
        <v>25</v>
      </c>
      <c r="O1091" t="s">
        <v>33</v>
      </c>
      <c r="P1091" t="s">
        <v>27</v>
      </c>
      <c r="Q1091" t="s">
        <v>46</v>
      </c>
      <c r="R1091" s="2">
        <v>0.50347222222222221</v>
      </c>
    </row>
    <row r="1092" spans="1:18" x14ac:dyDescent="0.25">
      <c r="A1092" t="s">
        <v>2109</v>
      </c>
      <c r="B1092" t="s">
        <v>613</v>
      </c>
      <c r="C1092" s="1">
        <v>45173</v>
      </c>
      <c r="D1092" s="1" t="str">
        <f>TEXT(Delivery_data[[#This Row],[Order date]], "MMMM")</f>
        <v>September</v>
      </c>
      <c r="E1092" s="1" t="str">
        <f>TEXT(Delivery_data[[#This Row],[Order date]], "DDDD")</f>
        <v>Monday</v>
      </c>
      <c r="F1092" s="2">
        <v>0.52708333333333335</v>
      </c>
      <c r="G1092" t="s">
        <v>48</v>
      </c>
      <c r="H1092" t="str">
        <f>IF(Delivery_data[[#This Row],[Order Status]] = "In Progress", "Backlog", "Complete")</f>
        <v>Backlog</v>
      </c>
      <c r="I1092" t="s">
        <v>127</v>
      </c>
      <c r="J1092" t="s">
        <v>1637</v>
      </c>
      <c r="K1092" t="s">
        <v>37</v>
      </c>
      <c r="L1092">
        <v>178</v>
      </c>
      <c r="M1092">
        <v>25</v>
      </c>
      <c r="N1092" t="s">
        <v>25</v>
      </c>
      <c r="O1092" t="s">
        <v>26</v>
      </c>
      <c r="P1092" t="s">
        <v>27</v>
      </c>
      <c r="Q1092" t="s">
        <v>51</v>
      </c>
      <c r="R1092" s="2">
        <v>0.62916666666666665</v>
      </c>
    </row>
    <row r="1093" spans="1:18" x14ac:dyDescent="0.25">
      <c r="A1093" t="s">
        <v>2132</v>
      </c>
      <c r="B1093" t="s">
        <v>636</v>
      </c>
      <c r="C1093" s="1">
        <v>45173</v>
      </c>
      <c r="D1093" s="1" t="str">
        <f>TEXT(Delivery_data[[#This Row],[Order date]], "MMMM")</f>
        <v>September</v>
      </c>
      <c r="E1093" s="1" t="str">
        <f>TEXT(Delivery_data[[#This Row],[Order date]], "DDDD")</f>
        <v>Monday</v>
      </c>
      <c r="F1093" s="2">
        <v>0.51666666666666672</v>
      </c>
      <c r="G1093" t="s">
        <v>48</v>
      </c>
      <c r="H1093" t="str">
        <f>IF(Delivery_data[[#This Row],[Order Status]] = "In Progress", "Backlog", "Complete")</f>
        <v>Backlog</v>
      </c>
      <c r="I1093" t="s">
        <v>127</v>
      </c>
      <c r="J1093" t="s">
        <v>1631</v>
      </c>
      <c r="K1093" t="s">
        <v>61</v>
      </c>
      <c r="L1093">
        <v>85</v>
      </c>
      <c r="M1093">
        <v>7</v>
      </c>
      <c r="N1093" t="s">
        <v>32</v>
      </c>
      <c r="O1093" t="s">
        <v>54</v>
      </c>
      <c r="P1093" t="s">
        <v>27</v>
      </c>
      <c r="Q1093" t="s">
        <v>28</v>
      </c>
      <c r="R1093" s="2">
        <v>0.56874999999999998</v>
      </c>
    </row>
    <row r="1094" spans="1:18" x14ac:dyDescent="0.25">
      <c r="A1094" t="s">
        <v>2299</v>
      </c>
      <c r="B1094" t="s">
        <v>797</v>
      </c>
      <c r="C1094" s="1">
        <v>45172</v>
      </c>
      <c r="D1094" s="1" t="str">
        <f>TEXT(Delivery_data[[#This Row],[Order date]], "MMMM")</f>
        <v>September</v>
      </c>
      <c r="E1094" s="1" t="str">
        <f>TEXT(Delivery_data[[#This Row],[Order date]], "DDDD")</f>
        <v>Sunday</v>
      </c>
      <c r="F1094" s="2">
        <v>0.33333333333333331</v>
      </c>
      <c r="G1094" t="s">
        <v>22</v>
      </c>
      <c r="H1094" t="str">
        <f>IF(Delivery_data[[#This Row],[Order Status]] = "In Progress", "Backlog", "Complete")</f>
        <v>Complete</v>
      </c>
      <c r="I1094" t="s">
        <v>127</v>
      </c>
      <c r="J1094" t="s">
        <v>1637</v>
      </c>
      <c r="K1094" t="s">
        <v>31</v>
      </c>
      <c r="L1094">
        <v>80</v>
      </c>
      <c r="M1094">
        <v>19</v>
      </c>
      <c r="N1094" t="s">
        <v>32</v>
      </c>
      <c r="O1094" t="s">
        <v>33</v>
      </c>
      <c r="P1094" t="s">
        <v>27</v>
      </c>
      <c r="Q1094" t="s">
        <v>28</v>
      </c>
      <c r="R1094" s="2">
        <v>0.5708333333333333</v>
      </c>
    </row>
    <row r="1095" spans="1:18" x14ac:dyDescent="0.25">
      <c r="A1095" t="s">
        <v>2401</v>
      </c>
      <c r="B1095" t="s">
        <v>678</v>
      </c>
      <c r="C1095" s="1">
        <v>45175</v>
      </c>
      <c r="D1095" s="1" t="str">
        <f>TEXT(Delivery_data[[#This Row],[Order date]], "MMMM")</f>
        <v>September</v>
      </c>
      <c r="E1095" s="1" t="str">
        <f>TEXT(Delivery_data[[#This Row],[Order date]], "DDDD")</f>
        <v>Wednesday</v>
      </c>
      <c r="F1095" s="2">
        <v>0.39305555555555555</v>
      </c>
      <c r="G1095" t="s">
        <v>48</v>
      </c>
      <c r="H1095" t="str">
        <f>IF(Delivery_data[[#This Row],[Order Status]] = "In Progress", "Backlog", "Complete")</f>
        <v>Backlog</v>
      </c>
      <c r="I1095" t="s">
        <v>127</v>
      </c>
      <c r="J1095" t="s">
        <v>1637</v>
      </c>
      <c r="K1095" t="s">
        <v>44</v>
      </c>
      <c r="L1095">
        <v>222</v>
      </c>
      <c r="M1095">
        <v>27</v>
      </c>
      <c r="N1095" t="s">
        <v>32</v>
      </c>
      <c r="O1095" t="s">
        <v>41</v>
      </c>
      <c r="P1095" t="s">
        <v>34</v>
      </c>
      <c r="Q1095" t="s">
        <v>46</v>
      </c>
      <c r="R1095" s="2">
        <v>0.56388888888888888</v>
      </c>
    </row>
    <row r="1096" spans="1:18" x14ac:dyDescent="0.25">
      <c r="A1096" t="s">
        <v>2437</v>
      </c>
      <c r="B1096" t="s">
        <v>930</v>
      </c>
      <c r="C1096" s="1">
        <v>45170</v>
      </c>
      <c r="D1096" s="1" t="str">
        <f>TEXT(Delivery_data[[#This Row],[Order date]], "MMMM")</f>
        <v>September</v>
      </c>
      <c r="E1096" s="1" t="str">
        <f>TEXT(Delivery_data[[#This Row],[Order date]], "DDDD")</f>
        <v>Friday</v>
      </c>
      <c r="F1096" s="2">
        <v>0.55763888888888891</v>
      </c>
      <c r="G1096" t="s">
        <v>48</v>
      </c>
      <c r="H1096" t="str">
        <f>IF(Delivery_data[[#This Row],[Order Status]] = "In Progress", "Backlog", "Complete")</f>
        <v>Backlog</v>
      </c>
      <c r="I1096" t="s">
        <v>127</v>
      </c>
      <c r="J1096" t="s">
        <v>1633</v>
      </c>
      <c r="K1096" t="s">
        <v>44</v>
      </c>
      <c r="L1096">
        <v>153</v>
      </c>
      <c r="M1096">
        <v>3</v>
      </c>
      <c r="N1096" t="s">
        <v>25</v>
      </c>
      <c r="O1096" t="s">
        <v>26</v>
      </c>
      <c r="P1096" t="s">
        <v>34</v>
      </c>
      <c r="Q1096" t="s">
        <v>46</v>
      </c>
      <c r="R1096" s="2">
        <v>0.72430555555555554</v>
      </c>
    </row>
    <row r="1097" spans="1:18" x14ac:dyDescent="0.25">
      <c r="A1097" t="s">
        <v>2510</v>
      </c>
      <c r="B1097" t="s">
        <v>999</v>
      </c>
      <c r="C1097" s="1">
        <v>45177</v>
      </c>
      <c r="D1097" s="1" t="str">
        <f>TEXT(Delivery_data[[#This Row],[Order date]], "MMMM")</f>
        <v>September</v>
      </c>
      <c r="E1097" s="1" t="str">
        <f>TEXT(Delivery_data[[#This Row],[Order date]], "DDDD")</f>
        <v>Friday</v>
      </c>
      <c r="F1097" s="2">
        <v>0.33819444444444446</v>
      </c>
      <c r="G1097" t="s">
        <v>48</v>
      </c>
      <c r="H1097" t="str">
        <f>IF(Delivery_data[[#This Row],[Order Status]] = "In Progress", "Backlog", "Complete")</f>
        <v>Backlog</v>
      </c>
      <c r="I1097" t="s">
        <v>127</v>
      </c>
      <c r="J1097" t="s">
        <v>1633</v>
      </c>
      <c r="K1097" t="s">
        <v>44</v>
      </c>
      <c r="L1097">
        <v>173</v>
      </c>
      <c r="M1097">
        <v>10</v>
      </c>
      <c r="N1097" t="s">
        <v>38</v>
      </c>
      <c r="O1097" t="s">
        <v>41</v>
      </c>
      <c r="P1097" t="s">
        <v>27</v>
      </c>
      <c r="Q1097" t="s">
        <v>51</v>
      </c>
      <c r="R1097" s="2">
        <v>0.41111111111111109</v>
      </c>
    </row>
    <row r="1098" spans="1:18" x14ac:dyDescent="0.25">
      <c r="A1098" t="s">
        <v>2726</v>
      </c>
      <c r="B1098" t="s">
        <v>1207</v>
      </c>
      <c r="C1098" s="1">
        <v>45172</v>
      </c>
      <c r="D1098" s="1" t="str">
        <f>TEXT(Delivery_data[[#This Row],[Order date]], "MMMM")</f>
        <v>September</v>
      </c>
      <c r="E1098" s="1" t="str">
        <f>TEXT(Delivery_data[[#This Row],[Order date]], "DDDD")</f>
        <v>Sunday</v>
      </c>
      <c r="F1098" s="2">
        <v>0.34027777777777779</v>
      </c>
      <c r="G1098" t="s">
        <v>22</v>
      </c>
      <c r="H1098" t="str">
        <f>IF(Delivery_data[[#This Row],[Order Status]] = "In Progress", "Backlog", "Complete")</f>
        <v>Complete</v>
      </c>
      <c r="I1098" t="s">
        <v>127</v>
      </c>
      <c r="J1098" t="s">
        <v>1631</v>
      </c>
      <c r="K1098" t="s">
        <v>61</v>
      </c>
      <c r="L1098">
        <v>125</v>
      </c>
      <c r="M1098">
        <v>25</v>
      </c>
      <c r="N1098" t="s">
        <v>32</v>
      </c>
      <c r="O1098" t="s">
        <v>54</v>
      </c>
      <c r="P1098" t="s">
        <v>45</v>
      </c>
      <c r="Q1098" t="s">
        <v>51</v>
      </c>
      <c r="R1098" s="2">
        <v>0.58194444444444449</v>
      </c>
    </row>
    <row r="1099" spans="1:18" x14ac:dyDescent="0.25">
      <c r="A1099" t="s">
        <v>2771</v>
      </c>
      <c r="B1099" t="s">
        <v>1249</v>
      </c>
      <c r="C1099" s="1">
        <v>45173</v>
      </c>
      <c r="D1099" s="1" t="str">
        <f>TEXT(Delivery_data[[#This Row],[Order date]], "MMMM")</f>
        <v>September</v>
      </c>
      <c r="E1099" s="1" t="str">
        <f>TEXT(Delivery_data[[#This Row],[Order date]], "DDDD")</f>
        <v>Monday</v>
      </c>
      <c r="F1099" s="2">
        <v>0.47986111111111113</v>
      </c>
      <c r="G1099" t="s">
        <v>48</v>
      </c>
      <c r="H1099" t="str">
        <f>IF(Delivery_data[[#This Row],[Order Status]] = "In Progress", "Backlog", "Complete")</f>
        <v>Backlog</v>
      </c>
      <c r="I1099" t="s">
        <v>127</v>
      </c>
      <c r="J1099" t="s">
        <v>1633</v>
      </c>
      <c r="K1099" t="s">
        <v>37</v>
      </c>
      <c r="L1099">
        <v>73</v>
      </c>
      <c r="M1099">
        <v>9</v>
      </c>
      <c r="N1099" t="s">
        <v>25</v>
      </c>
      <c r="O1099" t="s">
        <v>26</v>
      </c>
      <c r="P1099" t="s">
        <v>34</v>
      </c>
      <c r="Q1099" t="s">
        <v>28</v>
      </c>
      <c r="R1099" s="2">
        <v>0.61875000000000002</v>
      </c>
    </row>
    <row r="1100" spans="1:18" x14ac:dyDescent="0.25">
      <c r="A1100" t="s">
        <v>2822</v>
      </c>
      <c r="B1100" t="s">
        <v>1171</v>
      </c>
      <c r="C1100" s="1">
        <v>45176</v>
      </c>
      <c r="D1100" s="1" t="str">
        <f>TEXT(Delivery_data[[#This Row],[Order date]], "MMMM")</f>
        <v>September</v>
      </c>
      <c r="E1100" s="1" t="str">
        <f>TEXT(Delivery_data[[#This Row],[Order date]], "DDDD")</f>
        <v>Thursday</v>
      </c>
      <c r="F1100" s="2">
        <v>0.57499999999999996</v>
      </c>
      <c r="G1100" t="s">
        <v>48</v>
      </c>
      <c r="H1100" t="str">
        <f>IF(Delivery_data[[#This Row],[Order Status]] = "In Progress", "Backlog", "Complete")</f>
        <v>Backlog</v>
      </c>
      <c r="I1100" t="s">
        <v>127</v>
      </c>
      <c r="J1100" t="s">
        <v>1633</v>
      </c>
      <c r="K1100" t="s">
        <v>61</v>
      </c>
      <c r="L1100">
        <v>166</v>
      </c>
      <c r="M1100">
        <v>17</v>
      </c>
      <c r="N1100" t="s">
        <v>38</v>
      </c>
      <c r="O1100" t="s">
        <v>50</v>
      </c>
      <c r="P1100" t="s">
        <v>27</v>
      </c>
      <c r="Q1100" t="s">
        <v>51</v>
      </c>
      <c r="R1100" s="2">
        <v>0.69027777777777777</v>
      </c>
    </row>
    <row r="1101" spans="1:18" x14ac:dyDescent="0.25">
      <c r="A1101" t="s">
        <v>3095</v>
      </c>
      <c r="B1101" t="s">
        <v>1561</v>
      </c>
      <c r="C1101" s="1">
        <v>45175</v>
      </c>
      <c r="D1101" s="1" t="str">
        <f>TEXT(Delivery_data[[#This Row],[Order date]], "MMMM")</f>
        <v>September</v>
      </c>
      <c r="E1101" s="1" t="str">
        <f>TEXT(Delivery_data[[#This Row],[Order date]], "DDDD")</f>
        <v>Wednesday</v>
      </c>
      <c r="F1101" s="2">
        <v>0.49444444444444446</v>
      </c>
      <c r="G1101" t="s">
        <v>48</v>
      </c>
      <c r="H1101" t="str">
        <f>IF(Delivery_data[[#This Row],[Order Status]] = "In Progress", "Backlog", "Complete")</f>
        <v>Backlog</v>
      </c>
      <c r="I1101" t="s">
        <v>127</v>
      </c>
      <c r="J1101" t="s">
        <v>1631</v>
      </c>
      <c r="K1101" t="s">
        <v>24</v>
      </c>
      <c r="L1101">
        <v>189</v>
      </c>
      <c r="M1101">
        <v>27</v>
      </c>
      <c r="N1101" t="s">
        <v>25</v>
      </c>
      <c r="O1101" t="s">
        <v>50</v>
      </c>
      <c r="P1101" t="s">
        <v>45</v>
      </c>
      <c r="Q1101" t="s">
        <v>28</v>
      </c>
      <c r="R1101" s="2">
        <v>0.5493055555555556</v>
      </c>
    </row>
    <row r="1102" spans="1:18" x14ac:dyDescent="0.25">
      <c r="A1102" t="s">
        <v>1724</v>
      </c>
      <c r="B1102" t="s">
        <v>197</v>
      </c>
      <c r="C1102" s="1">
        <v>45170</v>
      </c>
      <c r="D1102" s="1" t="str">
        <f>TEXT(Delivery_data[[#This Row],[Order date]], "MMMM")</f>
        <v>September</v>
      </c>
      <c r="E1102" s="1" t="str">
        <f>TEXT(Delivery_data[[#This Row],[Order date]], "DDDD")</f>
        <v>Friday</v>
      </c>
      <c r="F1102" s="2">
        <v>0.44930555555555557</v>
      </c>
      <c r="G1102" t="s">
        <v>22</v>
      </c>
      <c r="H1102" t="str">
        <f>IF(Delivery_data[[#This Row],[Order Status]] = "In Progress", "Backlog", "Complete")</f>
        <v>Complete</v>
      </c>
      <c r="I1102" t="s">
        <v>198</v>
      </c>
      <c r="J1102" t="s">
        <v>1633</v>
      </c>
      <c r="K1102" t="s">
        <v>24</v>
      </c>
      <c r="L1102">
        <v>198</v>
      </c>
      <c r="M1102">
        <v>23</v>
      </c>
      <c r="N1102" t="s">
        <v>32</v>
      </c>
      <c r="O1102" t="s">
        <v>26</v>
      </c>
      <c r="P1102" t="s">
        <v>34</v>
      </c>
      <c r="Q1102" t="s">
        <v>51</v>
      </c>
      <c r="R1102" s="2">
        <v>0.5756944444444444</v>
      </c>
    </row>
    <row r="1103" spans="1:18" x14ac:dyDescent="0.25">
      <c r="A1103" t="s">
        <v>1848</v>
      </c>
      <c r="B1103" t="s">
        <v>347</v>
      </c>
      <c r="C1103" s="1">
        <v>45170</v>
      </c>
      <c r="D1103" s="1" t="str">
        <f>TEXT(Delivery_data[[#This Row],[Order date]], "MMMM")</f>
        <v>September</v>
      </c>
      <c r="E1103" s="1" t="str">
        <f>TEXT(Delivery_data[[#This Row],[Order date]], "DDDD")</f>
        <v>Friday</v>
      </c>
      <c r="F1103" s="2">
        <v>0.6020833333333333</v>
      </c>
      <c r="G1103" t="s">
        <v>48</v>
      </c>
      <c r="H1103" t="str">
        <f>IF(Delivery_data[[#This Row],[Order Status]] = "In Progress", "Backlog", "Complete")</f>
        <v>Backlog</v>
      </c>
      <c r="I1103" t="s">
        <v>198</v>
      </c>
      <c r="J1103" t="s">
        <v>1631</v>
      </c>
      <c r="K1103" t="s">
        <v>44</v>
      </c>
      <c r="L1103">
        <v>136</v>
      </c>
      <c r="M1103">
        <v>2</v>
      </c>
      <c r="N1103" t="s">
        <v>25</v>
      </c>
      <c r="O1103" t="s">
        <v>54</v>
      </c>
      <c r="P1103" t="s">
        <v>45</v>
      </c>
      <c r="Q1103" t="s">
        <v>28</v>
      </c>
      <c r="R1103" s="2">
        <v>0.6069444444444444</v>
      </c>
    </row>
    <row r="1104" spans="1:18" x14ac:dyDescent="0.25">
      <c r="A1104" t="s">
        <v>1961</v>
      </c>
      <c r="B1104" t="s">
        <v>465</v>
      </c>
      <c r="C1104" s="1">
        <v>45175</v>
      </c>
      <c r="D1104" s="1" t="str">
        <f>TEXT(Delivery_data[[#This Row],[Order date]], "MMMM")</f>
        <v>September</v>
      </c>
      <c r="E1104" s="1" t="str">
        <f>TEXT(Delivery_data[[#This Row],[Order date]], "DDDD")</f>
        <v>Wednesday</v>
      </c>
      <c r="F1104" s="2">
        <v>0.58819444444444446</v>
      </c>
      <c r="G1104" t="s">
        <v>22</v>
      </c>
      <c r="H1104" t="str">
        <f>IF(Delivery_data[[#This Row],[Order Status]] = "In Progress", "Backlog", "Complete")</f>
        <v>Complete</v>
      </c>
      <c r="I1104" t="s">
        <v>198</v>
      </c>
      <c r="J1104" t="s">
        <v>1631</v>
      </c>
      <c r="K1104" t="s">
        <v>61</v>
      </c>
      <c r="L1104">
        <v>191</v>
      </c>
      <c r="M1104">
        <v>9</v>
      </c>
      <c r="N1104" t="s">
        <v>32</v>
      </c>
      <c r="O1104" t="s">
        <v>33</v>
      </c>
      <c r="P1104" t="s">
        <v>45</v>
      </c>
      <c r="Q1104" t="s">
        <v>51</v>
      </c>
      <c r="R1104" s="2">
        <v>0.36249999999999999</v>
      </c>
    </row>
    <row r="1105" spans="1:18" x14ac:dyDescent="0.25">
      <c r="A1105" t="s">
        <v>1982</v>
      </c>
      <c r="B1105" t="s">
        <v>487</v>
      </c>
      <c r="C1105" s="1">
        <v>45176</v>
      </c>
      <c r="D1105" s="1" t="str">
        <f>TEXT(Delivery_data[[#This Row],[Order date]], "MMMM")</f>
        <v>September</v>
      </c>
      <c r="E1105" s="1" t="str">
        <f>TEXT(Delivery_data[[#This Row],[Order date]], "DDDD")</f>
        <v>Thursday</v>
      </c>
      <c r="F1105" s="2">
        <v>0.52361111111111114</v>
      </c>
      <c r="G1105" t="s">
        <v>48</v>
      </c>
      <c r="H1105" t="str">
        <f>IF(Delivery_data[[#This Row],[Order Status]] = "In Progress", "Backlog", "Complete")</f>
        <v>Backlog</v>
      </c>
      <c r="I1105" t="s">
        <v>198</v>
      </c>
      <c r="J1105" t="s">
        <v>1633</v>
      </c>
      <c r="K1105" t="s">
        <v>31</v>
      </c>
      <c r="L1105">
        <v>107</v>
      </c>
      <c r="M1105">
        <v>26</v>
      </c>
      <c r="N1105" t="s">
        <v>38</v>
      </c>
      <c r="O1105" t="s">
        <v>33</v>
      </c>
      <c r="P1105" t="s">
        <v>34</v>
      </c>
      <c r="Q1105" t="s">
        <v>46</v>
      </c>
      <c r="R1105" s="2">
        <v>0.61944444444444446</v>
      </c>
    </row>
    <row r="1106" spans="1:18" x14ac:dyDescent="0.25">
      <c r="A1106" t="s">
        <v>2005</v>
      </c>
      <c r="B1106" t="s">
        <v>510</v>
      </c>
      <c r="C1106" s="1">
        <v>45177</v>
      </c>
      <c r="D1106" s="1" t="str">
        <f>TEXT(Delivery_data[[#This Row],[Order date]], "MMMM")</f>
        <v>September</v>
      </c>
      <c r="E1106" s="1" t="str">
        <f>TEXT(Delivery_data[[#This Row],[Order date]], "DDDD")</f>
        <v>Friday</v>
      </c>
      <c r="F1106" s="2">
        <v>0.65833333333333333</v>
      </c>
      <c r="G1106" t="s">
        <v>22</v>
      </c>
      <c r="H1106" t="str">
        <f>IF(Delivery_data[[#This Row],[Order Status]] = "In Progress", "Backlog", "Complete")</f>
        <v>Complete</v>
      </c>
      <c r="I1106" t="s">
        <v>198</v>
      </c>
      <c r="J1106" t="s">
        <v>1637</v>
      </c>
      <c r="K1106" t="s">
        <v>31</v>
      </c>
      <c r="L1106">
        <v>165</v>
      </c>
      <c r="M1106">
        <v>6</v>
      </c>
      <c r="N1106" t="s">
        <v>25</v>
      </c>
      <c r="O1106" t="s">
        <v>26</v>
      </c>
      <c r="P1106" t="s">
        <v>34</v>
      </c>
      <c r="Q1106" t="s">
        <v>51</v>
      </c>
      <c r="R1106" s="2">
        <v>0.47916666666666669</v>
      </c>
    </row>
    <row r="1107" spans="1:18" x14ac:dyDescent="0.25">
      <c r="A1107" t="s">
        <v>2134</v>
      </c>
      <c r="B1107" t="s">
        <v>638</v>
      </c>
      <c r="C1107" s="1">
        <v>45176</v>
      </c>
      <c r="D1107" s="1" t="str">
        <f>TEXT(Delivery_data[[#This Row],[Order date]], "MMMM")</f>
        <v>September</v>
      </c>
      <c r="E1107" s="1" t="str">
        <f>TEXT(Delivery_data[[#This Row],[Order date]], "DDDD")</f>
        <v>Thursday</v>
      </c>
      <c r="F1107" s="2">
        <v>0.69930555555555551</v>
      </c>
      <c r="G1107" t="s">
        <v>48</v>
      </c>
      <c r="H1107" t="str">
        <f>IF(Delivery_data[[#This Row],[Order Status]] = "In Progress", "Backlog", "Complete")</f>
        <v>Backlog</v>
      </c>
      <c r="I1107" t="s">
        <v>198</v>
      </c>
      <c r="J1107" t="s">
        <v>1633</v>
      </c>
      <c r="K1107" t="s">
        <v>61</v>
      </c>
      <c r="L1107">
        <v>125</v>
      </c>
      <c r="M1107">
        <v>16</v>
      </c>
      <c r="N1107" t="s">
        <v>38</v>
      </c>
      <c r="O1107" t="s">
        <v>41</v>
      </c>
      <c r="P1107" t="s">
        <v>45</v>
      </c>
      <c r="Q1107" t="s">
        <v>28</v>
      </c>
      <c r="R1107" s="2">
        <v>0.53402777777777777</v>
      </c>
    </row>
    <row r="1108" spans="1:18" x14ac:dyDescent="0.25">
      <c r="A1108" t="s">
        <v>2141</v>
      </c>
      <c r="B1108" t="s">
        <v>644</v>
      </c>
      <c r="C1108" s="1">
        <v>45172</v>
      </c>
      <c r="D1108" s="1" t="str">
        <f>TEXT(Delivery_data[[#This Row],[Order date]], "MMMM")</f>
        <v>September</v>
      </c>
      <c r="E1108" s="1" t="str">
        <f>TEXT(Delivery_data[[#This Row],[Order date]], "DDDD")</f>
        <v>Sunday</v>
      </c>
      <c r="F1108" s="2">
        <v>0.35069444444444442</v>
      </c>
      <c r="G1108" t="s">
        <v>48</v>
      </c>
      <c r="H1108" t="str">
        <f>IF(Delivery_data[[#This Row],[Order Status]] = "In Progress", "Backlog", "Complete")</f>
        <v>Backlog</v>
      </c>
      <c r="I1108" t="s">
        <v>198</v>
      </c>
      <c r="J1108" t="s">
        <v>1637</v>
      </c>
      <c r="K1108" t="s">
        <v>37</v>
      </c>
      <c r="L1108">
        <v>62</v>
      </c>
      <c r="M1108">
        <v>28</v>
      </c>
      <c r="N1108" t="s">
        <v>25</v>
      </c>
      <c r="O1108" t="s">
        <v>54</v>
      </c>
      <c r="P1108" t="s">
        <v>45</v>
      </c>
      <c r="Q1108" t="s">
        <v>46</v>
      </c>
      <c r="R1108" s="2">
        <v>0.57777777777777772</v>
      </c>
    </row>
    <row r="1109" spans="1:18" x14ac:dyDescent="0.25">
      <c r="A1109" t="s">
        <v>2227</v>
      </c>
      <c r="B1109" t="s">
        <v>728</v>
      </c>
      <c r="C1109" s="1">
        <v>45174</v>
      </c>
      <c r="D1109" s="1" t="str">
        <f>TEXT(Delivery_data[[#This Row],[Order date]], "MMMM")</f>
        <v>September</v>
      </c>
      <c r="E1109" s="1" t="str">
        <f>TEXT(Delivery_data[[#This Row],[Order date]], "DDDD")</f>
        <v>Tuesday</v>
      </c>
      <c r="F1109" s="2">
        <v>0.44722222222222224</v>
      </c>
      <c r="G1109" t="s">
        <v>22</v>
      </c>
      <c r="H1109" t="str">
        <f>IF(Delivery_data[[#This Row],[Order Status]] = "In Progress", "Backlog", "Complete")</f>
        <v>Complete</v>
      </c>
      <c r="I1109" t="s">
        <v>198</v>
      </c>
      <c r="J1109" t="s">
        <v>1637</v>
      </c>
      <c r="K1109" t="s">
        <v>37</v>
      </c>
      <c r="L1109">
        <v>135</v>
      </c>
      <c r="M1109">
        <v>27</v>
      </c>
      <c r="N1109" t="s">
        <v>25</v>
      </c>
      <c r="O1109" t="s">
        <v>50</v>
      </c>
      <c r="P1109" t="s">
        <v>27</v>
      </c>
      <c r="Q1109" t="s">
        <v>28</v>
      </c>
      <c r="R1109" s="2">
        <v>0.48541666666666666</v>
      </c>
    </row>
    <row r="1110" spans="1:18" x14ac:dyDescent="0.25">
      <c r="A1110" t="s">
        <v>2238</v>
      </c>
      <c r="B1110" t="s">
        <v>738</v>
      </c>
      <c r="C1110" s="1">
        <v>45170</v>
      </c>
      <c r="D1110" s="1" t="str">
        <f>TEXT(Delivery_data[[#This Row],[Order date]], "MMMM")</f>
        <v>September</v>
      </c>
      <c r="E1110" s="1" t="str">
        <f>TEXT(Delivery_data[[#This Row],[Order date]], "DDDD")</f>
        <v>Friday</v>
      </c>
      <c r="F1110" s="2">
        <v>0.58680555555555558</v>
      </c>
      <c r="G1110" t="s">
        <v>48</v>
      </c>
      <c r="H1110" t="str">
        <f>IF(Delivery_data[[#This Row],[Order Status]] = "In Progress", "Backlog", "Complete")</f>
        <v>Backlog</v>
      </c>
      <c r="I1110" t="s">
        <v>198</v>
      </c>
      <c r="J1110" t="s">
        <v>1633</v>
      </c>
      <c r="K1110" t="s">
        <v>44</v>
      </c>
      <c r="L1110">
        <v>234</v>
      </c>
      <c r="M1110">
        <v>28</v>
      </c>
      <c r="N1110" t="s">
        <v>38</v>
      </c>
      <c r="O1110" t="s">
        <v>33</v>
      </c>
      <c r="P1110" t="s">
        <v>45</v>
      </c>
      <c r="Q1110" t="s">
        <v>51</v>
      </c>
      <c r="R1110" s="2">
        <v>0.3923611111111111</v>
      </c>
    </row>
    <row r="1111" spans="1:18" x14ac:dyDescent="0.25">
      <c r="A1111" t="s">
        <v>2417</v>
      </c>
      <c r="B1111" t="s">
        <v>910</v>
      </c>
      <c r="C1111" s="1">
        <v>45171</v>
      </c>
      <c r="D1111" s="1" t="str">
        <f>TEXT(Delivery_data[[#This Row],[Order date]], "MMMM")</f>
        <v>September</v>
      </c>
      <c r="E1111" s="1" t="str">
        <f>TEXT(Delivery_data[[#This Row],[Order date]], "DDDD")</f>
        <v>Saturday</v>
      </c>
      <c r="F1111" s="2">
        <v>0.55902777777777779</v>
      </c>
      <c r="G1111" t="s">
        <v>22</v>
      </c>
      <c r="H1111" t="str">
        <f>IF(Delivery_data[[#This Row],[Order Status]] = "In Progress", "Backlog", "Complete")</f>
        <v>Complete</v>
      </c>
      <c r="I1111" t="s">
        <v>198</v>
      </c>
      <c r="J1111" t="s">
        <v>1633</v>
      </c>
      <c r="K1111" t="s">
        <v>24</v>
      </c>
      <c r="L1111">
        <v>143</v>
      </c>
      <c r="M1111">
        <v>21</v>
      </c>
      <c r="N1111" t="s">
        <v>32</v>
      </c>
      <c r="O1111" t="s">
        <v>33</v>
      </c>
      <c r="P1111" t="s">
        <v>34</v>
      </c>
      <c r="Q1111" t="s">
        <v>28</v>
      </c>
      <c r="R1111" s="2">
        <v>0.54513888888888884</v>
      </c>
    </row>
    <row r="1112" spans="1:18" x14ac:dyDescent="0.25">
      <c r="A1112" t="s">
        <v>2450</v>
      </c>
      <c r="B1112" t="s">
        <v>942</v>
      </c>
      <c r="C1112" s="1">
        <v>45172</v>
      </c>
      <c r="D1112" s="1" t="str">
        <f>TEXT(Delivery_data[[#This Row],[Order date]], "MMMM")</f>
        <v>September</v>
      </c>
      <c r="E1112" s="1" t="str">
        <f>TEXT(Delivery_data[[#This Row],[Order date]], "DDDD")</f>
        <v>Sunday</v>
      </c>
      <c r="F1112" s="2">
        <v>0.61250000000000004</v>
      </c>
      <c r="G1112" t="s">
        <v>22</v>
      </c>
      <c r="H1112" t="str">
        <f>IF(Delivery_data[[#This Row],[Order Status]] = "In Progress", "Backlog", "Complete")</f>
        <v>Complete</v>
      </c>
      <c r="I1112" t="s">
        <v>198</v>
      </c>
      <c r="J1112" t="s">
        <v>1633</v>
      </c>
      <c r="K1112" t="s">
        <v>24</v>
      </c>
      <c r="L1112">
        <v>182</v>
      </c>
      <c r="M1112">
        <v>25</v>
      </c>
      <c r="N1112" t="s">
        <v>32</v>
      </c>
      <c r="O1112" t="s">
        <v>41</v>
      </c>
      <c r="P1112" t="s">
        <v>45</v>
      </c>
      <c r="Q1112" t="s">
        <v>46</v>
      </c>
      <c r="R1112" s="2">
        <v>0.51736111111111116</v>
      </c>
    </row>
    <row r="1113" spans="1:18" x14ac:dyDescent="0.25">
      <c r="A1113" t="s">
        <v>2568</v>
      </c>
      <c r="B1113" t="s">
        <v>1053</v>
      </c>
      <c r="C1113" s="1">
        <v>45172</v>
      </c>
      <c r="D1113" s="1" t="str">
        <f>TEXT(Delivery_data[[#This Row],[Order date]], "MMMM")</f>
        <v>September</v>
      </c>
      <c r="E1113" s="1" t="str">
        <f>TEXT(Delivery_data[[#This Row],[Order date]], "DDDD")</f>
        <v>Sunday</v>
      </c>
      <c r="F1113" s="2">
        <v>0.48888888888888887</v>
      </c>
      <c r="G1113" t="s">
        <v>22</v>
      </c>
      <c r="H1113" t="str">
        <f>IF(Delivery_data[[#This Row],[Order Status]] = "In Progress", "Backlog", "Complete")</f>
        <v>Complete</v>
      </c>
      <c r="I1113" t="s">
        <v>198</v>
      </c>
      <c r="J1113" t="s">
        <v>1637</v>
      </c>
      <c r="K1113" t="s">
        <v>44</v>
      </c>
      <c r="L1113">
        <v>173</v>
      </c>
      <c r="M1113">
        <v>19</v>
      </c>
      <c r="N1113" t="s">
        <v>32</v>
      </c>
      <c r="O1113" t="s">
        <v>41</v>
      </c>
      <c r="P1113" t="s">
        <v>34</v>
      </c>
      <c r="Q1113" t="s">
        <v>51</v>
      </c>
      <c r="R1113" s="2">
        <v>0.62777777777777777</v>
      </c>
    </row>
    <row r="1114" spans="1:18" x14ac:dyDescent="0.25">
      <c r="A1114" t="s">
        <v>2999</v>
      </c>
      <c r="B1114" t="s">
        <v>1470</v>
      </c>
      <c r="C1114" s="1">
        <v>45171</v>
      </c>
      <c r="D1114" s="1" t="str">
        <f>TEXT(Delivery_data[[#This Row],[Order date]], "MMMM")</f>
        <v>September</v>
      </c>
      <c r="E1114" s="1" t="str">
        <f>TEXT(Delivery_data[[#This Row],[Order date]], "DDDD")</f>
        <v>Saturday</v>
      </c>
      <c r="F1114" s="2">
        <v>0.55069444444444449</v>
      </c>
      <c r="G1114" t="s">
        <v>48</v>
      </c>
      <c r="H1114" t="str">
        <f>IF(Delivery_data[[#This Row],[Order Status]] = "In Progress", "Backlog", "Complete")</f>
        <v>Backlog</v>
      </c>
      <c r="I1114" t="s">
        <v>198</v>
      </c>
      <c r="J1114" t="s">
        <v>1633</v>
      </c>
      <c r="K1114" t="s">
        <v>61</v>
      </c>
      <c r="L1114">
        <v>152</v>
      </c>
      <c r="M1114">
        <v>22</v>
      </c>
      <c r="N1114" t="s">
        <v>32</v>
      </c>
      <c r="O1114" t="s">
        <v>41</v>
      </c>
      <c r="P1114" t="s">
        <v>45</v>
      </c>
      <c r="Q1114" t="s">
        <v>46</v>
      </c>
      <c r="R1114" s="2">
        <v>0.44305555555555554</v>
      </c>
    </row>
    <row r="1115" spans="1:18" x14ac:dyDescent="0.25">
      <c r="A1115" t="s">
        <v>3082</v>
      </c>
      <c r="B1115" t="s">
        <v>1548</v>
      </c>
      <c r="C1115" s="1">
        <v>45171</v>
      </c>
      <c r="D1115" s="1" t="str">
        <f>TEXT(Delivery_data[[#This Row],[Order date]], "MMMM")</f>
        <v>September</v>
      </c>
      <c r="E1115" s="1" t="str">
        <f>TEXT(Delivery_data[[#This Row],[Order date]], "DDDD")</f>
        <v>Saturday</v>
      </c>
      <c r="F1115" s="2">
        <v>0.68402777777777779</v>
      </c>
      <c r="G1115" t="s">
        <v>48</v>
      </c>
      <c r="H1115" t="str">
        <f>IF(Delivery_data[[#This Row],[Order Status]] = "In Progress", "Backlog", "Complete")</f>
        <v>Backlog</v>
      </c>
      <c r="I1115" t="s">
        <v>198</v>
      </c>
      <c r="J1115" t="s">
        <v>1631</v>
      </c>
      <c r="K1115" t="s">
        <v>37</v>
      </c>
      <c r="L1115">
        <v>199</v>
      </c>
      <c r="M1115">
        <v>5</v>
      </c>
      <c r="N1115" t="s">
        <v>32</v>
      </c>
      <c r="O1115" t="s">
        <v>41</v>
      </c>
      <c r="P1115" t="s">
        <v>27</v>
      </c>
      <c r="Q1115" t="s">
        <v>51</v>
      </c>
      <c r="R1115" s="2">
        <v>0.49444444444444446</v>
      </c>
    </row>
    <row r="1116" spans="1:18" x14ac:dyDescent="0.25">
      <c r="A1116" t="s">
        <v>1709</v>
      </c>
      <c r="B1116" t="s">
        <v>175</v>
      </c>
      <c r="C1116" s="1">
        <v>45174</v>
      </c>
      <c r="D1116" s="1" t="str">
        <f>TEXT(Delivery_data[[#This Row],[Order date]], "MMMM")</f>
        <v>September</v>
      </c>
      <c r="E1116" s="1" t="str">
        <f>TEXT(Delivery_data[[#This Row],[Order date]], "DDDD")</f>
        <v>Tuesday</v>
      </c>
      <c r="F1116" s="2">
        <v>0.33958333333333335</v>
      </c>
      <c r="G1116" t="s">
        <v>48</v>
      </c>
      <c r="H1116" t="str">
        <f>IF(Delivery_data[[#This Row],[Order Status]] = "In Progress", "Backlog", "Complete")</f>
        <v>Backlog</v>
      </c>
      <c r="I1116" t="s">
        <v>176</v>
      </c>
      <c r="J1116" t="s">
        <v>1633</v>
      </c>
      <c r="K1116" t="s">
        <v>24</v>
      </c>
      <c r="L1116">
        <v>187</v>
      </c>
      <c r="M1116">
        <v>21</v>
      </c>
      <c r="N1116" t="s">
        <v>38</v>
      </c>
      <c r="O1116" t="s">
        <v>26</v>
      </c>
      <c r="P1116" t="s">
        <v>34</v>
      </c>
      <c r="Q1116" t="s">
        <v>46</v>
      </c>
      <c r="R1116" s="2">
        <v>0.68680555555555556</v>
      </c>
    </row>
    <row r="1117" spans="1:18" x14ac:dyDescent="0.25">
      <c r="A1117" t="s">
        <v>1711</v>
      </c>
      <c r="B1117" t="s">
        <v>178</v>
      </c>
      <c r="C1117" s="1">
        <v>45173</v>
      </c>
      <c r="D1117" s="1" t="str">
        <f>TEXT(Delivery_data[[#This Row],[Order date]], "MMMM")</f>
        <v>September</v>
      </c>
      <c r="E1117" s="1" t="str">
        <f>TEXT(Delivery_data[[#This Row],[Order date]], "DDDD")</f>
        <v>Monday</v>
      </c>
      <c r="F1117" s="2">
        <v>0.46111111111111114</v>
      </c>
      <c r="G1117" t="s">
        <v>22</v>
      </c>
      <c r="H1117" t="str">
        <f>IF(Delivery_data[[#This Row],[Order Status]] = "In Progress", "Backlog", "Complete")</f>
        <v>Complete</v>
      </c>
      <c r="I1117" t="s">
        <v>176</v>
      </c>
      <c r="J1117" t="s">
        <v>1631</v>
      </c>
      <c r="K1117" t="s">
        <v>37</v>
      </c>
      <c r="L1117">
        <v>141</v>
      </c>
      <c r="M1117">
        <v>22</v>
      </c>
      <c r="N1117" t="s">
        <v>38</v>
      </c>
      <c r="O1117" t="s">
        <v>26</v>
      </c>
      <c r="P1117" t="s">
        <v>34</v>
      </c>
      <c r="Q1117" t="s">
        <v>51</v>
      </c>
      <c r="R1117" s="2">
        <v>0.61805555555555558</v>
      </c>
    </row>
    <row r="1118" spans="1:18" x14ac:dyDescent="0.25">
      <c r="A1118" t="s">
        <v>1882</v>
      </c>
      <c r="B1118" t="s">
        <v>383</v>
      </c>
      <c r="C1118" s="1">
        <v>45174</v>
      </c>
      <c r="D1118" s="1" t="str">
        <f>TEXT(Delivery_data[[#This Row],[Order date]], "MMMM")</f>
        <v>September</v>
      </c>
      <c r="E1118" s="1" t="str">
        <f>TEXT(Delivery_data[[#This Row],[Order date]], "DDDD")</f>
        <v>Tuesday</v>
      </c>
      <c r="F1118" s="2">
        <v>0.51597222222222228</v>
      </c>
      <c r="G1118" t="s">
        <v>22</v>
      </c>
      <c r="H1118" t="str">
        <f>IF(Delivery_data[[#This Row],[Order Status]] = "In Progress", "Backlog", "Complete")</f>
        <v>Complete</v>
      </c>
      <c r="I1118" t="s">
        <v>176</v>
      </c>
      <c r="J1118" t="s">
        <v>1633</v>
      </c>
      <c r="K1118" t="s">
        <v>24</v>
      </c>
      <c r="L1118">
        <v>97</v>
      </c>
      <c r="M1118">
        <v>5</v>
      </c>
      <c r="N1118" t="s">
        <v>32</v>
      </c>
      <c r="O1118" t="s">
        <v>41</v>
      </c>
      <c r="P1118" t="s">
        <v>27</v>
      </c>
      <c r="Q1118" t="s">
        <v>51</v>
      </c>
      <c r="R1118" s="2">
        <v>0.49166666666666664</v>
      </c>
    </row>
    <row r="1119" spans="1:18" x14ac:dyDescent="0.25">
      <c r="A1119" t="s">
        <v>1941</v>
      </c>
      <c r="B1119" t="s">
        <v>444</v>
      </c>
      <c r="C1119" s="1">
        <v>45175</v>
      </c>
      <c r="D1119" s="1" t="str">
        <f>TEXT(Delivery_data[[#This Row],[Order date]], "MMMM")</f>
        <v>September</v>
      </c>
      <c r="E1119" s="1" t="str">
        <f>TEXT(Delivery_data[[#This Row],[Order date]], "DDDD")</f>
        <v>Wednesday</v>
      </c>
      <c r="F1119" s="2">
        <v>0.66388888888888886</v>
      </c>
      <c r="G1119" t="s">
        <v>22</v>
      </c>
      <c r="H1119" t="str">
        <f>IF(Delivery_data[[#This Row],[Order Status]] = "In Progress", "Backlog", "Complete")</f>
        <v>Complete</v>
      </c>
      <c r="I1119" t="s">
        <v>176</v>
      </c>
      <c r="J1119" t="s">
        <v>1631</v>
      </c>
      <c r="K1119" t="s">
        <v>44</v>
      </c>
      <c r="L1119">
        <v>201</v>
      </c>
      <c r="M1119">
        <v>11</v>
      </c>
      <c r="N1119" t="s">
        <v>32</v>
      </c>
      <c r="O1119" t="s">
        <v>26</v>
      </c>
      <c r="P1119" t="s">
        <v>27</v>
      </c>
      <c r="Q1119" t="s">
        <v>28</v>
      </c>
      <c r="R1119" s="2">
        <v>0.39930555555555558</v>
      </c>
    </row>
    <row r="1120" spans="1:18" x14ac:dyDescent="0.25">
      <c r="A1120" t="s">
        <v>2089</v>
      </c>
      <c r="B1120" t="s">
        <v>594</v>
      </c>
      <c r="C1120" s="1">
        <v>45176</v>
      </c>
      <c r="D1120" s="1" t="str">
        <f>TEXT(Delivery_data[[#This Row],[Order date]], "MMMM")</f>
        <v>September</v>
      </c>
      <c r="E1120" s="1" t="str">
        <f>TEXT(Delivery_data[[#This Row],[Order date]], "DDDD")</f>
        <v>Thursday</v>
      </c>
      <c r="F1120" s="2">
        <v>0.3347222222222222</v>
      </c>
      <c r="G1120" t="s">
        <v>48</v>
      </c>
      <c r="H1120" t="str">
        <f>IF(Delivery_data[[#This Row],[Order Status]] = "In Progress", "Backlog", "Complete")</f>
        <v>Backlog</v>
      </c>
      <c r="I1120" t="s">
        <v>176</v>
      </c>
      <c r="J1120" t="s">
        <v>1633</v>
      </c>
      <c r="K1120" t="s">
        <v>24</v>
      </c>
      <c r="L1120">
        <v>198</v>
      </c>
      <c r="M1120">
        <v>28</v>
      </c>
      <c r="N1120" t="s">
        <v>32</v>
      </c>
      <c r="O1120" t="s">
        <v>41</v>
      </c>
      <c r="P1120" t="s">
        <v>27</v>
      </c>
      <c r="Q1120" t="s">
        <v>51</v>
      </c>
      <c r="R1120" s="2">
        <v>0.53819444444444442</v>
      </c>
    </row>
    <row r="1121" spans="1:18" x14ac:dyDescent="0.25">
      <c r="A1121" t="s">
        <v>2136</v>
      </c>
      <c r="B1121" t="s">
        <v>640</v>
      </c>
      <c r="C1121" s="1">
        <v>45173</v>
      </c>
      <c r="D1121" s="1" t="str">
        <f>TEXT(Delivery_data[[#This Row],[Order date]], "MMMM")</f>
        <v>September</v>
      </c>
      <c r="E1121" s="1" t="str">
        <f>TEXT(Delivery_data[[#This Row],[Order date]], "DDDD")</f>
        <v>Monday</v>
      </c>
      <c r="F1121" s="2">
        <v>0.45624999999999999</v>
      </c>
      <c r="G1121" t="s">
        <v>48</v>
      </c>
      <c r="H1121" t="str">
        <f>IF(Delivery_data[[#This Row],[Order Status]] = "In Progress", "Backlog", "Complete")</f>
        <v>Backlog</v>
      </c>
      <c r="I1121" t="s">
        <v>176</v>
      </c>
      <c r="J1121" t="s">
        <v>1633</v>
      </c>
      <c r="K1121" t="s">
        <v>31</v>
      </c>
      <c r="L1121">
        <v>75</v>
      </c>
      <c r="M1121">
        <v>28</v>
      </c>
      <c r="N1121" t="s">
        <v>38</v>
      </c>
      <c r="O1121" t="s">
        <v>50</v>
      </c>
      <c r="P1121" t="s">
        <v>45</v>
      </c>
      <c r="Q1121" t="s">
        <v>46</v>
      </c>
      <c r="R1121" s="2">
        <v>0.39374999999999999</v>
      </c>
    </row>
    <row r="1122" spans="1:18" x14ac:dyDescent="0.25">
      <c r="A1122" t="s">
        <v>2149</v>
      </c>
      <c r="B1122" t="s">
        <v>652</v>
      </c>
      <c r="C1122" s="1">
        <v>45176</v>
      </c>
      <c r="D1122" s="1" t="str">
        <f>TEXT(Delivery_data[[#This Row],[Order date]], "MMMM")</f>
        <v>September</v>
      </c>
      <c r="E1122" s="1" t="str">
        <f>TEXT(Delivery_data[[#This Row],[Order date]], "DDDD")</f>
        <v>Thursday</v>
      </c>
      <c r="F1122" s="2">
        <v>0.64375000000000004</v>
      </c>
      <c r="G1122" t="s">
        <v>48</v>
      </c>
      <c r="H1122" t="str">
        <f>IF(Delivery_data[[#This Row],[Order Status]] = "In Progress", "Backlog", "Complete")</f>
        <v>Backlog</v>
      </c>
      <c r="I1122" t="s">
        <v>176</v>
      </c>
      <c r="J1122" t="s">
        <v>1631</v>
      </c>
      <c r="K1122" t="s">
        <v>24</v>
      </c>
      <c r="L1122">
        <v>231</v>
      </c>
      <c r="M1122">
        <v>16</v>
      </c>
      <c r="N1122" t="s">
        <v>25</v>
      </c>
      <c r="O1122" t="s">
        <v>26</v>
      </c>
      <c r="P1122" t="s">
        <v>45</v>
      </c>
      <c r="Q1122" t="s">
        <v>51</v>
      </c>
      <c r="R1122" s="2">
        <v>0.69791666666666663</v>
      </c>
    </row>
    <row r="1123" spans="1:18" x14ac:dyDescent="0.25">
      <c r="A1123" t="s">
        <v>2176</v>
      </c>
      <c r="B1123" t="s">
        <v>677</v>
      </c>
      <c r="C1123" s="1">
        <v>45171</v>
      </c>
      <c r="D1123" s="1" t="str">
        <f>TEXT(Delivery_data[[#This Row],[Order date]], "MMMM")</f>
        <v>September</v>
      </c>
      <c r="E1123" s="1" t="str">
        <f>TEXT(Delivery_data[[#This Row],[Order date]], "DDDD")</f>
        <v>Saturday</v>
      </c>
      <c r="F1123" s="2">
        <v>0.68055555555555558</v>
      </c>
      <c r="G1123" t="s">
        <v>22</v>
      </c>
      <c r="H1123" t="str">
        <f>IF(Delivery_data[[#This Row],[Order Status]] = "In Progress", "Backlog", "Complete")</f>
        <v>Complete</v>
      </c>
      <c r="I1123" t="s">
        <v>176</v>
      </c>
      <c r="J1123" t="s">
        <v>1637</v>
      </c>
      <c r="K1123" t="s">
        <v>44</v>
      </c>
      <c r="L1123">
        <v>179</v>
      </c>
      <c r="M1123">
        <v>9</v>
      </c>
      <c r="N1123" t="s">
        <v>38</v>
      </c>
      <c r="O1123" t="s">
        <v>54</v>
      </c>
      <c r="P1123" t="s">
        <v>27</v>
      </c>
      <c r="Q1123" t="s">
        <v>51</v>
      </c>
      <c r="R1123" s="2">
        <v>0.45208333333333334</v>
      </c>
    </row>
    <row r="1124" spans="1:18" x14ac:dyDescent="0.25">
      <c r="A1124" t="s">
        <v>2224</v>
      </c>
      <c r="B1124" t="s">
        <v>725</v>
      </c>
      <c r="C1124" s="1">
        <v>45175</v>
      </c>
      <c r="D1124" s="1" t="str">
        <f>TEXT(Delivery_data[[#This Row],[Order date]], "MMMM")</f>
        <v>September</v>
      </c>
      <c r="E1124" s="1" t="str">
        <f>TEXT(Delivery_data[[#This Row],[Order date]], "DDDD")</f>
        <v>Wednesday</v>
      </c>
      <c r="F1124" s="2">
        <v>0.69374999999999998</v>
      </c>
      <c r="G1124" t="s">
        <v>48</v>
      </c>
      <c r="H1124" t="str">
        <f>IF(Delivery_data[[#This Row],[Order Status]] = "In Progress", "Backlog", "Complete")</f>
        <v>Backlog</v>
      </c>
      <c r="I1124" t="s">
        <v>176</v>
      </c>
      <c r="J1124" t="s">
        <v>1637</v>
      </c>
      <c r="K1124" t="s">
        <v>31</v>
      </c>
      <c r="L1124">
        <v>159</v>
      </c>
      <c r="M1124">
        <v>14</v>
      </c>
      <c r="N1124" t="s">
        <v>25</v>
      </c>
      <c r="O1124" t="s">
        <v>33</v>
      </c>
      <c r="P1124" t="s">
        <v>34</v>
      </c>
      <c r="Q1124" t="s">
        <v>46</v>
      </c>
      <c r="R1124" s="2">
        <v>0.67083333333333328</v>
      </c>
    </row>
    <row r="1125" spans="1:18" x14ac:dyDescent="0.25">
      <c r="A1125" t="s">
        <v>2254</v>
      </c>
      <c r="B1125" t="s">
        <v>754</v>
      </c>
      <c r="C1125" s="1">
        <v>45174</v>
      </c>
      <c r="D1125" s="1" t="str">
        <f>TEXT(Delivery_data[[#This Row],[Order date]], "MMMM")</f>
        <v>September</v>
      </c>
      <c r="E1125" s="1" t="str">
        <f>TEXT(Delivery_data[[#This Row],[Order date]], "DDDD")</f>
        <v>Tuesday</v>
      </c>
      <c r="F1125" s="2">
        <v>0.6333333333333333</v>
      </c>
      <c r="G1125" t="s">
        <v>48</v>
      </c>
      <c r="H1125" t="str">
        <f>IF(Delivery_data[[#This Row],[Order Status]] = "In Progress", "Backlog", "Complete")</f>
        <v>Backlog</v>
      </c>
      <c r="I1125" t="s">
        <v>176</v>
      </c>
      <c r="J1125" t="s">
        <v>1633</v>
      </c>
      <c r="K1125" t="s">
        <v>31</v>
      </c>
      <c r="L1125">
        <v>196</v>
      </c>
      <c r="M1125">
        <v>17</v>
      </c>
      <c r="N1125" t="s">
        <v>38</v>
      </c>
      <c r="O1125" t="s">
        <v>50</v>
      </c>
      <c r="P1125" t="s">
        <v>45</v>
      </c>
      <c r="Q1125" t="s">
        <v>46</v>
      </c>
      <c r="R1125" s="2">
        <v>0.40208333333333335</v>
      </c>
    </row>
    <row r="1126" spans="1:18" x14ac:dyDescent="0.25">
      <c r="A1126" t="s">
        <v>2308</v>
      </c>
      <c r="B1126" t="s">
        <v>806</v>
      </c>
      <c r="C1126" s="1">
        <v>45172</v>
      </c>
      <c r="D1126" s="1" t="str">
        <f>TEXT(Delivery_data[[#This Row],[Order date]], "MMMM")</f>
        <v>September</v>
      </c>
      <c r="E1126" s="1" t="str">
        <f>TEXT(Delivery_data[[#This Row],[Order date]], "DDDD")</f>
        <v>Sunday</v>
      </c>
      <c r="F1126" s="2">
        <v>0.49583333333333335</v>
      </c>
      <c r="G1126" t="s">
        <v>22</v>
      </c>
      <c r="H1126" t="str">
        <f>IF(Delivery_data[[#This Row],[Order Status]] = "In Progress", "Backlog", "Complete")</f>
        <v>Complete</v>
      </c>
      <c r="I1126" t="s">
        <v>176</v>
      </c>
      <c r="J1126" t="s">
        <v>1633</v>
      </c>
      <c r="K1126" t="s">
        <v>61</v>
      </c>
      <c r="L1126">
        <v>161</v>
      </c>
      <c r="M1126">
        <v>1</v>
      </c>
      <c r="N1126" t="s">
        <v>32</v>
      </c>
      <c r="O1126" t="s">
        <v>41</v>
      </c>
      <c r="P1126" t="s">
        <v>27</v>
      </c>
      <c r="Q1126" t="s">
        <v>46</v>
      </c>
      <c r="R1126" s="2">
        <v>0.45069444444444445</v>
      </c>
    </row>
    <row r="1127" spans="1:18" x14ac:dyDescent="0.25">
      <c r="A1127" t="s">
        <v>2330</v>
      </c>
      <c r="B1127" t="s">
        <v>828</v>
      </c>
      <c r="C1127" s="1">
        <v>45177</v>
      </c>
      <c r="D1127" s="1" t="str">
        <f>TEXT(Delivery_data[[#This Row],[Order date]], "MMMM")</f>
        <v>September</v>
      </c>
      <c r="E1127" s="1" t="str">
        <f>TEXT(Delivery_data[[#This Row],[Order date]], "DDDD")</f>
        <v>Friday</v>
      </c>
      <c r="F1127" s="2">
        <v>0.68333333333333335</v>
      </c>
      <c r="G1127" t="s">
        <v>48</v>
      </c>
      <c r="H1127" t="str">
        <f>IF(Delivery_data[[#This Row],[Order Status]] = "In Progress", "Backlog", "Complete")</f>
        <v>Backlog</v>
      </c>
      <c r="I1127" t="s">
        <v>176</v>
      </c>
      <c r="J1127" t="s">
        <v>1631</v>
      </c>
      <c r="K1127" t="s">
        <v>44</v>
      </c>
      <c r="L1127">
        <v>86</v>
      </c>
      <c r="M1127">
        <v>0</v>
      </c>
      <c r="N1127" t="s">
        <v>38</v>
      </c>
      <c r="O1127" t="s">
        <v>50</v>
      </c>
      <c r="P1127" t="s">
        <v>45</v>
      </c>
      <c r="Q1127" t="s">
        <v>46</v>
      </c>
      <c r="R1127" s="2">
        <v>0.46527777777777779</v>
      </c>
    </row>
    <row r="1128" spans="1:18" x14ac:dyDescent="0.25">
      <c r="A1128" t="s">
        <v>2601</v>
      </c>
      <c r="B1128" t="s">
        <v>1085</v>
      </c>
      <c r="C1128" s="1">
        <v>45172</v>
      </c>
      <c r="D1128" s="1" t="str">
        <f>TEXT(Delivery_data[[#This Row],[Order date]], "MMMM")</f>
        <v>September</v>
      </c>
      <c r="E1128" s="1" t="str">
        <f>TEXT(Delivery_data[[#This Row],[Order date]], "DDDD")</f>
        <v>Sunday</v>
      </c>
      <c r="F1128" s="2">
        <v>0.57708333333333328</v>
      </c>
      <c r="G1128" t="s">
        <v>48</v>
      </c>
      <c r="H1128" t="str">
        <f>IF(Delivery_data[[#This Row],[Order Status]] = "In Progress", "Backlog", "Complete")</f>
        <v>Backlog</v>
      </c>
      <c r="I1128" t="s">
        <v>176</v>
      </c>
      <c r="J1128" t="s">
        <v>1637</v>
      </c>
      <c r="K1128" t="s">
        <v>31</v>
      </c>
      <c r="L1128">
        <v>219</v>
      </c>
      <c r="M1128">
        <v>13</v>
      </c>
      <c r="N1128" t="s">
        <v>32</v>
      </c>
      <c r="O1128" t="s">
        <v>33</v>
      </c>
      <c r="P1128" t="s">
        <v>34</v>
      </c>
      <c r="Q1128" t="s">
        <v>46</v>
      </c>
      <c r="R1128" s="2">
        <v>0.5229166666666667</v>
      </c>
    </row>
    <row r="1129" spans="1:18" x14ac:dyDescent="0.25">
      <c r="A1129" t="s">
        <v>2879</v>
      </c>
      <c r="B1129" t="s">
        <v>812</v>
      </c>
      <c r="C1129" s="1">
        <v>45173</v>
      </c>
      <c r="D1129" s="1" t="str">
        <f>TEXT(Delivery_data[[#This Row],[Order date]], "MMMM")</f>
        <v>September</v>
      </c>
      <c r="E1129" s="1" t="str">
        <f>TEXT(Delivery_data[[#This Row],[Order date]], "DDDD")</f>
        <v>Monday</v>
      </c>
      <c r="F1129" s="2">
        <v>0.51041666666666663</v>
      </c>
      <c r="G1129" t="s">
        <v>48</v>
      </c>
      <c r="H1129" t="str">
        <f>IF(Delivery_data[[#This Row],[Order Status]] = "In Progress", "Backlog", "Complete")</f>
        <v>Backlog</v>
      </c>
      <c r="I1129" t="s">
        <v>176</v>
      </c>
      <c r="J1129" t="s">
        <v>1631</v>
      </c>
      <c r="K1129" t="s">
        <v>61</v>
      </c>
      <c r="L1129">
        <v>224</v>
      </c>
      <c r="M1129">
        <v>12</v>
      </c>
      <c r="N1129" t="s">
        <v>25</v>
      </c>
      <c r="O1129" t="s">
        <v>33</v>
      </c>
      <c r="P1129" t="s">
        <v>45</v>
      </c>
      <c r="Q1129" t="s">
        <v>28</v>
      </c>
      <c r="R1129" s="2">
        <v>0.69861111111111107</v>
      </c>
    </row>
    <row r="1130" spans="1:18" x14ac:dyDescent="0.25">
      <c r="A1130" t="s">
        <v>2915</v>
      </c>
      <c r="B1130" t="s">
        <v>1388</v>
      </c>
      <c r="C1130" s="1">
        <v>45170</v>
      </c>
      <c r="D1130" s="1" t="str">
        <f>TEXT(Delivery_data[[#This Row],[Order date]], "MMMM")</f>
        <v>September</v>
      </c>
      <c r="E1130" s="1" t="str">
        <f>TEXT(Delivery_data[[#This Row],[Order date]], "DDDD")</f>
        <v>Friday</v>
      </c>
      <c r="F1130" s="2">
        <v>0.44930555555555557</v>
      </c>
      <c r="G1130" t="s">
        <v>48</v>
      </c>
      <c r="H1130" t="str">
        <f>IF(Delivery_data[[#This Row],[Order Status]] = "In Progress", "Backlog", "Complete")</f>
        <v>Backlog</v>
      </c>
      <c r="I1130" t="s">
        <v>176</v>
      </c>
      <c r="J1130" t="s">
        <v>1633</v>
      </c>
      <c r="K1130" t="s">
        <v>24</v>
      </c>
      <c r="L1130">
        <v>105</v>
      </c>
      <c r="M1130">
        <v>10</v>
      </c>
      <c r="N1130" t="s">
        <v>38</v>
      </c>
      <c r="O1130" t="s">
        <v>50</v>
      </c>
      <c r="P1130" t="s">
        <v>45</v>
      </c>
      <c r="Q1130" t="s">
        <v>46</v>
      </c>
      <c r="R1130" s="2">
        <v>0.48194444444444445</v>
      </c>
    </row>
    <row r="1131" spans="1:18" x14ac:dyDescent="0.25">
      <c r="A1131" t="s">
        <v>1703</v>
      </c>
      <c r="B1131" t="s">
        <v>164</v>
      </c>
      <c r="C1131" s="1">
        <v>45175</v>
      </c>
      <c r="D1131" s="1" t="str">
        <f>TEXT(Delivery_data[[#This Row],[Order date]], "MMMM")</f>
        <v>September</v>
      </c>
      <c r="E1131" s="1" t="str">
        <f>TEXT(Delivery_data[[#This Row],[Order date]], "DDDD")</f>
        <v>Wednesday</v>
      </c>
      <c r="F1131" s="2">
        <v>0.59930555555555554</v>
      </c>
      <c r="G1131" t="s">
        <v>48</v>
      </c>
      <c r="H1131" t="str">
        <f>IF(Delivery_data[[#This Row],[Order Status]] = "In Progress", "Backlog", "Complete")</f>
        <v>Backlog</v>
      </c>
      <c r="I1131" t="s">
        <v>165</v>
      </c>
      <c r="J1131" t="s">
        <v>1637</v>
      </c>
      <c r="K1131" t="s">
        <v>31</v>
      </c>
      <c r="L1131">
        <v>188</v>
      </c>
      <c r="M1131">
        <v>21</v>
      </c>
      <c r="N1131" t="s">
        <v>38</v>
      </c>
      <c r="O1131" t="s">
        <v>50</v>
      </c>
      <c r="P1131" t="s">
        <v>27</v>
      </c>
      <c r="Q1131" t="s">
        <v>28</v>
      </c>
      <c r="R1131" s="2">
        <v>0.51249999999999996</v>
      </c>
    </row>
    <row r="1132" spans="1:18" x14ac:dyDescent="0.25">
      <c r="A1132" t="s">
        <v>1946</v>
      </c>
      <c r="B1132" t="s">
        <v>450</v>
      </c>
      <c r="C1132" s="1">
        <v>45170</v>
      </c>
      <c r="D1132" s="1" t="str">
        <f>TEXT(Delivery_data[[#This Row],[Order date]], "MMMM")</f>
        <v>September</v>
      </c>
      <c r="E1132" s="1" t="str">
        <f>TEXT(Delivery_data[[#This Row],[Order date]], "DDDD")</f>
        <v>Friday</v>
      </c>
      <c r="F1132" s="2">
        <v>0.34444444444444444</v>
      </c>
      <c r="G1132" t="s">
        <v>22</v>
      </c>
      <c r="H1132" t="str">
        <f>IF(Delivery_data[[#This Row],[Order Status]] = "In Progress", "Backlog", "Complete")</f>
        <v>Complete</v>
      </c>
      <c r="I1132" t="s">
        <v>165</v>
      </c>
      <c r="J1132" t="s">
        <v>1637</v>
      </c>
      <c r="K1132" t="s">
        <v>37</v>
      </c>
      <c r="L1132">
        <v>96</v>
      </c>
      <c r="M1132">
        <v>4</v>
      </c>
      <c r="N1132" t="s">
        <v>25</v>
      </c>
      <c r="O1132" t="s">
        <v>41</v>
      </c>
      <c r="P1132" t="s">
        <v>34</v>
      </c>
      <c r="Q1132" t="s">
        <v>46</v>
      </c>
      <c r="R1132" s="2">
        <v>0.39930555555555558</v>
      </c>
    </row>
    <row r="1133" spans="1:18" x14ac:dyDescent="0.25">
      <c r="A1133" t="s">
        <v>2043</v>
      </c>
      <c r="B1133" t="s">
        <v>548</v>
      </c>
      <c r="C1133" s="1">
        <v>45177</v>
      </c>
      <c r="D1133" s="1" t="str">
        <f>TEXT(Delivery_data[[#This Row],[Order date]], "MMMM")</f>
        <v>September</v>
      </c>
      <c r="E1133" s="1" t="str">
        <f>TEXT(Delivery_data[[#This Row],[Order date]], "DDDD")</f>
        <v>Friday</v>
      </c>
      <c r="F1133" s="2">
        <v>0.56319444444444444</v>
      </c>
      <c r="G1133" t="s">
        <v>22</v>
      </c>
      <c r="H1133" t="str">
        <f>IF(Delivery_data[[#This Row],[Order Status]] = "In Progress", "Backlog", "Complete")</f>
        <v>Complete</v>
      </c>
      <c r="I1133" t="s">
        <v>165</v>
      </c>
      <c r="J1133" t="s">
        <v>1637</v>
      </c>
      <c r="K1133" t="s">
        <v>31</v>
      </c>
      <c r="L1133">
        <v>203</v>
      </c>
      <c r="M1133">
        <v>14</v>
      </c>
      <c r="N1133" t="s">
        <v>32</v>
      </c>
      <c r="O1133" t="s">
        <v>33</v>
      </c>
      <c r="P1133" t="s">
        <v>34</v>
      </c>
      <c r="Q1133" t="s">
        <v>51</v>
      </c>
      <c r="R1133" s="2">
        <v>0.69791666666666663</v>
      </c>
    </row>
    <row r="1134" spans="1:18" x14ac:dyDescent="0.25">
      <c r="A1134" t="s">
        <v>2080</v>
      </c>
      <c r="B1134" t="s">
        <v>585</v>
      </c>
      <c r="C1134" s="1">
        <v>45173</v>
      </c>
      <c r="D1134" s="1" t="str">
        <f>TEXT(Delivery_data[[#This Row],[Order date]], "MMMM")</f>
        <v>September</v>
      </c>
      <c r="E1134" s="1" t="str">
        <f>TEXT(Delivery_data[[#This Row],[Order date]], "DDDD")</f>
        <v>Monday</v>
      </c>
      <c r="F1134" s="2">
        <v>0.63958333333333328</v>
      </c>
      <c r="G1134" t="s">
        <v>22</v>
      </c>
      <c r="H1134" t="str">
        <f>IF(Delivery_data[[#This Row],[Order Status]] = "In Progress", "Backlog", "Complete")</f>
        <v>Complete</v>
      </c>
      <c r="I1134" t="s">
        <v>165</v>
      </c>
      <c r="J1134" t="s">
        <v>1631</v>
      </c>
      <c r="K1134" t="s">
        <v>61</v>
      </c>
      <c r="L1134">
        <v>206</v>
      </c>
      <c r="M1134">
        <v>3</v>
      </c>
      <c r="N1134" t="s">
        <v>25</v>
      </c>
      <c r="O1134" t="s">
        <v>50</v>
      </c>
      <c r="P1134" t="s">
        <v>34</v>
      </c>
      <c r="Q1134" t="s">
        <v>51</v>
      </c>
      <c r="R1134" s="2">
        <v>0.41597222222222224</v>
      </c>
    </row>
    <row r="1135" spans="1:18" x14ac:dyDescent="0.25">
      <c r="A1135" t="s">
        <v>2094</v>
      </c>
      <c r="B1135" t="s">
        <v>599</v>
      </c>
      <c r="C1135" s="1">
        <v>45173</v>
      </c>
      <c r="D1135" s="1" t="str">
        <f>TEXT(Delivery_data[[#This Row],[Order date]], "MMMM")</f>
        <v>September</v>
      </c>
      <c r="E1135" s="1" t="str">
        <f>TEXT(Delivery_data[[#This Row],[Order date]], "DDDD")</f>
        <v>Monday</v>
      </c>
      <c r="F1135" s="2">
        <v>0.38055555555555554</v>
      </c>
      <c r="G1135" t="s">
        <v>22</v>
      </c>
      <c r="H1135" t="str">
        <f>IF(Delivery_data[[#This Row],[Order Status]] = "In Progress", "Backlog", "Complete")</f>
        <v>Complete</v>
      </c>
      <c r="I1135" t="s">
        <v>165</v>
      </c>
      <c r="J1135" t="s">
        <v>1631</v>
      </c>
      <c r="K1135" t="s">
        <v>24</v>
      </c>
      <c r="L1135">
        <v>122</v>
      </c>
      <c r="M1135">
        <v>0</v>
      </c>
      <c r="N1135" t="s">
        <v>25</v>
      </c>
      <c r="O1135" t="s">
        <v>50</v>
      </c>
      <c r="P1135" t="s">
        <v>34</v>
      </c>
      <c r="Q1135" t="s">
        <v>51</v>
      </c>
      <c r="R1135" s="2">
        <v>0.41458333333333336</v>
      </c>
    </row>
    <row r="1136" spans="1:18" x14ac:dyDescent="0.25">
      <c r="A1136" t="s">
        <v>2235</v>
      </c>
      <c r="B1136" t="s">
        <v>735</v>
      </c>
      <c r="C1136" s="1">
        <v>45172</v>
      </c>
      <c r="D1136" s="1" t="str">
        <f>TEXT(Delivery_data[[#This Row],[Order date]], "MMMM")</f>
        <v>September</v>
      </c>
      <c r="E1136" s="1" t="str">
        <f>TEXT(Delivery_data[[#This Row],[Order date]], "DDDD")</f>
        <v>Sunday</v>
      </c>
      <c r="F1136" s="2">
        <v>0.36041666666666666</v>
      </c>
      <c r="G1136" t="s">
        <v>22</v>
      </c>
      <c r="H1136" t="str">
        <f>IF(Delivery_data[[#This Row],[Order Status]] = "In Progress", "Backlog", "Complete")</f>
        <v>Complete</v>
      </c>
      <c r="I1136" t="s">
        <v>165</v>
      </c>
      <c r="J1136" t="s">
        <v>1637</v>
      </c>
      <c r="K1136" t="s">
        <v>31</v>
      </c>
      <c r="L1136">
        <v>226</v>
      </c>
      <c r="M1136">
        <v>0</v>
      </c>
      <c r="N1136" t="s">
        <v>25</v>
      </c>
      <c r="O1136" t="s">
        <v>50</v>
      </c>
      <c r="P1136" t="s">
        <v>27</v>
      </c>
      <c r="Q1136" t="s">
        <v>51</v>
      </c>
      <c r="R1136" s="2">
        <v>0.4375</v>
      </c>
    </row>
    <row r="1137" spans="1:18" x14ac:dyDescent="0.25">
      <c r="A1137" t="s">
        <v>2250</v>
      </c>
      <c r="B1137" t="s">
        <v>750</v>
      </c>
      <c r="C1137" s="1">
        <v>45172</v>
      </c>
      <c r="D1137" s="1" t="str">
        <f>TEXT(Delivery_data[[#This Row],[Order date]], "MMMM")</f>
        <v>September</v>
      </c>
      <c r="E1137" s="1" t="str">
        <f>TEXT(Delivery_data[[#This Row],[Order date]], "DDDD")</f>
        <v>Sunday</v>
      </c>
      <c r="F1137" s="2">
        <v>0.59861111111111109</v>
      </c>
      <c r="G1137" t="s">
        <v>22</v>
      </c>
      <c r="H1137" t="str">
        <f>IF(Delivery_data[[#This Row],[Order Status]] = "In Progress", "Backlog", "Complete")</f>
        <v>Complete</v>
      </c>
      <c r="I1137" t="s">
        <v>165</v>
      </c>
      <c r="J1137" t="s">
        <v>1637</v>
      </c>
      <c r="K1137" t="s">
        <v>31</v>
      </c>
      <c r="L1137">
        <v>215</v>
      </c>
      <c r="M1137">
        <v>6</v>
      </c>
      <c r="N1137" t="s">
        <v>25</v>
      </c>
      <c r="O1137" t="s">
        <v>33</v>
      </c>
      <c r="P1137" t="s">
        <v>27</v>
      </c>
      <c r="Q1137" t="s">
        <v>51</v>
      </c>
      <c r="R1137" s="2">
        <v>0.63611111111111107</v>
      </c>
    </row>
    <row r="1138" spans="1:18" x14ac:dyDescent="0.25">
      <c r="A1138" t="s">
        <v>2335</v>
      </c>
      <c r="B1138" t="s">
        <v>833</v>
      </c>
      <c r="C1138" s="1">
        <v>45175</v>
      </c>
      <c r="D1138" s="1" t="str">
        <f>TEXT(Delivery_data[[#This Row],[Order date]], "MMMM")</f>
        <v>September</v>
      </c>
      <c r="E1138" s="1" t="str">
        <f>TEXT(Delivery_data[[#This Row],[Order date]], "DDDD")</f>
        <v>Wednesday</v>
      </c>
      <c r="F1138" s="2">
        <v>0.52569444444444446</v>
      </c>
      <c r="G1138" t="s">
        <v>48</v>
      </c>
      <c r="H1138" t="str">
        <f>IF(Delivery_data[[#This Row],[Order Status]] = "In Progress", "Backlog", "Complete")</f>
        <v>Backlog</v>
      </c>
      <c r="I1138" t="s">
        <v>165</v>
      </c>
      <c r="J1138" t="s">
        <v>1633</v>
      </c>
      <c r="K1138" t="s">
        <v>44</v>
      </c>
      <c r="L1138">
        <v>90</v>
      </c>
      <c r="M1138">
        <v>13</v>
      </c>
      <c r="N1138" t="s">
        <v>38</v>
      </c>
      <c r="O1138" t="s">
        <v>50</v>
      </c>
      <c r="P1138" t="s">
        <v>34</v>
      </c>
      <c r="Q1138" t="s">
        <v>46</v>
      </c>
      <c r="R1138" s="2">
        <v>0.59652777777777777</v>
      </c>
    </row>
    <row r="1139" spans="1:18" x14ac:dyDescent="0.25">
      <c r="A1139" t="s">
        <v>2556</v>
      </c>
      <c r="B1139" t="s">
        <v>1041</v>
      </c>
      <c r="C1139" s="1">
        <v>45172</v>
      </c>
      <c r="D1139" s="1" t="str">
        <f>TEXT(Delivery_data[[#This Row],[Order date]], "MMMM")</f>
        <v>September</v>
      </c>
      <c r="E1139" s="1" t="str">
        <f>TEXT(Delivery_data[[#This Row],[Order date]], "DDDD")</f>
        <v>Sunday</v>
      </c>
      <c r="F1139" s="2">
        <v>0.70208333333333328</v>
      </c>
      <c r="G1139" t="s">
        <v>48</v>
      </c>
      <c r="H1139" t="str">
        <f>IF(Delivery_data[[#This Row],[Order Status]] = "In Progress", "Backlog", "Complete")</f>
        <v>Backlog</v>
      </c>
      <c r="I1139" t="s">
        <v>165</v>
      </c>
      <c r="J1139" t="s">
        <v>1631</v>
      </c>
      <c r="K1139" t="s">
        <v>61</v>
      </c>
      <c r="L1139">
        <v>115</v>
      </c>
      <c r="M1139">
        <v>9</v>
      </c>
      <c r="N1139" t="s">
        <v>32</v>
      </c>
      <c r="O1139" t="s">
        <v>50</v>
      </c>
      <c r="P1139" t="s">
        <v>45</v>
      </c>
      <c r="Q1139" t="s">
        <v>28</v>
      </c>
      <c r="R1139" s="2">
        <v>0.63611111111111107</v>
      </c>
    </row>
    <row r="1140" spans="1:18" x14ac:dyDescent="0.25">
      <c r="A1140" t="s">
        <v>2747</v>
      </c>
      <c r="B1140" t="s">
        <v>1227</v>
      </c>
      <c r="C1140" s="1">
        <v>45173</v>
      </c>
      <c r="D1140" s="1" t="str">
        <f>TEXT(Delivery_data[[#This Row],[Order date]], "MMMM")</f>
        <v>September</v>
      </c>
      <c r="E1140" s="1" t="str">
        <f>TEXT(Delivery_data[[#This Row],[Order date]], "DDDD")</f>
        <v>Monday</v>
      </c>
      <c r="F1140" s="2">
        <v>0.45694444444444443</v>
      </c>
      <c r="G1140" t="s">
        <v>22</v>
      </c>
      <c r="H1140" t="str">
        <f>IF(Delivery_data[[#This Row],[Order Status]] = "In Progress", "Backlog", "Complete")</f>
        <v>Complete</v>
      </c>
      <c r="I1140" t="s">
        <v>165</v>
      </c>
      <c r="J1140" t="s">
        <v>1631</v>
      </c>
      <c r="K1140" t="s">
        <v>37</v>
      </c>
      <c r="L1140">
        <v>62</v>
      </c>
      <c r="M1140">
        <v>27</v>
      </c>
      <c r="N1140" t="s">
        <v>32</v>
      </c>
      <c r="O1140" t="s">
        <v>41</v>
      </c>
      <c r="P1140" t="s">
        <v>27</v>
      </c>
      <c r="Q1140" t="s">
        <v>51</v>
      </c>
      <c r="R1140" s="2">
        <v>0.70972222222222225</v>
      </c>
    </row>
    <row r="1141" spans="1:18" x14ac:dyDescent="0.25">
      <c r="A1141" t="s">
        <v>2853</v>
      </c>
      <c r="B1141" t="s">
        <v>1329</v>
      </c>
      <c r="C1141" s="1">
        <v>45171</v>
      </c>
      <c r="D1141" s="1" t="str">
        <f>TEXT(Delivery_data[[#This Row],[Order date]], "MMMM")</f>
        <v>September</v>
      </c>
      <c r="E1141" s="1" t="str">
        <f>TEXT(Delivery_data[[#This Row],[Order date]], "DDDD")</f>
        <v>Saturday</v>
      </c>
      <c r="F1141" s="2">
        <v>0.53402777777777777</v>
      </c>
      <c r="G1141" t="s">
        <v>48</v>
      </c>
      <c r="H1141" t="str">
        <f>IF(Delivery_data[[#This Row],[Order Status]] = "In Progress", "Backlog", "Complete")</f>
        <v>Backlog</v>
      </c>
      <c r="I1141" t="s">
        <v>165</v>
      </c>
      <c r="J1141" t="s">
        <v>1633</v>
      </c>
      <c r="K1141" t="s">
        <v>37</v>
      </c>
      <c r="L1141">
        <v>186</v>
      </c>
      <c r="M1141">
        <v>17</v>
      </c>
      <c r="N1141" t="s">
        <v>38</v>
      </c>
      <c r="O1141" t="s">
        <v>41</v>
      </c>
      <c r="P1141" t="s">
        <v>45</v>
      </c>
      <c r="Q1141" t="s">
        <v>46</v>
      </c>
      <c r="R1141" s="2">
        <v>0.48333333333333334</v>
      </c>
    </row>
    <row r="1142" spans="1:18" x14ac:dyDescent="0.25">
      <c r="A1142" t="s">
        <v>2974</v>
      </c>
      <c r="B1142" t="s">
        <v>1447</v>
      </c>
      <c r="C1142" s="1">
        <v>45171</v>
      </c>
      <c r="D1142" s="1" t="str">
        <f>TEXT(Delivery_data[[#This Row],[Order date]], "MMMM")</f>
        <v>September</v>
      </c>
      <c r="E1142" s="1" t="str">
        <f>TEXT(Delivery_data[[#This Row],[Order date]], "DDDD")</f>
        <v>Saturday</v>
      </c>
      <c r="F1142" s="2">
        <v>0.59930555555555554</v>
      </c>
      <c r="G1142" t="s">
        <v>48</v>
      </c>
      <c r="H1142" t="str">
        <f>IF(Delivery_data[[#This Row],[Order Status]] = "In Progress", "Backlog", "Complete")</f>
        <v>Backlog</v>
      </c>
      <c r="I1142" t="s">
        <v>165</v>
      </c>
      <c r="J1142" t="s">
        <v>1637</v>
      </c>
      <c r="K1142" t="s">
        <v>44</v>
      </c>
      <c r="L1142">
        <v>148</v>
      </c>
      <c r="M1142">
        <v>17</v>
      </c>
      <c r="N1142" t="s">
        <v>38</v>
      </c>
      <c r="O1142" t="s">
        <v>41</v>
      </c>
      <c r="P1142" t="s">
        <v>27</v>
      </c>
      <c r="Q1142" t="s">
        <v>28</v>
      </c>
      <c r="R1142" s="2">
        <v>0.38680555555555557</v>
      </c>
    </row>
    <row r="1143" spans="1:18" x14ac:dyDescent="0.25">
      <c r="A1143" t="s">
        <v>1705</v>
      </c>
      <c r="B1143" t="s">
        <v>168</v>
      </c>
      <c r="C1143" s="1">
        <v>45171</v>
      </c>
      <c r="D1143" s="1" t="str">
        <f>TEXT(Delivery_data[[#This Row],[Order date]], "MMMM")</f>
        <v>September</v>
      </c>
      <c r="E1143" s="1" t="str">
        <f>TEXT(Delivery_data[[#This Row],[Order date]], "DDDD")</f>
        <v>Saturday</v>
      </c>
      <c r="F1143" s="2">
        <v>0.52708333333333335</v>
      </c>
      <c r="G1143" t="s">
        <v>48</v>
      </c>
      <c r="H1143" t="str">
        <f>IF(Delivery_data[[#This Row],[Order Status]] = "In Progress", "Backlog", "Complete")</f>
        <v>Backlog</v>
      </c>
      <c r="I1143" t="s">
        <v>169</v>
      </c>
      <c r="J1143" t="s">
        <v>1631</v>
      </c>
      <c r="K1143" t="s">
        <v>37</v>
      </c>
      <c r="L1143">
        <v>220</v>
      </c>
      <c r="M1143">
        <v>17</v>
      </c>
      <c r="N1143" t="s">
        <v>38</v>
      </c>
      <c r="O1143" t="s">
        <v>54</v>
      </c>
      <c r="P1143" t="s">
        <v>34</v>
      </c>
      <c r="Q1143" t="s">
        <v>46</v>
      </c>
      <c r="R1143" s="2">
        <v>0.58888888888888891</v>
      </c>
    </row>
    <row r="1144" spans="1:18" x14ac:dyDescent="0.25">
      <c r="A1144" t="s">
        <v>1770</v>
      </c>
      <c r="B1144" t="s">
        <v>256</v>
      </c>
      <c r="C1144" s="1">
        <v>45171</v>
      </c>
      <c r="D1144" s="1" t="str">
        <f>TEXT(Delivery_data[[#This Row],[Order date]], "MMMM")</f>
        <v>September</v>
      </c>
      <c r="E1144" s="1" t="str">
        <f>TEXT(Delivery_data[[#This Row],[Order date]], "DDDD")</f>
        <v>Saturday</v>
      </c>
      <c r="F1144" s="2">
        <v>0.65208333333333335</v>
      </c>
      <c r="G1144" t="s">
        <v>22</v>
      </c>
      <c r="H1144" t="str">
        <f>IF(Delivery_data[[#This Row],[Order Status]] = "In Progress", "Backlog", "Complete")</f>
        <v>Complete</v>
      </c>
      <c r="I1144" t="s">
        <v>169</v>
      </c>
      <c r="J1144" t="s">
        <v>1637</v>
      </c>
      <c r="K1144" t="s">
        <v>44</v>
      </c>
      <c r="L1144">
        <v>72</v>
      </c>
      <c r="M1144">
        <v>11</v>
      </c>
      <c r="N1144" t="s">
        <v>25</v>
      </c>
      <c r="O1144" t="s">
        <v>26</v>
      </c>
      <c r="P1144" t="s">
        <v>34</v>
      </c>
      <c r="Q1144" t="s">
        <v>51</v>
      </c>
      <c r="R1144" s="2">
        <v>0.68263888888888891</v>
      </c>
    </row>
    <row r="1145" spans="1:18" x14ac:dyDescent="0.25">
      <c r="A1145" t="s">
        <v>1844</v>
      </c>
      <c r="B1145" t="s">
        <v>343</v>
      </c>
      <c r="C1145" s="1">
        <v>45172</v>
      </c>
      <c r="D1145" s="1" t="str">
        <f>TEXT(Delivery_data[[#This Row],[Order date]], "MMMM")</f>
        <v>September</v>
      </c>
      <c r="E1145" s="1" t="str">
        <f>TEXT(Delivery_data[[#This Row],[Order date]], "DDDD")</f>
        <v>Sunday</v>
      </c>
      <c r="F1145" s="2">
        <v>0.56874999999999998</v>
      </c>
      <c r="G1145" t="s">
        <v>22</v>
      </c>
      <c r="H1145" t="str">
        <f>IF(Delivery_data[[#This Row],[Order Status]] = "In Progress", "Backlog", "Complete")</f>
        <v>Complete</v>
      </c>
      <c r="I1145" t="s">
        <v>169</v>
      </c>
      <c r="J1145" t="s">
        <v>1637</v>
      </c>
      <c r="K1145" t="s">
        <v>37</v>
      </c>
      <c r="L1145">
        <v>105</v>
      </c>
      <c r="M1145">
        <v>6</v>
      </c>
      <c r="N1145" t="s">
        <v>38</v>
      </c>
      <c r="O1145" t="s">
        <v>33</v>
      </c>
      <c r="P1145" t="s">
        <v>45</v>
      </c>
      <c r="Q1145" t="s">
        <v>51</v>
      </c>
      <c r="R1145" s="2">
        <v>0.62708333333333333</v>
      </c>
    </row>
    <row r="1146" spans="1:18" x14ac:dyDescent="0.25">
      <c r="A1146" t="s">
        <v>1873</v>
      </c>
      <c r="B1146" t="s">
        <v>372</v>
      </c>
      <c r="C1146" s="1">
        <v>45175</v>
      </c>
      <c r="D1146" s="1" t="str">
        <f>TEXT(Delivery_data[[#This Row],[Order date]], "MMMM")</f>
        <v>September</v>
      </c>
      <c r="E1146" s="1" t="str">
        <f>TEXT(Delivery_data[[#This Row],[Order date]], "DDDD")</f>
        <v>Wednesday</v>
      </c>
      <c r="F1146" s="2">
        <v>0.67083333333333328</v>
      </c>
      <c r="G1146" t="s">
        <v>22</v>
      </c>
      <c r="H1146" t="str">
        <f>IF(Delivery_data[[#This Row],[Order Status]] = "In Progress", "Backlog", "Complete")</f>
        <v>Complete</v>
      </c>
      <c r="I1146" t="s">
        <v>169</v>
      </c>
      <c r="J1146" t="s">
        <v>1631</v>
      </c>
      <c r="K1146" t="s">
        <v>31</v>
      </c>
      <c r="L1146">
        <v>225</v>
      </c>
      <c r="M1146">
        <v>5</v>
      </c>
      <c r="N1146" t="s">
        <v>32</v>
      </c>
      <c r="O1146" t="s">
        <v>33</v>
      </c>
      <c r="P1146" t="s">
        <v>34</v>
      </c>
      <c r="Q1146" t="s">
        <v>28</v>
      </c>
      <c r="R1146" s="2">
        <v>0.56527777777777777</v>
      </c>
    </row>
    <row r="1147" spans="1:18" x14ac:dyDescent="0.25">
      <c r="A1147" t="s">
        <v>2034</v>
      </c>
      <c r="B1147" t="s">
        <v>539</v>
      </c>
      <c r="C1147" s="1">
        <v>45174</v>
      </c>
      <c r="D1147" s="1" t="str">
        <f>TEXT(Delivery_data[[#This Row],[Order date]], "MMMM")</f>
        <v>September</v>
      </c>
      <c r="E1147" s="1" t="str">
        <f>TEXT(Delivery_data[[#This Row],[Order date]], "DDDD")</f>
        <v>Tuesday</v>
      </c>
      <c r="F1147" s="2">
        <v>0.33402777777777776</v>
      </c>
      <c r="G1147" t="s">
        <v>48</v>
      </c>
      <c r="H1147" t="str">
        <f>IF(Delivery_data[[#This Row],[Order Status]] = "In Progress", "Backlog", "Complete")</f>
        <v>Backlog</v>
      </c>
      <c r="I1147" t="s">
        <v>169</v>
      </c>
      <c r="J1147" t="s">
        <v>1631</v>
      </c>
      <c r="K1147" t="s">
        <v>31</v>
      </c>
      <c r="L1147">
        <v>216</v>
      </c>
      <c r="M1147">
        <v>20</v>
      </c>
      <c r="N1147" t="s">
        <v>32</v>
      </c>
      <c r="O1147" t="s">
        <v>26</v>
      </c>
      <c r="P1147" t="s">
        <v>27</v>
      </c>
      <c r="Q1147" t="s">
        <v>51</v>
      </c>
      <c r="R1147" s="2">
        <v>0.7055555555555556</v>
      </c>
    </row>
    <row r="1148" spans="1:18" x14ac:dyDescent="0.25">
      <c r="A1148" t="s">
        <v>2217</v>
      </c>
      <c r="B1148" t="s">
        <v>718</v>
      </c>
      <c r="C1148" s="1">
        <v>45170</v>
      </c>
      <c r="D1148" s="1" t="str">
        <f>TEXT(Delivery_data[[#This Row],[Order date]], "MMMM")</f>
        <v>September</v>
      </c>
      <c r="E1148" s="1" t="str">
        <f>TEXT(Delivery_data[[#This Row],[Order date]], "DDDD")</f>
        <v>Friday</v>
      </c>
      <c r="F1148" s="2">
        <v>0.36527777777777776</v>
      </c>
      <c r="G1148" t="s">
        <v>48</v>
      </c>
      <c r="H1148" t="str">
        <f>IF(Delivery_data[[#This Row],[Order Status]] = "In Progress", "Backlog", "Complete")</f>
        <v>Backlog</v>
      </c>
      <c r="I1148" t="s">
        <v>169</v>
      </c>
      <c r="J1148" t="s">
        <v>1631</v>
      </c>
      <c r="K1148" t="s">
        <v>37</v>
      </c>
      <c r="L1148">
        <v>66</v>
      </c>
      <c r="M1148">
        <v>21</v>
      </c>
      <c r="N1148" t="s">
        <v>25</v>
      </c>
      <c r="O1148" t="s">
        <v>26</v>
      </c>
      <c r="P1148" t="s">
        <v>27</v>
      </c>
      <c r="Q1148" t="s">
        <v>28</v>
      </c>
      <c r="R1148" s="2">
        <v>0.47083333333333333</v>
      </c>
    </row>
    <row r="1149" spans="1:18" x14ac:dyDescent="0.25">
      <c r="A1149" t="s">
        <v>2279</v>
      </c>
      <c r="B1149" t="s">
        <v>778</v>
      </c>
      <c r="C1149" s="1">
        <v>45175</v>
      </c>
      <c r="D1149" s="1" t="str">
        <f>TEXT(Delivery_data[[#This Row],[Order date]], "MMMM")</f>
        <v>September</v>
      </c>
      <c r="E1149" s="1" t="str">
        <f>TEXT(Delivery_data[[#This Row],[Order date]], "DDDD")</f>
        <v>Wednesday</v>
      </c>
      <c r="F1149" s="2">
        <v>0.54513888888888884</v>
      </c>
      <c r="G1149" t="s">
        <v>48</v>
      </c>
      <c r="H1149" t="str">
        <f>IF(Delivery_data[[#This Row],[Order Status]] = "In Progress", "Backlog", "Complete")</f>
        <v>Backlog</v>
      </c>
      <c r="I1149" t="s">
        <v>169</v>
      </c>
      <c r="J1149" t="s">
        <v>1637</v>
      </c>
      <c r="K1149" t="s">
        <v>37</v>
      </c>
      <c r="L1149">
        <v>221</v>
      </c>
      <c r="M1149">
        <v>24</v>
      </c>
      <c r="N1149" t="s">
        <v>38</v>
      </c>
      <c r="O1149" t="s">
        <v>41</v>
      </c>
      <c r="P1149" t="s">
        <v>27</v>
      </c>
      <c r="Q1149" t="s">
        <v>46</v>
      </c>
      <c r="R1149" s="2">
        <v>0.36666666666666664</v>
      </c>
    </row>
    <row r="1150" spans="1:18" x14ac:dyDescent="0.25">
      <c r="A1150" t="s">
        <v>2635</v>
      </c>
      <c r="B1150" t="s">
        <v>1118</v>
      </c>
      <c r="C1150" s="1">
        <v>45174</v>
      </c>
      <c r="D1150" s="1" t="str">
        <f>TEXT(Delivery_data[[#This Row],[Order date]], "MMMM")</f>
        <v>September</v>
      </c>
      <c r="E1150" s="1" t="str">
        <f>TEXT(Delivery_data[[#This Row],[Order date]], "DDDD")</f>
        <v>Tuesday</v>
      </c>
      <c r="F1150" s="2">
        <v>0.64236111111111116</v>
      </c>
      <c r="G1150" t="s">
        <v>22</v>
      </c>
      <c r="H1150" t="str">
        <f>IF(Delivery_data[[#This Row],[Order Status]] = "In Progress", "Backlog", "Complete")</f>
        <v>Complete</v>
      </c>
      <c r="I1150" t="s">
        <v>169</v>
      </c>
      <c r="J1150" t="s">
        <v>1637</v>
      </c>
      <c r="K1150" t="s">
        <v>24</v>
      </c>
      <c r="L1150">
        <v>158</v>
      </c>
      <c r="M1150">
        <v>16</v>
      </c>
      <c r="N1150" t="s">
        <v>38</v>
      </c>
      <c r="O1150" t="s">
        <v>26</v>
      </c>
      <c r="P1150" t="s">
        <v>27</v>
      </c>
      <c r="Q1150" t="s">
        <v>28</v>
      </c>
      <c r="R1150" s="2">
        <v>0.37222222222222223</v>
      </c>
    </row>
    <row r="1151" spans="1:18" x14ac:dyDescent="0.25">
      <c r="A1151" t="s">
        <v>2645</v>
      </c>
      <c r="B1151" t="s">
        <v>1128</v>
      </c>
      <c r="C1151" s="1">
        <v>45176</v>
      </c>
      <c r="D1151" s="1" t="str">
        <f>TEXT(Delivery_data[[#This Row],[Order date]], "MMMM")</f>
        <v>September</v>
      </c>
      <c r="E1151" s="1" t="str">
        <f>TEXT(Delivery_data[[#This Row],[Order date]], "DDDD")</f>
        <v>Thursday</v>
      </c>
      <c r="F1151" s="2">
        <v>0.35902777777777778</v>
      </c>
      <c r="G1151" t="s">
        <v>48</v>
      </c>
      <c r="H1151" t="str">
        <f>IF(Delivery_data[[#This Row],[Order Status]] = "In Progress", "Backlog", "Complete")</f>
        <v>Backlog</v>
      </c>
      <c r="I1151" t="s">
        <v>169</v>
      </c>
      <c r="J1151" t="s">
        <v>1631</v>
      </c>
      <c r="K1151" t="s">
        <v>24</v>
      </c>
      <c r="L1151">
        <v>94</v>
      </c>
      <c r="M1151">
        <v>28</v>
      </c>
      <c r="N1151" t="s">
        <v>25</v>
      </c>
      <c r="O1151" t="s">
        <v>33</v>
      </c>
      <c r="P1151" t="s">
        <v>34</v>
      </c>
      <c r="Q1151" t="s">
        <v>46</v>
      </c>
      <c r="R1151" s="2">
        <v>0.56874999999999998</v>
      </c>
    </row>
    <row r="1152" spans="1:18" x14ac:dyDescent="0.25">
      <c r="A1152" t="s">
        <v>2702</v>
      </c>
      <c r="B1152" t="s">
        <v>1183</v>
      </c>
      <c r="C1152" s="1">
        <v>45173</v>
      </c>
      <c r="D1152" s="1" t="str">
        <f>TEXT(Delivery_data[[#This Row],[Order date]], "MMMM")</f>
        <v>September</v>
      </c>
      <c r="E1152" s="1" t="str">
        <f>TEXT(Delivery_data[[#This Row],[Order date]], "DDDD")</f>
        <v>Monday</v>
      </c>
      <c r="F1152" s="2">
        <v>0.37777777777777777</v>
      </c>
      <c r="G1152" t="s">
        <v>22</v>
      </c>
      <c r="H1152" t="str">
        <f>IF(Delivery_data[[#This Row],[Order Status]] = "In Progress", "Backlog", "Complete")</f>
        <v>Complete</v>
      </c>
      <c r="I1152" t="s">
        <v>169</v>
      </c>
      <c r="J1152" t="s">
        <v>1631</v>
      </c>
      <c r="K1152" t="s">
        <v>61</v>
      </c>
      <c r="L1152">
        <v>207</v>
      </c>
      <c r="M1152">
        <v>5</v>
      </c>
      <c r="N1152" t="s">
        <v>38</v>
      </c>
      <c r="O1152" t="s">
        <v>41</v>
      </c>
      <c r="P1152" t="s">
        <v>45</v>
      </c>
      <c r="Q1152" t="s">
        <v>46</v>
      </c>
      <c r="R1152" s="2">
        <v>0.42222222222222222</v>
      </c>
    </row>
    <row r="1153" spans="1:18" x14ac:dyDescent="0.25">
      <c r="A1153" t="s">
        <v>2722</v>
      </c>
      <c r="B1153" t="s">
        <v>1203</v>
      </c>
      <c r="C1153" s="1">
        <v>45174</v>
      </c>
      <c r="D1153" s="1" t="str">
        <f>TEXT(Delivery_data[[#This Row],[Order date]], "MMMM")</f>
        <v>September</v>
      </c>
      <c r="E1153" s="1" t="str">
        <f>TEXT(Delivery_data[[#This Row],[Order date]], "DDDD")</f>
        <v>Tuesday</v>
      </c>
      <c r="F1153" s="2">
        <v>0.4597222222222222</v>
      </c>
      <c r="G1153" t="s">
        <v>48</v>
      </c>
      <c r="H1153" t="str">
        <f>IF(Delivery_data[[#This Row],[Order Status]] = "In Progress", "Backlog", "Complete")</f>
        <v>Backlog</v>
      </c>
      <c r="I1153" t="s">
        <v>169</v>
      </c>
      <c r="J1153" t="s">
        <v>1633</v>
      </c>
      <c r="K1153" t="s">
        <v>61</v>
      </c>
      <c r="L1153">
        <v>119</v>
      </c>
      <c r="M1153">
        <v>9</v>
      </c>
      <c r="N1153" t="s">
        <v>38</v>
      </c>
      <c r="O1153" t="s">
        <v>26</v>
      </c>
      <c r="P1153" t="s">
        <v>45</v>
      </c>
      <c r="Q1153" t="s">
        <v>28</v>
      </c>
      <c r="R1153" s="2">
        <v>0.3888888888888889</v>
      </c>
    </row>
    <row r="1154" spans="1:18" x14ac:dyDescent="0.25">
      <c r="A1154" t="s">
        <v>2806</v>
      </c>
      <c r="B1154" t="s">
        <v>1283</v>
      </c>
      <c r="C1154" s="1">
        <v>45172</v>
      </c>
      <c r="D1154" s="1" t="str">
        <f>TEXT(Delivery_data[[#This Row],[Order date]], "MMMM")</f>
        <v>September</v>
      </c>
      <c r="E1154" s="1" t="str">
        <f>TEXT(Delivery_data[[#This Row],[Order date]], "DDDD")</f>
        <v>Sunday</v>
      </c>
      <c r="F1154" s="2">
        <v>0.63611111111111107</v>
      </c>
      <c r="G1154" t="s">
        <v>48</v>
      </c>
      <c r="H1154" t="str">
        <f>IF(Delivery_data[[#This Row],[Order Status]] = "In Progress", "Backlog", "Complete")</f>
        <v>Backlog</v>
      </c>
      <c r="I1154" t="s">
        <v>169</v>
      </c>
      <c r="J1154" t="s">
        <v>1631</v>
      </c>
      <c r="K1154" t="s">
        <v>44</v>
      </c>
      <c r="L1154">
        <v>89</v>
      </c>
      <c r="M1154">
        <v>18</v>
      </c>
      <c r="N1154" t="s">
        <v>38</v>
      </c>
      <c r="O1154" t="s">
        <v>26</v>
      </c>
      <c r="P1154" t="s">
        <v>27</v>
      </c>
      <c r="Q1154" t="s">
        <v>46</v>
      </c>
      <c r="R1154" s="2">
        <v>0.67708333333333337</v>
      </c>
    </row>
    <row r="1155" spans="1:18" x14ac:dyDescent="0.25">
      <c r="A1155" t="s">
        <v>2996</v>
      </c>
      <c r="B1155" t="s">
        <v>1468</v>
      </c>
      <c r="C1155" s="1">
        <v>45175</v>
      </c>
      <c r="D1155" s="1" t="str">
        <f>TEXT(Delivery_data[[#This Row],[Order date]], "MMMM")</f>
        <v>September</v>
      </c>
      <c r="E1155" s="1" t="str">
        <f>TEXT(Delivery_data[[#This Row],[Order date]], "DDDD")</f>
        <v>Wednesday</v>
      </c>
      <c r="F1155" s="2">
        <v>0.67638888888888893</v>
      </c>
      <c r="G1155" t="s">
        <v>48</v>
      </c>
      <c r="H1155" t="str">
        <f>IF(Delivery_data[[#This Row],[Order Status]] = "In Progress", "Backlog", "Complete")</f>
        <v>Backlog</v>
      </c>
      <c r="I1155" t="s">
        <v>169</v>
      </c>
      <c r="J1155" t="s">
        <v>1631</v>
      </c>
      <c r="K1155" t="s">
        <v>37</v>
      </c>
      <c r="L1155">
        <v>202</v>
      </c>
      <c r="M1155">
        <v>6</v>
      </c>
      <c r="N1155" t="s">
        <v>38</v>
      </c>
      <c r="O1155" t="s">
        <v>54</v>
      </c>
      <c r="P1155" t="s">
        <v>45</v>
      </c>
      <c r="Q1155" t="s">
        <v>28</v>
      </c>
      <c r="R1155" s="2">
        <v>0.65625</v>
      </c>
    </row>
    <row r="1156" spans="1:18" x14ac:dyDescent="0.25">
      <c r="A1156" t="s">
        <v>1636</v>
      </c>
      <c r="B1156" t="s">
        <v>42</v>
      </c>
      <c r="C1156" s="1">
        <v>45170</v>
      </c>
      <c r="D1156" s="1" t="str">
        <f>TEXT(Delivery_data[[#This Row],[Order date]], "MMMM")</f>
        <v>September</v>
      </c>
      <c r="E1156" s="1" t="str">
        <f>TEXT(Delivery_data[[#This Row],[Order date]], "DDDD")</f>
        <v>Friday</v>
      </c>
      <c r="F1156" s="2">
        <v>0.47430555555555554</v>
      </c>
      <c r="G1156" t="s">
        <v>22</v>
      </c>
      <c r="H1156" t="str">
        <f>IF(Delivery_data[[#This Row],[Order Status]] = "In Progress", "Backlog", "Complete")</f>
        <v>Complete</v>
      </c>
      <c r="I1156" t="s">
        <v>43</v>
      </c>
      <c r="J1156" t="s">
        <v>1637</v>
      </c>
      <c r="K1156" t="s">
        <v>44</v>
      </c>
      <c r="L1156">
        <v>103</v>
      </c>
      <c r="M1156">
        <v>17</v>
      </c>
      <c r="N1156" t="s">
        <v>38</v>
      </c>
      <c r="O1156" t="s">
        <v>26</v>
      </c>
      <c r="P1156" t="s">
        <v>45</v>
      </c>
      <c r="Q1156" t="s">
        <v>46</v>
      </c>
      <c r="R1156" s="2">
        <v>0.50555555555555554</v>
      </c>
    </row>
    <row r="1157" spans="1:18" x14ac:dyDescent="0.25">
      <c r="A1157" t="s">
        <v>1932</v>
      </c>
      <c r="B1157" t="s">
        <v>435</v>
      </c>
      <c r="C1157" s="1">
        <v>45171</v>
      </c>
      <c r="D1157" s="1" t="str">
        <f>TEXT(Delivery_data[[#This Row],[Order date]], "MMMM")</f>
        <v>September</v>
      </c>
      <c r="E1157" s="1" t="str">
        <f>TEXT(Delivery_data[[#This Row],[Order date]], "DDDD")</f>
        <v>Saturday</v>
      </c>
      <c r="F1157" s="2">
        <v>0.41249999999999998</v>
      </c>
      <c r="G1157" t="s">
        <v>48</v>
      </c>
      <c r="H1157" t="str">
        <f>IF(Delivery_data[[#This Row],[Order Status]] = "In Progress", "Backlog", "Complete")</f>
        <v>Backlog</v>
      </c>
      <c r="I1157" t="s">
        <v>43</v>
      </c>
      <c r="J1157" t="s">
        <v>1631</v>
      </c>
      <c r="K1157" t="s">
        <v>24</v>
      </c>
      <c r="L1157">
        <v>178</v>
      </c>
      <c r="M1157">
        <v>29</v>
      </c>
      <c r="N1157" t="s">
        <v>25</v>
      </c>
      <c r="O1157" t="s">
        <v>54</v>
      </c>
      <c r="P1157" t="s">
        <v>27</v>
      </c>
      <c r="Q1157" t="s">
        <v>51</v>
      </c>
      <c r="R1157" s="2">
        <v>0.67847222222222225</v>
      </c>
    </row>
    <row r="1158" spans="1:18" x14ac:dyDescent="0.25">
      <c r="A1158" t="s">
        <v>2278</v>
      </c>
      <c r="B1158" t="s">
        <v>777</v>
      </c>
      <c r="C1158" s="1">
        <v>45175</v>
      </c>
      <c r="D1158" s="1" t="str">
        <f>TEXT(Delivery_data[[#This Row],[Order date]], "MMMM")</f>
        <v>September</v>
      </c>
      <c r="E1158" s="1" t="str">
        <f>TEXT(Delivery_data[[#This Row],[Order date]], "DDDD")</f>
        <v>Wednesday</v>
      </c>
      <c r="F1158" s="2">
        <v>0.65208333333333335</v>
      </c>
      <c r="G1158" t="s">
        <v>22</v>
      </c>
      <c r="H1158" t="str">
        <f>IF(Delivery_data[[#This Row],[Order Status]] = "In Progress", "Backlog", "Complete")</f>
        <v>Complete</v>
      </c>
      <c r="I1158" t="s">
        <v>43</v>
      </c>
      <c r="J1158" t="s">
        <v>1633</v>
      </c>
      <c r="K1158" t="s">
        <v>37</v>
      </c>
      <c r="L1158">
        <v>97</v>
      </c>
      <c r="M1158">
        <v>5</v>
      </c>
      <c r="N1158" t="s">
        <v>32</v>
      </c>
      <c r="O1158" t="s">
        <v>26</v>
      </c>
      <c r="P1158" t="s">
        <v>34</v>
      </c>
      <c r="Q1158" t="s">
        <v>46</v>
      </c>
      <c r="R1158" s="2">
        <v>0.61736111111111114</v>
      </c>
    </row>
    <row r="1159" spans="1:18" x14ac:dyDescent="0.25">
      <c r="A1159" t="s">
        <v>2332</v>
      </c>
      <c r="B1159" t="s">
        <v>830</v>
      </c>
      <c r="C1159" s="1">
        <v>45174</v>
      </c>
      <c r="D1159" s="1" t="str">
        <f>TEXT(Delivery_data[[#This Row],[Order date]], "MMMM")</f>
        <v>September</v>
      </c>
      <c r="E1159" s="1" t="str">
        <f>TEXT(Delivery_data[[#This Row],[Order date]], "DDDD")</f>
        <v>Tuesday</v>
      </c>
      <c r="F1159" s="2">
        <v>0.47916666666666669</v>
      </c>
      <c r="G1159" t="s">
        <v>22</v>
      </c>
      <c r="H1159" t="str">
        <f>IF(Delivery_data[[#This Row],[Order Status]] = "In Progress", "Backlog", "Complete")</f>
        <v>Complete</v>
      </c>
      <c r="I1159" t="s">
        <v>43</v>
      </c>
      <c r="J1159" t="s">
        <v>1631</v>
      </c>
      <c r="K1159" t="s">
        <v>24</v>
      </c>
      <c r="L1159">
        <v>225</v>
      </c>
      <c r="M1159">
        <v>12</v>
      </c>
      <c r="N1159" t="s">
        <v>38</v>
      </c>
      <c r="O1159" t="s">
        <v>50</v>
      </c>
      <c r="P1159" t="s">
        <v>45</v>
      </c>
      <c r="Q1159" t="s">
        <v>28</v>
      </c>
      <c r="R1159" s="2">
        <v>0.71736111111111112</v>
      </c>
    </row>
    <row r="1160" spans="1:18" x14ac:dyDescent="0.25">
      <c r="A1160" t="s">
        <v>2365</v>
      </c>
      <c r="B1160" t="s">
        <v>862</v>
      </c>
      <c r="C1160" s="1">
        <v>45172</v>
      </c>
      <c r="D1160" s="1" t="str">
        <f>TEXT(Delivery_data[[#This Row],[Order date]], "MMMM")</f>
        <v>September</v>
      </c>
      <c r="E1160" s="1" t="str">
        <f>TEXT(Delivery_data[[#This Row],[Order date]], "DDDD")</f>
        <v>Sunday</v>
      </c>
      <c r="F1160" s="2">
        <v>0.37222222222222223</v>
      </c>
      <c r="G1160" t="s">
        <v>22</v>
      </c>
      <c r="H1160" t="str">
        <f>IF(Delivery_data[[#This Row],[Order Status]] = "In Progress", "Backlog", "Complete")</f>
        <v>Complete</v>
      </c>
      <c r="I1160" t="s">
        <v>43</v>
      </c>
      <c r="J1160" t="s">
        <v>1637</v>
      </c>
      <c r="K1160" t="s">
        <v>31</v>
      </c>
      <c r="L1160">
        <v>137</v>
      </c>
      <c r="M1160">
        <v>24</v>
      </c>
      <c r="N1160" t="s">
        <v>38</v>
      </c>
      <c r="O1160" t="s">
        <v>54</v>
      </c>
      <c r="P1160" t="s">
        <v>27</v>
      </c>
      <c r="Q1160" t="s">
        <v>46</v>
      </c>
      <c r="R1160" s="2">
        <v>0.47499999999999998</v>
      </c>
    </row>
    <row r="1161" spans="1:18" x14ac:dyDescent="0.25">
      <c r="A1161" t="s">
        <v>2699</v>
      </c>
      <c r="B1161" t="s">
        <v>1180</v>
      </c>
      <c r="C1161" s="1">
        <v>45173</v>
      </c>
      <c r="D1161" s="1" t="str">
        <f>TEXT(Delivery_data[[#This Row],[Order date]], "MMMM")</f>
        <v>September</v>
      </c>
      <c r="E1161" s="1" t="str">
        <f>TEXT(Delivery_data[[#This Row],[Order date]], "DDDD")</f>
        <v>Monday</v>
      </c>
      <c r="F1161" s="2">
        <v>0.67986111111111114</v>
      </c>
      <c r="G1161" t="s">
        <v>22</v>
      </c>
      <c r="H1161" t="str">
        <f>IF(Delivery_data[[#This Row],[Order Status]] = "In Progress", "Backlog", "Complete")</f>
        <v>Complete</v>
      </c>
      <c r="I1161" t="s">
        <v>43</v>
      </c>
      <c r="J1161" t="s">
        <v>1637</v>
      </c>
      <c r="K1161" t="s">
        <v>31</v>
      </c>
      <c r="L1161">
        <v>86</v>
      </c>
      <c r="M1161">
        <v>13</v>
      </c>
      <c r="N1161" t="s">
        <v>38</v>
      </c>
      <c r="O1161" t="s">
        <v>54</v>
      </c>
      <c r="P1161" t="s">
        <v>45</v>
      </c>
      <c r="Q1161" t="s">
        <v>28</v>
      </c>
      <c r="R1161" s="2">
        <v>0.65763888888888888</v>
      </c>
    </row>
    <row r="1162" spans="1:18" x14ac:dyDescent="0.25">
      <c r="A1162" t="s">
        <v>2782</v>
      </c>
      <c r="B1162" t="s">
        <v>1259</v>
      </c>
      <c r="C1162" s="1">
        <v>45174</v>
      </c>
      <c r="D1162" s="1" t="str">
        <f>TEXT(Delivery_data[[#This Row],[Order date]], "MMMM")</f>
        <v>September</v>
      </c>
      <c r="E1162" s="1" t="str">
        <f>TEXT(Delivery_data[[#This Row],[Order date]], "DDDD")</f>
        <v>Tuesday</v>
      </c>
      <c r="F1162" s="2">
        <v>0.54583333333333328</v>
      </c>
      <c r="G1162" t="s">
        <v>22</v>
      </c>
      <c r="H1162" t="str">
        <f>IF(Delivery_data[[#This Row],[Order Status]] = "In Progress", "Backlog", "Complete")</f>
        <v>Complete</v>
      </c>
      <c r="I1162" t="s">
        <v>43</v>
      </c>
      <c r="J1162" t="s">
        <v>1637</v>
      </c>
      <c r="K1162" t="s">
        <v>24</v>
      </c>
      <c r="L1162">
        <v>182</v>
      </c>
      <c r="M1162">
        <v>24</v>
      </c>
      <c r="N1162" t="s">
        <v>25</v>
      </c>
      <c r="O1162" t="s">
        <v>54</v>
      </c>
      <c r="P1162" t="s">
        <v>45</v>
      </c>
      <c r="Q1162" t="s">
        <v>46</v>
      </c>
      <c r="R1162" s="2">
        <v>0.55625000000000002</v>
      </c>
    </row>
    <row r="1163" spans="1:18" x14ac:dyDescent="0.25">
      <c r="A1163" t="s">
        <v>2804</v>
      </c>
      <c r="B1163" t="s">
        <v>1281</v>
      </c>
      <c r="C1163" s="1">
        <v>45175</v>
      </c>
      <c r="D1163" s="1" t="str">
        <f>TEXT(Delivery_data[[#This Row],[Order date]], "MMMM")</f>
        <v>September</v>
      </c>
      <c r="E1163" s="1" t="str">
        <f>TEXT(Delivery_data[[#This Row],[Order date]], "DDDD")</f>
        <v>Wednesday</v>
      </c>
      <c r="F1163" s="2">
        <v>0.40208333333333335</v>
      </c>
      <c r="G1163" t="s">
        <v>22</v>
      </c>
      <c r="H1163" t="str">
        <f>IF(Delivery_data[[#This Row],[Order Status]] = "In Progress", "Backlog", "Complete")</f>
        <v>Complete</v>
      </c>
      <c r="I1163" t="s">
        <v>43</v>
      </c>
      <c r="J1163" t="s">
        <v>1631</v>
      </c>
      <c r="K1163" t="s">
        <v>44</v>
      </c>
      <c r="L1163">
        <v>164</v>
      </c>
      <c r="M1163">
        <v>6</v>
      </c>
      <c r="N1163" t="s">
        <v>25</v>
      </c>
      <c r="O1163" t="s">
        <v>54</v>
      </c>
      <c r="P1163" t="s">
        <v>27</v>
      </c>
      <c r="Q1163" t="s">
        <v>28</v>
      </c>
      <c r="R1163" s="2">
        <v>0.49236111111111114</v>
      </c>
    </row>
    <row r="1164" spans="1:18" x14ac:dyDescent="0.25">
      <c r="A1164" t="s">
        <v>2929</v>
      </c>
      <c r="B1164" t="s">
        <v>1402</v>
      </c>
      <c r="C1164" s="1">
        <v>45177</v>
      </c>
      <c r="D1164" s="1" t="str">
        <f>TEXT(Delivery_data[[#This Row],[Order date]], "MMMM")</f>
        <v>September</v>
      </c>
      <c r="E1164" s="1" t="str">
        <f>TEXT(Delivery_data[[#This Row],[Order date]], "DDDD")</f>
        <v>Friday</v>
      </c>
      <c r="F1164" s="2">
        <v>0.40833333333333333</v>
      </c>
      <c r="G1164" t="s">
        <v>22</v>
      </c>
      <c r="H1164" t="str">
        <f>IF(Delivery_data[[#This Row],[Order Status]] = "In Progress", "Backlog", "Complete")</f>
        <v>Complete</v>
      </c>
      <c r="I1164" t="s">
        <v>43</v>
      </c>
      <c r="J1164" t="s">
        <v>1631</v>
      </c>
      <c r="K1164" t="s">
        <v>61</v>
      </c>
      <c r="L1164">
        <v>132</v>
      </c>
      <c r="M1164">
        <v>3</v>
      </c>
      <c r="N1164" t="s">
        <v>25</v>
      </c>
      <c r="O1164" t="s">
        <v>41</v>
      </c>
      <c r="P1164" t="s">
        <v>27</v>
      </c>
      <c r="Q1164" t="s">
        <v>28</v>
      </c>
      <c r="R1164" s="2">
        <v>0.61805555555555558</v>
      </c>
    </row>
    <row r="1165" spans="1:18" x14ac:dyDescent="0.25">
      <c r="A1165" t="s">
        <v>3012</v>
      </c>
      <c r="B1165" t="s">
        <v>1483</v>
      </c>
      <c r="C1165" s="1">
        <v>45175</v>
      </c>
      <c r="D1165" s="1" t="str">
        <f>TEXT(Delivery_data[[#This Row],[Order date]], "MMMM")</f>
        <v>September</v>
      </c>
      <c r="E1165" s="1" t="str">
        <f>TEXT(Delivery_data[[#This Row],[Order date]], "DDDD")</f>
        <v>Wednesday</v>
      </c>
      <c r="F1165" s="2">
        <v>0.44791666666666669</v>
      </c>
      <c r="G1165" t="s">
        <v>48</v>
      </c>
      <c r="H1165" t="str">
        <f>IF(Delivery_data[[#This Row],[Order Status]] = "In Progress", "Backlog", "Complete")</f>
        <v>Backlog</v>
      </c>
      <c r="I1165" t="s">
        <v>43</v>
      </c>
      <c r="J1165" t="s">
        <v>1633</v>
      </c>
      <c r="K1165" t="s">
        <v>61</v>
      </c>
      <c r="L1165">
        <v>117</v>
      </c>
      <c r="M1165">
        <v>2</v>
      </c>
      <c r="N1165" t="s">
        <v>38</v>
      </c>
      <c r="O1165" t="s">
        <v>41</v>
      </c>
      <c r="P1165" t="s">
        <v>45</v>
      </c>
      <c r="Q1165" t="s">
        <v>28</v>
      </c>
      <c r="R1165" s="2">
        <v>0.66597222222222219</v>
      </c>
    </row>
    <row r="1166" spans="1:18" x14ac:dyDescent="0.25">
      <c r="A1166" t="s">
        <v>1720</v>
      </c>
      <c r="B1166" t="s">
        <v>191</v>
      </c>
      <c r="C1166" s="1">
        <v>45177</v>
      </c>
      <c r="D1166" s="1" t="str">
        <f>TEXT(Delivery_data[[#This Row],[Order date]], "MMMM")</f>
        <v>September</v>
      </c>
      <c r="E1166" s="1" t="str">
        <f>TEXT(Delivery_data[[#This Row],[Order date]], "DDDD")</f>
        <v>Friday</v>
      </c>
      <c r="F1166" s="2">
        <v>0.60902777777777772</v>
      </c>
      <c r="G1166" t="s">
        <v>48</v>
      </c>
      <c r="H1166" t="str">
        <f>IF(Delivery_data[[#This Row],[Order Status]] = "In Progress", "Backlog", "Complete")</f>
        <v>Backlog</v>
      </c>
      <c r="I1166" t="s">
        <v>192</v>
      </c>
      <c r="J1166" t="s">
        <v>1633</v>
      </c>
      <c r="K1166" t="s">
        <v>44</v>
      </c>
      <c r="L1166">
        <v>199</v>
      </c>
      <c r="M1166">
        <v>18</v>
      </c>
      <c r="N1166" t="s">
        <v>32</v>
      </c>
      <c r="O1166" t="s">
        <v>33</v>
      </c>
      <c r="P1166" t="s">
        <v>27</v>
      </c>
      <c r="Q1166" t="s">
        <v>46</v>
      </c>
      <c r="R1166" s="2">
        <v>0.38541666666666669</v>
      </c>
    </row>
    <row r="1167" spans="1:18" x14ac:dyDescent="0.25">
      <c r="A1167" t="s">
        <v>1800</v>
      </c>
      <c r="B1167" t="s">
        <v>295</v>
      </c>
      <c r="C1167" s="1">
        <v>45170</v>
      </c>
      <c r="D1167" s="1" t="str">
        <f>TEXT(Delivery_data[[#This Row],[Order date]], "MMMM")</f>
        <v>September</v>
      </c>
      <c r="E1167" s="1" t="str">
        <f>TEXT(Delivery_data[[#This Row],[Order date]], "DDDD")</f>
        <v>Friday</v>
      </c>
      <c r="F1167" s="2">
        <v>0.67500000000000004</v>
      </c>
      <c r="G1167" t="s">
        <v>22</v>
      </c>
      <c r="H1167" t="str">
        <f>IF(Delivery_data[[#This Row],[Order Status]] = "In Progress", "Backlog", "Complete")</f>
        <v>Complete</v>
      </c>
      <c r="I1167" t="s">
        <v>192</v>
      </c>
      <c r="J1167" t="s">
        <v>1637</v>
      </c>
      <c r="K1167" t="s">
        <v>31</v>
      </c>
      <c r="L1167">
        <v>81</v>
      </c>
      <c r="M1167">
        <v>15</v>
      </c>
      <c r="N1167" t="s">
        <v>32</v>
      </c>
      <c r="O1167" t="s">
        <v>50</v>
      </c>
      <c r="P1167" t="s">
        <v>27</v>
      </c>
      <c r="Q1167" t="s">
        <v>51</v>
      </c>
      <c r="R1167" s="2">
        <v>0.4513888888888889</v>
      </c>
    </row>
    <row r="1168" spans="1:18" x14ac:dyDescent="0.25">
      <c r="A1168" t="s">
        <v>1952</v>
      </c>
      <c r="B1168" t="s">
        <v>456</v>
      </c>
      <c r="C1168" s="1">
        <v>45171</v>
      </c>
      <c r="D1168" s="1" t="str">
        <f>TEXT(Delivery_data[[#This Row],[Order date]], "MMMM")</f>
        <v>September</v>
      </c>
      <c r="E1168" s="1" t="str">
        <f>TEXT(Delivery_data[[#This Row],[Order date]], "DDDD")</f>
        <v>Saturday</v>
      </c>
      <c r="F1168" s="2">
        <v>0.40833333333333333</v>
      </c>
      <c r="G1168" t="s">
        <v>22</v>
      </c>
      <c r="H1168" t="str">
        <f>IF(Delivery_data[[#This Row],[Order Status]] = "In Progress", "Backlog", "Complete")</f>
        <v>Complete</v>
      </c>
      <c r="I1168" t="s">
        <v>192</v>
      </c>
      <c r="J1168" t="s">
        <v>1631</v>
      </c>
      <c r="K1168" t="s">
        <v>24</v>
      </c>
      <c r="L1168">
        <v>102</v>
      </c>
      <c r="M1168">
        <v>9</v>
      </c>
      <c r="N1168" t="s">
        <v>32</v>
      </c>
      <c r="O1168" t="s">
        <v>33</v>
      </c>
      <c r="P1168" t="s">
        <v>34</v>
      </c>
      <c r="Q1168" t="s">
        <v>46</v>
      </c>
      <c r="R1168" s="2">
        <v>0.39305555555555555</v>
      </c>
    </row>
    <row r="1169" spans="1:18" x14ac:dyDescent="0.25">
      <c r="A1169" t="s">
        <v>2069</v>
      </c>
      <c r="B1169" t="s">
        <v>574</v>
      </c>
      <c r="C1169" s="1">
        <v>45176</v>
      </c>
      <c r="D1169" s="1" t="str">
        <f>TEXT(Delivery_data[[#This Row],[Order date]], "MMMM")</f>
        <v>September</v>
      </c>
      <c r="E1169" s="1" t="str">
        <f>TEXT(Delivery_data[[#This Row],[Order date]], "DDDD")</f>
        <v>Thursday</v>
      </c>
      <c r="F1169" s="2">
        <v>0.39583333333333331</v>
      </c>
      <c r="G1169" t="s">
        <v>22</v>
      </c>
      <c r="H1169" t="str">
        <f>IF(Delivery_data[[#This Row],[Order Status]] = "In Progress", "Backlog", "Complete")</f>
        <v>Complete</v>
      </c>
      <c r="I1169" t="s">
        <v>192</v>
      </c>
      <c r="J1169" t="s">
        <v>1633</v>
      </c>
      <c r="K1169" t="s">
        <v>44</v>
      </c>
      <c r="L1169">
        <v>221</v>
      </c>
      <c r="M1169">
        <v>29</v>
      </c>
      <c r="N1169" t="s">
        <v>25</v>
      </c>
      <c r="O1169" t="s">
        <v>26</v>
      </c>
      <c r="P1169" t="s">
        <v>45</v>
      </c>
      <c r="Q1169" t="s">
        <v>46</v>
      </c>
      <c r="R1169" s="2">
        <v>0.7368055555555556</v>
      </c>
    </row>
    <row r="1170" spans="1:18" x14ac:dyDescent="0.25">
      <c r="A1170" t="s">
        <v>2104</v>
      </c>
      <c r="B1170" t="s">
        <v>609</v>
      </c>
      <c r="C1170" s="1">
        <v>45171</v>
      </c>
      <c r="D1170" s="1" t="str">
        <f>TEXT(Delivery_data[[#This Row],[Order date]], "MMMM")</f>
        <v>September</v>
      </c>
      <c r="E1170" s="1" t="str">
        <f>TEXT(Delivery_data[[#This Row],[Order date]], "DDDD")</f>
        <v>Saturday</v>
      </c>
      <c r="F1170" s="2">
        <v>0.66874999999999996</v>
      </c>
      <c r="G1170" t="s">
        <v>48</v>
      </c>
      <c r="H1170" t="str">
        <f>IF(Delivery_data[[#This Row],[Order Status]] = "In Progress", "Backlog", "Complete")</f>
        <v>Backlog</v>
      </c>
      <c r="I1170" t="s">
        <v>192</v>
      </c>
      <c r="J1170" t="s">
        <v>1637</v>
      </c>
      <c r="K1170" t="s">
        <v>24</v>
      </c>
      <c r="L1170">
        <v>204</v>
      </c>
      <c r="M1170">
        <v>5</v>
      </c>
      <c r="N1170" t="s">
        <v>38</v>
      </c>
      <c r="O1170" t="s">
        <v>41</v>
      </c>
      <c r="P1170" t="s">
        <v>34</v>
      </c>
      <c r="Q1170" t="s">
        <v>46</v>
      </c>
      <c r="R1170" s="2">
        <v>0.70694444444444449</v>
      </c>
    </row>
    <row r="1171" spans="1:18" x14ac:dyDescent="0.25">
      <c r="A1171" t="s">
        <v>2157</v>
      </c>
      <c r="B1171" t="s">
        <v>21</v>
      </c>
      <c r="C1171" s="1">
        <v>45173</v>
      </c>
      <c r="D1171" s="1" t="str">
        <f>TEXT(Delivery_data[[#This Row],[Order date]], "MMMM")</f>
        <v>September</v>
      </c>
      <c r="E1171" s="1" t="str">
        <f>TEXT(Delivery_data[[#This Row],[Order date]], "DDDD")</f>
        <v>Monday</v>
      </c>
      <c r="F1171" s="2">
        <v>0.57013888888888886</v>
      </c>
      <c r="G1171" t="s">
        <v>22</v>
      </c>
      <c r="H1171" t="str">
        <f>IF(Delivery_data[[#This Row],[Order Status]] = "In Progress", "Backlog", "Complete")</f>
        <v>Complete</v>
      </c>
      <c r="I1171" t="s">
        <v>192</v>
      </c>
      <c r="J1171" t="s">
        <v>1637</v>
      </c>
      <c r="K1171" t="s">
        <v>44</v>
      </c>
      <c r="L1171">
        <v>120</v>
      </c>
      <c r="M1171">
        <v>18</v>
      </c>
      <c r="N1171" t="s">
        <v>38</v>
      </c>
      <c r="O1171" t="s">
        <v>41</v>
      </c>
      <c r="P1171" t="s">
        <v>45</v>
      </c>
      <c r="Q1171" t="s">
        <v>28</v>
      </c>
      <c r="R1171" s="2">
        <v>0.6381944444444444</v>
      </c>
    </row>
    <row r="1172" spans="1:18" x14ac:dyDescent="0.25">
      <c r="A1172" t="s">
        <v>2298</v>
      </c>
      <c r="B1172" t="s">
        <v>796</v>
      </c>
      <c r="C1172" s="1">
        <v>45175</v>
      </c>
      <c r="D1172" s="1" t="str">
        <f>TEXT(Delivery_data[[#This Row],[Order date]], "MMMM")</f>
        <v>September</v>
      </c>
      <c r="E1172" s="1" t="str">
        <f>TEXT(Delivery_data[[#This Row],[Order date]], "DDDD")</f>
        <v>Wednesday</v>
      </c>
      <c r="F1172" s="2">
        <v>0.57638888888888884</v>
      </c>
      <c r="G1172" t="s">
        <v>48</v>
      </c>
      <c r="H1172" t="str">
        <f>IF(Delivery_data[[#This Row],[Order Status]] = "In Progress", "Backlog", "Complete")</f>
        <v>Backlog</v>
      </c>
      <c r="I1172" t="s">
        <v>192</v>
      </c>
      <c r="J1172" t="s">
        <v>1633</v>
      </c>
      <c r="K1172" t="s">
        <v>37</v>
      </c>
      <c r="L1172">
        <v>233</v>
      </c>
      <c r="M1172">
        <v>22</v>
      </c>
      <c r="N1172" t="s">
        <v>32</v>
      </c>
      <c r="O1172" t="s">
        <v>33</v>
      </c>
      <c r="P1172" t="s">
        <v>27</v>
      </c>
      <c r="Q1172" t="s">
        <v>28</v>
      </c>
      <c r="R1172" s="2">
        <v>0.40069444444444446</v>
      </c>
    </row>
    <row r="1173" spans="1:18" x14ac:dyDescent="0.25">
      <c r="A1173" t="s">
        <v>2331</v>
      </c>
      <c r="B1173" t="s">
        <v>829</v>
      </c>
      <c r="C1173" s="1">
        <v>45170</v>
      </c>
      <c r="D1173" s="1" t="str">
        <f>TEXT(Delivery_data[[#This Row],[Order date]], "MMMM")</f>
        <v>September</v>
      </c>
      <c r="E1173" s="1" t="str">
        <f>TEXT(Delivery_data[[#This Row],[Order date]], "DDDD")</f>
        <v>Friday</v>
      </c>
      <c r="F1173" s="2">
        <v>0.63611111111111107</v>
      </c>
      <c r="G1173" t="s">
        <v>22</v>
      </c>
      <c r="H1173" t="str">
        <f>IF(Delivery_data[[#This Row],[Order Status]] = "In Progress", "Backlog", "Complete")</f>
        <v>Complete</v>
      </c>
      <c r="I1173" t="s">
        <v>192</v>
      </c>
      <c r="J1173" t="s">
        <v>1637</v>
      </c>
      <c r="K1173" t="s">
        <v>37</v>
      </c>
      <c r="L1173">
        <v>230</v>
      </c>
      <c r="M1173">
        <v>24</v>
      </c>
      <c r="N1173" t="s">
        <v>38</v>
      </c>
      <c r="O1173" t="s">
        <v>50</v>
      </c>
      <c r="P1173" t="s">
        <v>27</v>
      </c>
      <c r="Q1173" t="s">
        <v>51</v>
      </c>
      <c r="R1173" s="2">
        <v>0.62430555555555556</v>
      </c>
    </row>
    <row r="1174" spans="1:18" x14ac:dyDescent="0.25">
      <c r="A1174" t="s">
        <v>2426</v>
      </c>
      <c r="B1174" t="s">
        <v>919</v>
      </c>
      <c r="C1174" s="1">
        <v>45174</v>
      </c>
      <c r="D1174" s="1" t="str">
        <f>TEXT(Delivery_data[[#This Row],[Order date]], "MMMM")</f>
        <v>September</v>
      </c>
      <c r="E1174" s="1" t="str">
        <f>TEXT(Delivery_data[[#This Row],[Order date]], "DDDD")</f>
        <v>Tuesday</v>
      </c>
      <c r="F1174" s="2">
        <v>0.70277777777777772</v>
      </c>
      <c r="G1174" t="s">
        <v>22</v>
      </c>
      <c r="H1174" t="str">
        <f>IF(Delivery_data[[#This Row],[Order Status]] = "In Progress", "Backlog", "Complete")</f>
        <v>Complete</v>
      </c>
      <c r="I1174" t="s">
        <v>192</v>
      </c>
      <c r="J1174" t="s">
        <v>1631</v>
      </c>
      <c r="K1174" t="s">
        <v>24</v>
      </c>
      <c r="L1174">
        <v>89</v>
      </c>
      <c r="M1174">
        <v>7</v>
      </c>
      <c r="N1174" t="s">
        <v>32</v>
      </c>
      <c r="O1174" t="s">
        <v>54</v>
      </c>
      <c r="P1174" t="s">
        <v>27</v>
      </c>
      <c r="Q1174" t="s">
        <v>46</v>
      </c>
      <c r="R1174" s="2">
        <v>0.43125000000000002</v>
      </c>
    </row>
    <row r="1175" spans="1:18" x14ac:dyDescent="0.25">
      <c r="A1175" t="s">
        <v>2594</v>
      </c>
      <c r="B1175" t="s">
        <v>1078</v>
      </c>
      <c r="C1175" s="1">
        <v>45171</v>
      </c>
      <c r="D1175" s="1" t="str">
        <f>TEXT(Delivery_data[[#This Row],[Order date]], "MMMM")</f>
        <v>September</v>
      </c>
      <c r="E1175" s="1" t="str">
        <f>TEXT(Delivery_data[[#This Row],[Order date]], "DDDD")</f>
        <v>Saturday</v>
      </c>
      <c r="F1175" s="2">
        <v>0.45763888888888887</v>
      </c>
      <c r="G1175" t="s">
        <v>22</v>
      </c>
      <c r="H1175" t="str">
        <f>IF(Delivery_data[[#This Row],[Order Status]] = "In Progress", "Backlog", "Complete")</f>
        <v>Complete</v>
      </c>
      <c r="I1175" t="s">
        <v>192</v>
      </c>
      <c r="J1175" t="s">
        <v>1633</v>
      </c>
      <c r="K1175" t="s">
        <v>61</v>
      </c>
      <c r="L1175">
        <v>224</v>
      </c>
      <c r="M1175">
        <v>10</v>
      </c>
      <c r="N1175" t="s">
        <v>38</v>
      </c>
      <c r="O1175" t="s">
        <v>26</v>
      </c>
      <c r="P1175" t="s">
        <v>45</v>
      </c>
      <c r="Q1175" t="s">
        <v>28</v>
      </c>
      <c r="R1175" s="2">
        <v>0.68541666666666667</v>
      </c>
    </row>
    <row r="1176" spans="1:18" x14ac:dyDescent="0.25">
      <c r="A1176" t="s">
        <v>2704</v>
      </c>
      <c r="B1176" t="s">
        <v>1185</v>
      </c>
      <c r="C1176" s="1">
        <v>45173</v>
      </c>
      <c r="D1176" s="1" t="str">
        <f>TEXT(Delivery_data[[#This Row],[Order date]], "MMMM")</f>
        <v>September</v>
      </c>
      <c r="E1176" s="1" t="str">
        <f>TEXT(Delivery_data[[#This Row],[Order date]], "DDDD")</f>
        <v>Monday</v>
      </c>
      <c r="F1176" s="2">
        <v>0.37222222222222223</v>
      </c>
      <c r="G1176" t="s">
        <v>22</v>
      </c>
      <c r="H1176" t="str">
        <f>IF(Delivery_data[[#This Row],[Order Status]] = "In Progress", "Backlog", "Complete")</f>
        <v>Complete</v>
      </c>
      <c r="I1176" t="s">
        <v>192</v>
      </c>
      <c r="J1176" t="s">
        <v>1637</v>
      </c>
      <c r="K1176" t="s">
        <v>61</v>
      </c>
      <c r="L1176">
        <v>170</v>
      </c>
      <c r="M1176">
        <v>14</v>
      </c>
      <c r="N1176" t="s">
        <v>38</v>
      </c>
      <c r="O1176" t="s">
        <v>50</v>
      </c>
      <c r="P1176" t="s">
        <v>27</v>
      </c>
      <c r="Q1176" t="s">
        <v>28</v>
      </c>
      <c r="R1176" s="2">
        <v>0.38611111111111113</v>
      </c>
    </row>
    <row r="1177" spans="1:18" x14ac:dyDescent="0.25">
      <c r="A1177" t="s">
        <v>2856</v>
      </c>
      <c r="B1177" t="s">
        <v>1332</v>
      </c>
      <c r="C1177" s="1">
        <v>45172</v>
      </c>
      <c r="D1177" s="1" t="str">
        <f>TEXT(Delivery_data[[#This Row],[Order date]], "MMMM")</f>
        <v>September</v>
      </c>
      <c r="E1177" s="1" t="str">
        <f>TEXT(Delivery_data[[#This Row],[Order date]], "DDDD")</f>
        <v>Sunday</v>
      </c>
      <c r="F1177" s="2">
        <v>0.40208333333333335</v>
      </c>
      <c r="G1177" t="s">
        <v>22</v>
      </c>
      <c r="H1177" t="str">
        <f>IF(Delivery_data[[#This Row],[Order Status]] = "In Progress", "Backlog", "Complete")</f>
        <v>Complete</v>
      </c>
      <c r="I1177" t="s">
        <v>192</v>
      </c>
      <c r="J1177" t="s">
        <v>1637</v>
      </c>
      <c r="K1177" t="s">
        <v>44</v>
      </c>
      <c r="L1177">
        <v>176</v>
      </c>
      <c r="M1177">
        <v>12</v>
      </c>
      <c r="N1177" t="s">
        <v>32</v>
      </c>
      <c r="O1177" t="s">
        <v>50</v>
      </c>
      <c r="P1177" t="s">
        <v>45</v>
      </c>
      <c r="Q1177" t="s">
        <v>28</v>
      </c>
      <c r="R1177" s="2">
        <v>0.4777777777777778</v>
      </c>
    </row>
    <row r="1178" spans="1:18" x14ac:dyDescent="0.25">
      <c r="A1178" t="s">
        <v>3125</v>
      </c>
      <c r="B1178" t="s">
        <v>1590</v>
      </c>
      <c r="C1178" s="1">
        <v>45176</v>
      </c>
      <c r="D1178" s="1" t="str">
        <f>TEXT(Delivery_data[[#This Row],[Order date]], "MMMM")</f>
        <v>September</v>
      </c>
      <c r="E1178" s="1" t="str">
        <f>TEXT(Delivery_data[[#This Row],[Order date]], "DDDD")</f>
        <v>Thursday</v>
      </c>
      <c r="F1178" s="2">
        <v>0.61944444444444446</v>
      </c>
      <c r="G1178" t="s">
        <v>48</v>
      </c>
      <c r="H1178" t="str">
        <f>IF(Delivery_data[[#This Row],[Order Status]] = "In Progress", "Backlog", "Complete")</f>
        <v>Backlog</v>
      </c>
      <c r="I1178" t="s">
        <v>192</v>
      </c>
      <c r="J1178" t="s">
        <v>1637</v>
      </c>
      <c r="K1178" t="s">
        <v>44</v>
      </c>
      <c r="L1178">
        <v>104</v>
      </c>
      <c r="M1178">
        <v>2</v>
      </c>
      <c r="N1178" t="s">
        <v>32</v>
      </c>
      <c r="O1178" t="s">
        <v>54</v>
      </c>
      <c r="P1178" t="s">
        <v>45</v>
      </c>
      <c r="Q1178" t="s">
        <v>28</v>
      </c>
      <c r="R1178" s="2">
        <v>0.47569444444444442</v>
      </c>
    </row>
    <row r="1179" spans="1:18" x14ac:dyDescent="0.25">
      <c r="A1179" t="s">
        <v>1731</v>
      </c>
      <c r="B1179" t="s">
        <v>208</v>
      </c>
      <c r="C1179" s="1">
        <v>45174</v>
      </c>
      <c r="D1179" s="1" t="str">
        <f>TEXT(Delivery_data[[#This Row],[Order date]], "MMMM")</f>
        <v>September</v>
      </c>
      <c r="E1179" s="1" t="str">
        <f>TEXT(Delivery_data[[#This Row],[Order date]], "DDDD")</f>
        <v>Tuesday</v>
      </c>
      <c r="F1179" s="2">
        <v>0.3611111111111111</v>
      </c>
      <c r="G1179" t="s">
        <v>22</v>
      </c>
      <c r="H1179" t="str">
        <f>IF(Delivery_data[[#This Row],[Order Status]] = "In Progress", "Backlog", "Complete")</f>
        <v>Complete</v>
      </c>
      <c r="I1179" t="s">
        <v>209</v>
      </c>
      <c r="J1179" t="s">
        <v>1633</v>
      </c>
      <c r="K1179" t="s">
        <v>61</v>
      </c>
      <c r="L1179">
        <v>173</v>
      </c>
      <c r="M1179">
        <v>3</v>
      </c>
      <c r="N1179" t="s">
        <v>38</v>
      </c>
      <c r="O1179" t="s">
        <v>41</v>
      </c>
      <c r="P1179" t="s">
        <v>45</v>
      </c>
      <c r="Q1179" t="s">
        <v>28</v>
      </c>
      <c r="R1179" s="2">
        <v>0.6</v>
      </c>
    </row>
    <row r="1180" spans="1:18" x14ac:dyDescent="0.25">
      <c r="A1180" t="s">
        <v>1825</v>
      </c>
      <c r="B1180" t="s">
        <v>323</v>
      </c>
      <c r="C1180" s="1">
        <v>45175</v>
      </c>
      <c r="D1180" s="1" t="str">
        <f>TEXT(Delivery_data[[#This Row],[Order date]], "MMMM")</f>
        <v>September</v>
      </c>
      <c r="E1180" s="1" t="str">
        <f>TEXT(Delivery_data[[#This Row],[Order date]], "DDDD")</f>
        <v>Wednesday</v>
      </c>
      <c r="F1180" s="2">
        <v>0.67222222222222228</v>
      </c>
      <c r="G1180" t="s">
        <v>22</v>
      </c>
      <c r="H1180" t="str">
        <f>IF(Delivery_data[[#This Row],[Order Status]] = "In Progress", "Backlog", "Complete")</f>
        <v>Complete</v>
      </c>
      <c r="I1180" t="s">
        <v>209</v>
      </c>
      <c r="J1180" t="s">
        <v>1637</v>
      </c>
      <c r="K1180" t="s">
        <v>31</v>
      </c>
      <c r="L1180">
        <v>233</v>
      </c>
      <c r="M1180">
        <v>5</v>
      </c>
      <c r="N1180" t="s">
        <v>25</v>
      </c>
      <c r="O1180" t="s">
        <v>33</v>
      </c>
      <c r="P1180" t="s">
        <v>27</v>
      </c>
      <c r="Q1180" t="s">
        <v>46</v>
      </c>
      <c r="R1180" s="2">
        <v>0.55277777777777781</v>
      </c>
    </row>
    <row r="1181" spans="1:18" x14ac:dyDescent="0.25">
      <c r="A1181" t="s">
        <v>1862</v>
      </c>
      <c r="B1181" t="s">
        <v>361</v>
      </c>
      <c r="C1181" s="1">
        <v>45177</v>
      </c>
      <c r="D1181" s="1" t="str">
        <f>TEXT(Delivery_data[[#This Row],[Order date]], "MMMM")</f>
        <v>September</v>
      </c>
      <c r="E1181" s="1" t="str">
        <f>TEXT(Delivery_data[[#This Row],[Order date]], "DDDD")</f>
        <v>Friday</v>
      </c>
      <c r="F1181" s="2">
        <v>0.46944444444444444</v>
      </c>
      <c r="G1181" t="s">
        <v>22</v>
      </c>
      <c r="H1181" t="str">
        <f>IF(Delivery_data[[#This Row],[Order Status]] = "In Progress", "Backlog", "Complete")</f>
        <v>Complete</v>
      </c>
      <c r="I1181" t="s">
        <v>209</v>
      </c>
      <c r="J1181" t="s">
        <v>1631</v>
      </c>
      <c r="K1181" t="s">
        <v>61</v>
      </c>
      <c r="L1181">
        <v>205</v>
      </c>
      <c r="M1181">
        <v>3</v>
      </c>
      <c r="N1181" t="s">
        <v>38</v>
      </c>
      <c r="O1181" t="s">
        <v>54</v>
      </c>
      <c r="P1181" t="s">
        <v>27</v>
      </c>
      <c r="Q1181" t="s">
        <v>51</v>
      </c>
      <c r="R1181" s="2">
        <v>0.50069444444444444</v>
      </c>
    </row>
    <row r="1182" spans="1:18" x14ac:dyDescent="0.25">
      <c r="A1182" t="s">
        <v>1966</v>
      </c>
      <c r="B1182" t="s">
        <v>470</v>
      </c>
      <c r="C1182" s="1">
        <v>45176</v>
      </c>
      <c r="D1182" s="1" t="str">
        <f>TEXT(Delivery_data[[#This Row],[Order date]], "MMMM")</f>
        <v>September</v>
      </c>
      <c r="E1182" s="1" t="str">
        <f>TEXT(Delivery_data[[#This Row],[Order date]], "DDDD")</f>
        <v>Thursday</v>
      </c>
      <c r="F1182" s="2">
        <v>0.57361111111111107</v>
      </c>
      <c r="G1182" t="s">
        <v>22</v>
      </c>
      <c r="H1182" t="str">
        <f>IF(Delivery_data[[#This Row],[Order Status]] = "In Progress", "Backlog", "Complete")</f>
        <v>Complete</v>
      </c>
      <c r="I1182" t="s">
        <v>209</v>
      </c>
      <c r="J1182" t="s">
        <v>1631</v>
      </c>
      <c r="K1182" t="s">
        <v>24</v>
      </c>
      <c r="L1182">
        <v>190</v>
      </c>
      <c r="M1182">
        <v>28</v>
      </c>
      <c r="N1182" t="s">
        <v>38</v>
      </c>
      <c r="O1182" t="s">
        <v>41</v>
      </c>
      <c r="P1182" t="s">
        <v>34</v>
      </c>
      <c r="Q1182" t="s">
        <v>46</v>
      </c>
      <c r="R1182" s="2">
        <v>0.68055555555555558</v>
      </c>
    </row>
    <row r="1183" spans="1:18" x14ac:dyDescent="0.25">
      <c r="A1183" t="s">
        <v>2051</v>
      </c>
      <c r="B1183" t="s">
        <v>556</v>
      </c>
      <c r="C1183" s="1">
        <v>45176</v>
      </c>
      <c r="D1183" s="1" t="str">
        <f>TEXT(Delivery_data[[#This Row],[Order date]], "MMMM")</f>
        <v>September</v>
      </c>
      <c r="E1183" s="1" t="str">
        <f>TEXT(Delivery_data[[#This Row],[Order date]], "DDDD")</f>
        <v>Thursday</v>
      </c>
      <c r="F1183" s="2">
        <v>0.45069444444444445</v>
      </c>
      <c r="G1183" t="s">
        <v>22</v>
      </c>
      <c r="H1183" t="str">
        <f>IF(Delivery_data[[#This Row],[Order Status]] = "In Progress", "Backlog", "Complete")</f>
        <v>Complete</v>
      </c>
      <c r="I1183" t="s">
        <v>209</v>
      </c>
      <c r="J1183" t="s">
        <v>1631</v>
      </c>
      <c r="K1183" t="s">
        <v>37</v>
      </c>
      <c r="L1183">
        <v>231</v>
      </c>
      <c r="M1183">
        <v>11</v>
      </c>
      <c r="N1183" t="s">
        <v>38</v>
      </c>
      <c r="O1183" t="s">
        <v>54</v>
      </c>
      <c r="P1183" t="s">
        <v>34</v>
      </c>
      <c r="Q1183" t="s">
        <v>28</v>
      </c>
      <c r="R1183" s="2">
        <v>0.46250000000000002</v>
      </c>
    </row>
    <row r="1184" spans="1:18" x14ac:dyDescent="0.25">
      <c r="A1184" t="s">
        <v>2219</v>
      </c>
      <c r="B1184" t="s">
        <v>720</v>
      </c>
      <c r="C1184" s="1">
        <v>45175</v>
      </c>
      <c r="D1184" s="1" t="str">
        <f>TEXT(Delivery_data[[#This Row],[Order date]], "MMMM")</f>
        <v>September</v>
      </c>
      <c r="E1184" s="1" t="str">
        <f>TEXT(Delivery_data[[#This Row],[Order date]], "DDDD")</f>
        <v>Wednesday</v>
      </c>
      <c r="F1184" s="2">
        <v>0.49930555555555556</v>
      </c>
      <c r="G1184" t="s">
        <v>48</v>
      </c>
      <c r="H1184" t="str">
        <f>IF(Delivery_data[[#This Row],[Order Status]] = "In Progress", "Backlog", "Complete")</f>
        <v>Backlog</v>
      </c>
      <c r="I1184" t="s">
        <v>209</v>
      </c>
      <c r="J1184" t="s">
        <v>1631</v>
      </c>
      <c r="K1184" t="s">
        <v>31</v>
      </c>
      <c r="L1184">
        <v>178</v>
      </c>
      <c r="M1184">
        <v>5</v>
      </c>
      <c r="N1184" t="s">
        <v>38</v>
      </c>
      <c r="O1184" t="s">
        <v>50</v>
      </c>
      <c r="P1184" t="s">
        <v>45</v>
      </c>
      <c r="Q1184" t="s">
        <v>46</v>
      </c>
      <c r="R1184" s="2">
        <v>0.54861111111111116</v>
      </c>
    </row>
    <row r="1185" spans="1:18" x14ac:dyDescent="0.25">
      <c r="A1185" t="s">
        <v>2616</v>
      </c>
      <c r="B1185" t="s">
        <v>1100</v>
      </c>
      <c r="C1185" s="1">
        <v>45175</v>
      </c>
      <c r="D1185" s="1" t="str">
        <f>TEXT(Delivery_data[[#This Row],[Order date]], "MMMM")</f>
        <v>September</v>
      </c>
      <c r="E1185" s="1" t="str">
        <f>TEXT(Delivery_data[[#This Row],[Order date]], "DDDD")</f>
        <v>Wednesday</v>
      </c>
      <c r="F1185" s="2">
        <v>0.35347222222222224</v>
      </c>
      <c r="G1185" t="s">
        <v>22</v>
      </c>
      <c r="H1185" t="str">
        <f>IF(Delivery_data[[#This Row],[Order Status]] = "In Progress", "Backlog", "Complete")</f>
        <v>Complete</v>
      </c>
      <c r="I1185" t="s">
        <v>209</v>
      </c>
      <c r="J1185" t="s">
        <v>1637</v>
      </c>
      <c r="K1185" t="s">
        <v>44</v>
      </c>
      <c r="L1185">
        <v>61</v>
      </c>
      <c r="M1185">
        <v>29</v>
      </c>
      <c r="N1185" t="s">
        <v>38</v>
      </c>
      <c r="O1185" t="s">
        <v>50</v>
      </c>
      <c r="P1185" t="s">
        <v>34</v>
      </c>
      <c r="Q1185" t="s">
        <v>51</v>
      </c>
      <c r="R1185" s="2">
        <v>0.58194444444444449</v>
      </c>
    </row>
    <row r="1186" spans="1:18" x14ac:dyDescent="0.25">
      <c r="A1186" t="s">
        <v>2677</v>
      </c>
      <c r="B1186" t="s">
        <v>269</v>
      </c>
      <c r="C1186" s="1">
        <v>45172</v>
      </c>
      <c r="D1186" s="1" t="str">
        <f>TEXT(Delivery_data[[#This Row],[Order date]], "MMMM")</f>
        <v>September</v>
      </c>
      <c r="E1186" s="1" t="str">
        <f>TEXT(Delivery_data[[#This Row],[Order date]], "DDDD")</f>
        <v>Sunday</v>
      </c>
      <c r="F1186" s="2">
        <v>0.41875000000000001</v>
      </c>
      <c r="G1186" t="s">
        <v>48</v>
      </c>
      <c r="H1186" t="str">
        <f>IF(Delivery_data[[#This Row],[Order Status]] = "In Progress", "Backlog", "Complete")</f>
        <v>Backlog</v>
      </c>
      <c r="I1186" t="s">
        <v>209</v>
      </c>
      <c r="J1186" t="s">
        <v>1633</v>
      </c>
      <c r="K1186" t="s">
        <v>37</v>
      </c>
      <c r="L1186">
        <v>102</v>
      </c>
      <c r="M1186">
        <v>4</v>
      </c>
      <c r="N1186" t="s">
        <v>32</v>
      </c>
      <c r="O1186" t="s">
        <v>26</v>
      </c>
      <c r="P1186" t="s">
        <v>27</v>
      </c>
      <c r="Q1186" t="s">
        <v>28</v>
      </c>
      <c r="R1186" s="2">
        <v>0.57361111111111107</v>
      </c>
    </row>
    <row r="1187" spans="1:18" x14ac:dyDescent="0.25">
      <c r="A1187" t="s">
        <v>2740</v>
      </c>
      <c r="B1187" t="s">
        <v>1220</v>
      </c>
      <c r="C1187" s="1">
        <v>45170</v>
      </c>
      <c r="D1187" s="1" t="str">
        <f>TEXT(Delivery_data[[#This Row],[Order date]], "MMMM")</f>
        <v>September</v>
      </c>
      <c r="E1187" s="1" t="str">
        <f>TEXT(Delivery_data[[#This Row],[Order date]], "DDDD")</f>
        <v>Friday</v>
      </c>
      <c r="F1187" s="2">
        <v>0.64097222222222228</v>
      </c>
      <c r="G1187" t="s">
        <v>48</v>
      </c>
      <c r="H1187" t="str">
        <f>IF(Delivery_data[[#This Row],[Order Status]] = "In Progress", "Backlog", "Complete")</f>
        <v>Backlog</v>
      </c>
      <c r="I1187" t="s">
        <v>209</v>
      </c>
      <c r="J1187" t="s">
        <v>1633</v>
      </c>
      <c r="K1187" t="s">
        <v>44</v>
      </c>
      <c r="L1187">
        <v>65</v>
      </c>
      <c r="M1187">
        <v>11</v>
      </c>
      <c r="N1187" t="s">
        <v>38</v>
      </c>
      <c r="O1187" t="s">
        <v>54</v>
      </c>
      <c r="P1187" t="s">
        <v>27</v>
      </c>
      <c r="Q1187" t="s">
        <v>51</v>
      </c>
      <c r="R1187" s="2">
        <v>0.45763888888888887</v>
      </c>
    </row>
    <row r="1188" spans="1:18" x14ac:dyDescent="0.25">
      <c r="A1188" t="s">
        <v>2798</v>
      </c>
      <c r="B1188" t="s">
        <v>1275</v>
      </c>
      <c r="C1188" s="1">
        <v>45177</v>
      </c>
      <c r="D1188" s="1" t="str">
        <f>TEXT(Delivery_data[[#This Row],[Order date]], "MMMM")</f>
        <v>September</v>
      </c>
      <c r="E1188" s="1" t="str">
        <f>TEXT(Delivery_data[[#This Row],[Order date]], "DDDD")</f>
        <v>Friday</v>
      </c>
      <c r="F1188" s="2">
        <v>0.52222222222222225</v>
      </c>
      <c r="G1188" t="s">
        <v>22</v>
      </c>
      <c r="H1188" t="str">
        <f>IF(Delivery_data[[#This Row],[Order Status]] = "In Progress", "Backlog", "Complete")</f>
        <v>Complete</v>
      </c>
      <c r="I1188" t="s">
        <v>209</v>
      </c>
      <c r="J1188" t="s">
        <v>1637</v>
      </c>
      <c r="K1188" t="s">
        <v>24</v>
      </c>
      <c r="L1188">
        <v>212</v>
      </c>
      <c r="M1188">
        <v>9</v>
      </c>
      <c r="N1188" t="s">
        <v>25</v>
      </c>
      <c r="O1188" t="s">
        <v>26</v>
      </c>
      <c r="P1188" t="s">
        <v>45</v>
      </c>
      <c r="Q1188" t="s">
        <v>51</v>
      </c>
      <c r="R1188" s="2">
        <v>0.40763888888888888</v>
      </c>
    </row>
    <row r="1189" spans="1:18" x14ac:dyDescent="0.25">
      <c r="A1189" t="s">
        <v>2954</v>
      </c>
      <c r="B1189" t="s">
        <v>1427</v>
      </c>
      <c r="C1189" s="1">
        <v>45177</v>
      </c>
      <c r="D1189" s="1" t="str">
        <f>TEXT(Delivery_data[[#This Row],[Order date]], "MMMM")</f>
        <v>September</v>
      </c>
      <c r="E1189" s="1" t="str">
        <f>TEXT(Delivery_data[[#This Row],[Order date]], "DDDD")</f>
        <v>Friday</v>
      </c>
      <c r="F1189" s="2">
        <v>0.34791666666666665</v>
      </c>
      <c r="G1189" t="s">
        <v>48</v>
      </c>
      <c r="H1189" t="str">
        <f>IF(Delivery_data[[#This Row],[Order Status]] = "In Progress", "Backlog", "Complete")</f>
        <v>Backlog</v>
      </c>
      <c r="I1189" t="s">
        <v>209</v>
      </c>
      <c r="J1189" t="s">
        <v>1633</v>
      </c>
      <c r="K1189" t="s">
        <v>31</v>
      </c>
      <c r="L1189">
        <v>192</v>
      </c>
      <c r="M1189">
        <v>2</v>
      </c>
      <c r="N1189" t="s">
        <v>25</v>
      </c>
      <c r="O1189" t="s">
        <v>54</v>
      </c>
      <c r="P1189" t="s">
        <v>27</v>
      </c>
      <c r="Q1189" t="s">
        <v>46</v>
      </c>
      <c r="R1189" s="2">
        <v>0.65277777777777779</v>
      </c>
    </row>
    <row r="1190" spans="1:18" x14ac:dyDescent="0.25">
      <c r="A1190" t="s">
        <v>1839</v>
      </c>
      <c r="B1190" t="s">
        <v>337</v>
      </c>
      <c r="C1190" s="1">
        <v>45172</v>
      </c>
      <c r="D1190" s="1" t="str">
        <f>TEXT(Delivery_data[[#This Row],[Order date]], "MMMM")</f>
        <v>September</v>
      </c>
      <c r="E1190" s="1" t="str">
        <f>TEXT(Delivery_data[[#This Row],[Order date]], "DDDD")</f>
        <v>Sunday</v>
      </c>
      <c r="F1190" s="2">
        <v>0.59652777777777777</v>
      </c>
      <c r="G1190" t="s">
        <v>22</v>
      </c>
      <c r="H1190" t="str">
        <f>IF(Delivery_data[[#This Row],[Order Status]] = "In Progress", "Backlog", "Complete")</f>
        <v>Complete</v>
      </c>
      <c r="I1190" t="s">
        <v>338</v>
      </c>
      <c r="J1190" t="s">
        <v>1637</v>
      </c>
      <c r="K1190" t="s">
        <v>24</v>
      </c>
      <c r="L1190">
        <v>107</v>
      </c>
      <c r="M1190">
        <v>11</v>
      </c>
      <c r="N1190" t="s">
        <v>38</v>
      </c>
      <c r="O1190" t="s">
        <v>50</v>
      </c>
      <c r="P1190" t="s">
        <v>34</v>
      </c>
      <c r="Q1190" t="s">
        <v>46</v>
      </c>
      <c r="R1190" s="2">
        <v>0.63888888888888884</v>
      </c>
    </row>
    <row r="1191" spans="1:18" x14ac:dyDescent="0.25">
      <c r="A1191" t="s">
        <v>1858</v>
      </c>
      <c r="B1191" t="s">
        <v>357</v>
      </c>
      <c r="C1191" s="1">
        <v>45174</v>
      </c>
      <c r="D1191" s="1" t="str">
        <f>TEXT(Delivery_data[[#This Row],[Order date]], "MMMM")</f>
        <v>September</v>
      </c>
      <c r="E1191" s="1" t="str">
        <f>TEXT(Delivery_data[[#This Row],[Order date]], "DDDD")</f>
        <v>Tuesday</v>
      </c>
      <c r="F1191" s="2">
        <v>0.56041666666666667</v>
      </c>
      <c r="G1191" t="s">
        <v>22</v>
      </c>
      <c r="H1191" t="str">
        <f>IF(Delivery_data[[#This Row],[Order Status]] = "In Progress", "Backlog", "Complete")</f>
        <v>Complete</v>
      </c>
      <c r="I1191" t="s">
        <v>338</v>
      </c>
      <c r="J1191" t="s">
        <v>1637</v>
      </c>
      <c r="K1191" t="s">
        <v>37</v>
      </c>
      <c r="L1191">
        <v>88</v>
      </c>
      <c r="M1191">
        <v>27</v>
      </c>
      <c r="N1191" t="s">
        <v>25</v>
      </c>
      <c r="O1191" t="s">
        <v>41</v>
      </c>
      <c r="P1191" t="s">
        <v>34</v>
      </c>
      <c r="Q1191" t="s">
        <v>28</v>
      </c>
      <c r="R1191" s="2">
        <v>0.41249999999999998</v>
      </c>
    </row>
    <row r="1192" spans="1:18" x14ac:dyDescent="0.25">
      <c r="A1192" t="s">
        <v>1927</v>
      </c>
      <c r="B1192" t="s">
        <v>430</v>
      </c>
      <c r="C1192" s="1">
        <v>45177</v>
      </c>
      <c r="D1192" s="1" t="str">
        <f>TEXT(Delivery_data[[#This Row],[Order date]], "MMMM")</f>
        <v>September</v>
      </c>
      <c r="E1192" s="1" t="str">
        <f>TEXT(Delivery_data[[#This Row],[Order date]], "DDDD")</f>
        <v>Friday</v>
      </c>
      <c r="F1192" s="2">
        <v>0.62708333333333333</v>
      </c>
      <c r="G1192" t="s">
        <v>22</v>
      </c>
      <c r="H1192" t="str">
        <f>IF(Delivery_data[[#This Row],[Order Status]] = "In Progress", "Backlog", "Complete")</f>
        <v>Complete</v>
      </c>
      <c r="I1192" t="s">
        <v>338</v>
      </c>
      <c r="J1192" t="s">
        <v>1631</v>
      </c>
      <c r="K1192" t="s">
        <v>61</v>
      </c>
      <c r="L1192">
        <v>99</v>
      </c>
      <c r="M1192">
        <v>12</v>
      </c>
      <c r="N1192" t="s">
        <v>32</v>
      </c>
      <c r="O1192" t="s">
        <v>50</v>
      </c>
      <c r="P1192" t="s">
        <v>45</v>
      </c>
      <c r="Q1192" t="s">
        <v>46</v>
      </c>
      <c r="R1192" s="2">
        <v>0.5180555555555556</v>
      </c>
    </row>
    <row r="1193" spans="1:18" x14ac:dyDescent="0.25">
      <c r="A1193" t="s">
        <v>1955</v>
      </c>
      <c r="B1193" t="s">
        <v>459</v>
      </c>
      <c r="C1193" s="1">
        <v>45172</v>
      </c>
      <c r="D1193" s="1" t="str">
        <f>TEXT(Delivery_data[[#This Row],[Order date]], "MMMM")</f>
        <v>September</v>
      </c>
      <c r="E1193" s="1" t="str">
        <f>TEXT(Delivery_data[[#This Row],[Order date]], "DDDD")</f>
        <v>Sunday</v>
      </c>
      <c r="F1193" s="2">
        <v>0.60763888888888884</v>
      </c>
      <c r="G1193" t="s">
        <v>22</v>
      </c>
      <c r="H1193" t="str">
        <f>IF(Delivery_data[[#This Row],[Order Status]] = "In Progress", "Backlog", "Complete")</f>
        <v>Complete</v>
      </c>
      <c r="I1193" t="s">
        <v>338</v>
      </c>
      <c r="J1193" t="s">
        <v>1633</v>
      </c>
      <c r="K1193" t="s">
        <v>31</v>
      </c>
      <c r="L1193">
        <v>213</v>
      </c>
      <c r="M1193">
        <v>4</v>
      </c>
      <c r="N1193" t="s">
        <v>25</v>
      </c>
      <c r="O1193" t="s">
        <v>33</v>
      </c>
      <c r="P1193" t="s">
        <v>45</v>
      </c>
      <c r="Q1193" t="s">
        <v>28</v>
      </c>
      <c r="R1193" s="2">
        <v>0.66736111111111107</v>
      </c>
    </row>
    <row r="1194" spans="1:18" x14ac:dyDescent="0.25">
      <c r="A1194" t="s">
        <v>2118</v>
      </c>
      <c r="B1194" t="s">
        <v>622</v>
      </c>
      <c r="C1194" s="1">
        <v>45173</v>
      </c>
      <c r="D1194" s="1" t="str">
        <f>TEXT(Delivery_data[[#This Row],[Order date]], "MMMM")</f>
        <v>September</v>
      </c>
      <c r="E1194" s="1" t="str">
        <f>TEXT(Delivery_data[[#This Row],[Order date]], "DDDD")</f>
        <v>Monday</v>
      </c>
      <c r="F1194" s="2">
        <v>0.5854166666666667</v>
      </c>
      <c r="G1194" t="s">
        <v>48</v>
      </c>
      <c r="H1194" t="str">
        <f>IF(Delivery_data[[#This Row],[Order Status]] = "In Progress", "Backlog", "Complete")</f>
        <v>Backlog</v>
      </c>
      <c r="I1194" t="s">
        <v>338</v>
      </c>
      <c r="J1194" t="s">
        <v>1631</v>
      </c>
      <c r="K1194" t="s">
        <v>37</v>
      </c>
      <c r="L1194">
        <v>116</v>
      </c>
      <c r="M1194">
        <v>11</v>
      </c>
      <c r="N1194" t="s">
        <v>38</v>
      </c>
      <c r="O1194" t="s">
        <v>33</v>
      </c>
      <c r="P1194" t="s">
        <v>34</v>
      </c>
      <c r="Q1194" t="s">
        <v>46</v>
      </c>
      <c r="R1194" s="2">
        <v>0.50138888888888888</v>
      </c>
    </row>
    <row r="1195" spans="1:18" x14ac:dyDescent="0.25">
      <c r="A1195" t="s">
        <v>2204</v>
      </c>
      <c r="B1195" t="s">
        <v>705</v>
      </c>
      <c r="C1195" s="1">
        <v>45172</v>
      </c>
      <c r="D1195" s="1" t="str">
        <f>TEXT(Delivery_data[[#This Row],[Order date]], "MMMM")</f>
        <v>September</v>
      </c>
      <c r="E1195" s="1" t="str">
        <f>TEXT(Delivery_data[[#This Row],[Order date]], "DDDD")</f>
        <v>Sunday</v>
      </c>
      <c r="F1195" s="2">
        <v>0.37916666666666665</v>
      </c>
      <c r="G1195" t="s">
        <v>22</v>
      </c>
      <c r="H1195" t="str">
        <f>IF(Delivery_data[[#This Row],[Order Status]] = "In Progress", "Backlog", "Complete")</f>
        <v>Complete</v>
      </c>
      <c r="I1195" t="s">
        <v>338</v>
      </c>
      <c r="J1195" t="s">
        <v>1637</v>
      </c>
      <c r="K1195" t="s">
        <v>44</v>
      </c>
      <c r="L1195">
        <v>114</v>
      </c>
      <c r="M1195">
        <v>1</v>
      </c>
      <c r="N1195" t="s">
        <v>25</v>
      </c>
      <c r="O1195" t="s">
        <v>54</v>
      </c>
      <c r="P1195" t="s">
        <v>34</v>
      </c>
      <c r="Q1195" t="s">
        <v>46</v>
      </c>
      <c r="R1195" s="2">
        <v>0.53888888888888886</v>
      </c>
    </row>
    <row r="1196" spans="1:18" x14ac:dyDescent="0.25">
      <c r="A1196" t="s">
        <v>2345</v>
      </c>
      <c r="B1196" t="s">
        <v>843</v>
      </c>
      <c r="C1196" s="1">
        <v>45174</v>
      </c>
      <c r="D1196" s="1" t="str">
        <f>TEXT(Delivery_data[[#This Row],[Order date]], "MMMM")</f>
        <v>September</v>
      </c>
      <c r="E1196" s="1" t="str">
        <f>TEXT(Delivery_data[[#This Row],[Order date]], "DDDD")</f>
        <v>Tuesday</v>
      </c>
      <c r="F1196" s="2">
        <v>0.64861111111111114</v>
      </c>
      <c r="G1196" t="s">
        <v>48</v>
      </c>
      <c r="H1196" t="str">
        <f>IF(Delivery_data[[#This Row],[Order Status]] = "In Progress", "Backlog", "Complete")</f>
        <v>Backlog</v>
      </c>
      <c r="I1196" t="s">
        <v>338</v>
      </c>
      <c r="J1196" t="s">
        <v>1633</v>
      </c>
      <c r="K1196" t="s">
        <v>31</v>
      </c>
      <c r="L1196">
        <v>204</v>
      </c>
      <c r="M1196">
        <v>0</v>
      </c>
      <c r="N1196" t="s">
        <v>32</v>
      </c>
      <c r="O1196" t="s">
        <v>54</v>
      </c>
      <c r="P1196" t="s">
        <v>45</v>
      </c>
      <c r="Q1196" t="s">
        <v>46</v>
      </c>
      <c r="R1196" s="2">
        <v>0.6743055555555556</v>
      </c>
    </row>
    <row r="1197" spans="1:18" x14ac:dyDescent="0.25">
      <c r="A1197" t="s">
        <v>2424</v>
      </c>
      <c r="B1197" t="s">
        <v>917</v>
      </c>
      <c r="C1197" s="1">
        <v>45171</v>
      </c>
      <c r="D1197" s="1" t="str">
        <f>TEXT(Delivery_data[[#This Row],[Order date]], "MMMM")</f>
        <v>September</v>
      </c>
      <c r="E1197" s="1" t="str">
        <f>TEXT(Delivery_data[[#This Row],[Order date]], "DDDD")</f>
        <v>Saturday</v>
      </c>
      <c r="F1197" s="2">
        <v>0.67569444444444449</v>
      </c>
      <c r="G1197" t="s">
        <v>22</v>
      </c>
      <c r="H1197" t="str">
        <f>IF(Delivery_data[[#This Row],[Order Status]] = "In Progress", "Backlog", "Complete")</f>
        <v>Complete</v>
      </c>
      <c r="I1197" t="s">
        <v>338</v>
      </c>
      <c r="J1197" t="s">
        <v>1631</v>
      </c>
      <c r="K1197" t="s">
        <v>37</v>
      </c>
      <c r="L1197">
        <v>198</v>
      </c>
      <c r="M1197">
        <v>5</v>
      </c>
      <c r="N1197" t="s">
        <v>25</v>
      </c>
      <c r="O1197" t="s">
        <v>41</v>
      </c>
      <c r="P1197" t="s">
        <v>34</v>
      </c>
      <c r="Q1197" t="s">
        <v>28</v>
      </c>
      <c r="R1197" s="2">
        <v>0.4236111111111111</v>
      </c>
    </row>
    <row r="1198" spans="1:18" x14ac:dyDescent="0.25">
      <c r="A1198" t="s">
        <v>2429</v>
      </c>
      <c r="B1198" t="s">
        <v>922</v>
      </c>
      <c r="C1198" s="1">
        <v>45173</v>
      </c>
      <c r="D1198" s="1" t="str">
        <f>TEXT(Delivery_data[[#This Row],[Order date]], "MMMM")</f>
        <v>September</v>
      </c>
      <c r="E1198" s="1" t="str">
        <f>TEXT(Delivery_data[[#This Row],[Order date]], "DDDD")</f>
        <v>Monday</v>
      </c>
      <c r="F1198" s="2">
        <v>0.41041666666666665</v>
      </c>
      <c r="G1198" t="s">
        <v>48</v>
      </c>
      <c r="H1198" t="str">
        <f>IF(Delivery_data[[#This Row],[Order Status]] = "In Progress", "Backlog", "Complete")</f>
        <v>Backlog</v>
      </c>
      <c r="I1198" t="s">
        <v>338</v>
      </c>
      <c r="J1198" t="s">
        <v>1633</v>
      </c>
      <c r="K1198" t="s">
        <v>24</v>
      </c>
      <c r="L1198">
        <v>208</v>
      </c>
      <c r="M1198">
        <v>6</v>
      </c>
      <c r="N1198" t="s">
        <v>38</v>
      </c>
      <c r="O1198" t="s">
        <v>26</v>
      </c>
      <c r="P1198" t="s">
        <v>34</v>
      </c>
      <c r="Q1198" t="s">
        <v>28</v>
      </c>
      <c r="R1198" s="2">
        <v>0.43055555555555558</v>
      </c>
    </row>
    <row r="1199" spans="1:18" x14ac:dyDescent="0.25">
      <c r="A1199" t="s">
        <v>2557</v>
      </c>
      <c r="B1199" t="s">
        <v>1042</v>
      </c>
      <c r="C1199" s="1">
        <v>45170</v>
      </c>
      <c r="D1199" s="1" t="str">
        <f>TEXT(Delivery_data[[#This Row],[Order date]], "MMMM")</f>
        <v>September</v>
      </c>
      <c r="E1199" s="1" t="str">
        <f>TEXT(Delivery_data[[#This Row],[Order date]], "DDDD")</f>
        <v>Friday</v>
      </c>
      <c r="F1199" s="2">
        <v>0.47499999999999998</v>
      </c>
      <c r="G1199" t="s">
        <v>22</v>
      </c>
      <c r="H1199" t="str">
        <f>IF(Delivery_data[[#This Row],[Order Status]] = "In Progress", "Backlog", "Complete")</f>
        <v>Complete</v>
      </c>
      <c r="I1199" t="s">
        <v>338</v>
      </c>
      <c r="J1199" t="s">
        <v>1637</v>
      </c>
      <c r="K1199" t="s">
        <v>37</v>
      </c>
      <c r="L1199">
        <v>198</v>
      </c>
      <c r="M1199">
        <v>17</v>
      </c>
      <c r="N1199" t="s">
        <v>32</v>
      </c>
      <c r="O1199" t="s">
        <v>33</v>
      </c>
      <c r="P1199" t="s">
        <v>34</v>
      </c>
      <c r="Q1199" t="s">
        <v>28</v>
      </c>
      <c r="R1199" s="2">
        <v>0.37708333333333333</v>
      </c>
    </row>
    <row r="1200" spans="1:18" x14ac:dyDescent="0.25">
      <c r="A1200" t="s">
        <v>2692</v>
      </c>
      <c r="B1200" t="s">
        <v>1173</v>
      </c>
      <c r="C1200" s="1">
        <v>45177</v>
      </c>
      <c r="D1200" s="1" t="str">
        <f>TEXT(Delivery_data[[#This Row],[Order date]], "MMMM")</f>
        <v>September</v>
      </c>
      <c r="E1200" s="1" t="str">
        <f>TEXT(Delivery_data[[#This Row],[Order date]], "DDDD")</f>
        <v>Friday</v>
      </c>
      <c r="F1200" s="2">
        <v>0.49027777777777776</v>
      </c>
      <c r="G1200" t="s">
        <v>48</v>
      </c>
      <c r="H1200" t="str">
        <f>IF(Delivery_data[[#This Row],[Order Status]] = "In Progress", "Backlog", "Complete")</f>
        <v>Backlog</v>
      </c>
      <c r="I1200" t="s">
        <v>338</v>
      </c>
      <c r="J1200" t="s">
        <v>1637</v>
      </c>
      <c r="K1200" t="s">
        <v>24</v>
      </c>
      <c r="L1200">
        <v>149</v>
      </c>
      <c r="M1200">
        <v>29</v>
      </c>
      <c r="N1200" t="s">
        <v>25</v>
      </c>
      <c r="O1200" t="s">
        <v>26</v>
      </c>
      <c r="P1200" t="s">
        <v>27</v>
      </c>
      <c r="Q1200" t="s">
        <v>51</v>
      </c>
      <c r="R1200" s="2">
        <v>0.53402777777777777</v>
      </c>
    </row>
    <row r="1201" spans="1:18" x14ac:dyDescent="0.25">
      <c r="A1201" t="s">
        <v>2695</v>
      </c>
      <c r="B1201" t="s">
        <v>1176</v>
      </c>
      <c r="C1201" s="1">
        <v>45175</v>
      </c>
      <c r="D1201" s="1" t="str">
        <f>TEXT(Delivery_data[[#This Row],[Order date]], "MMMM")</f>
        <v>September</v>
      </c>
      <c r="E1201" s="1" t="str">
        <f>TEXT(Delivery_data[[#This Row],[Order date]], "DDDD")</f>
        <v>Wednesday</v>
      </c>
      <c r="F1201" s="2">
        <v>0.47291666666666665</v>
      </c>
      <c r="G1201" t="s">
        <v>48</v>
      </c>
      <c r="H1201" t="str">
        <f>IF(Delivery_data[[#This Row],[Order Status]] = "In Progress", "Backlog", "Complete")</f>
        <v>Backlog</v>
      </c>
      <c r="I1201" t="s">
        <v>338</v>
      </c>
      <c r="J1201" t="s">
        <v>1631</v>
      </c>
      <c r="K1201" t="s">
        <v>61</v>
      </c>
      <c r="L1201">
        <v>135</v>
      </c>
      <c r="M1201">
        <v>24</v>
      </c>
      <c r="N1201" t="s">
        <v>38</v>
      </c>
      <c r="O1201" t="s">
        <v>50</v>
      </c>
      <c r="P1201" t="s">
        <v>45</v>
      </c>
      <c r="Q1201" t="s">
        <v>28</v>
      </c>
      <c r="R1201" s="2">
        <v>0.47083333333333333</v>
      </c>
    </row>
    <row r="1202" spans="1:18" x14ac:dyDescent="0.25">
      <c r="A1202" t="s">
        <v>2784</v>
      </c>
      <c r="B1202" t="s">
        <v>1261</v>
      </c>
      <c r="C1202" s="1">
        <v>45171</v>
      </c>
      <c r="D1202" s="1" t="str">
        <f>TEXT(Delivery_data[[#This Row],[Order date]], "MMMM")</f>
        <v>September</v>
      </c>
      <c r="E1202" s="1" t="str">
        <f>TEXT(Delivery_data[[#This Row],[Order date]], "DDDD")</f>
        <v>Saturday</v>
      </c>
      <c r="F1202" s="2">
        <v>0.39652777777777776</v>
      </c>
      <c r="G1202" t="s">
        <v>22</v>
      </c>
      <c r="H1202" t="str">
        <f>IF(Delivery_data[[#This Row],[Order Status]] = "In Progress", "Backlog", "Complete")</f>
        <v>Complete</v>
      </c>
      <c r="I1202" t="s">
        <v>338</v>
      </c>
      <c r="J1202" t="s">
        <v>1631</v>
      </c>
      <c r="K1202" t="s">
        <v>44</v>
      </c>
      <c r="L1202">
        <v>84</v>
      </c>
      <c r="M1202">
        <v>7</v>
      </c>
      <c r="N1202" t="s">
        <v>38</v>
      </c>
      <c r="O1202" t="s">
        <v>54</v>
      </c>
      <c r="P1202" t="s">
        <v>45</v>
      </c>
      <c r="Q1202" t="s">
        <v>51</v>
      </c>
      <c r="R1202" s="2">
        <v>0.47569444444444442</v>
      </c>
    </row>
    <row r="1203" spans="1:18" x14ac:dyDescent="0.25">
      <c r="A1203" t="s">
        <v>2886</v>
      </c>
      <c r="B1203" t="s">
        <v>1359</v>
      </c>
      <c r="C1203" s="1">
        <v>45173</v>
      </c>
      <c r="D1203" s="1" t="str">
        <f>TEXT(Delivery_data[[#This Row],[Order date]], "MMMM")</f>
        <v>September</v>
      </c>
      <c r="E1203" s="1" t="str">
        <f>TEXT(Delivery_data[[#This Row],[Order date]], "DDDD")</f>
        <v>Monday</v>
      </c>
      <c r="F1203" s="2">
        <v>0.62430555555555556</v>
      </c>
      <c r="G1203" t="s">
        <v>22</v>
      </c>
      <c r="H1203" t="str">
        <f>IF(Delivery_data[[#This Row],[Order Status]] = "In Progress", "Backlog", "Complete")</f>
        <v>Complete</v>
      </c>
      <c r="I1203" t="s">
        <v>338</v>
      </c>
      <c r="J1203" t="s">
        <v>1631</v>
      </c>
      <c r="K1203" t="s">
        <v>44</v>
      </c>
      <c r="L1203">
        <v>75</v>
      </c>
      <c r="M1203">
        <v>8</v>
      </c>
      <c r="N1203" t="s">
        <v>38</v>
      </c>
      <c r="O1203" t="s">
        <v>33</v>
      </c>
      <c r="P1203" t="s">
        <v>45</v>
      </c>
      <c r="Q1203" t="s">
        <v>51</v>
      </c>
      <c r="R1203" s="2">
        <v>0.65555555555555556</v>
      </c>
    </row>
    <row r="1204" spans="1:18" x14ac:dyDescent="0.25">
      <c r="A1204" t="s">
        <v>3041</v>
      </c>
      <c r="B1204" t="s">
        <v>1511</v>
      </c>
      <c r="C1204" s="1">
        <v>45171</v>
      </c>
      <c r="D1204" s="1" t="str">
        <f>TEXT(Delivery_data[[#This Row],[Order date]], "MMMM")</f>
        <v>September</v>
      </c>
      <c r="E1204" s="1" t="str">
        <f>TEXT(Delivery_data[[#This Row],[Order date]], "DDDD")</f>
        <v>Saturday</v>
      </c>
      <c r="F1204" s="2">
        <v>0.57152777777777775</v>
      </c>
      <c r="G1204" t="s">
        <v>48</v>
      </c>
      <c r="H1204" t="str">
        <f>IF(Delivery_data[[#This Row],[Order Status]] = "In Progress", "Backlog", "Complete")</f>
        <v>Backlog</v>
      </c>
      <c r="I1204" t="s">
        <v>338</v>
      </c>
      <c r="J1204" t="s">
        <v>1631</v>
      </c>
      <c r="K1204" t="s">
        <v>31</v>
      </c>
      <c r="L1204">
        <v>195</v>
      </c>
      <c r="M1204">
        <v>21</v>
      </c>
      <c r="N1204" t="s">
        <v>32</v>
      </c>
      <c r="O1204" t="s">
        <v>41</v>
      </c>
      <c r="P1204" t="s">
        <v>34</v>
      </c>
      <c r="Q1204" t="s">
        <v>28</v>
      </c>
      <c r="R1204" s="2">
        <v>0.45902777777777776</v>
      </c>
    </row>
    <row r="1205" spans="1:18" x14ac:dyDescent="0.25">
      <c r="A1205" t="s">
        <v>3058</v>
      </c>
      <c r="B1205" t="s">
        <v>1526</v>
      </c>
      <c r="C1205" s="1">
        <v>45170</v>
      </c>
      <c r="D1205" s="1" t="str">
        <f>TEXT(Delivery_data[[#This Row],[Order date]], "MMMM")</f>
        <v>September</v>
      </c>
      <c r="E1205" s="1" t="str">
        <f>TEXT(Delivery_data[[#This Row],[Order date]], "DDDD")</f>
        <v>Friday</v>
      </c>
      <c r="F1205" s="2">
        <v>0.36041666666666666</v>
      </c>
      <c r="G1205" t="s">
        <v>48</v>
      </c>
      <c r="H1205" t="str">
        <f>IF(Delivery_data[[#This Row],[Order Status]] = "In Progress", "Backlog", "Complete")</f>
        <v>Backlog</v>
      </c>
      <c r="I1205" t="s">
        <v>338</v>
      </c>
      <c r="J1205" t="s">
        <v>1631</v>
      </c>
      <c r="K1205" t="s">
        <v>44</v>
      </c>
      <c r="L1205">
        <v>194</v>
      </c>
      <c r="M1205">
        <v>23</v>
      </c>
      <c r="N1205" t="s">
        <v>32</v>
      </c>
      <c r="O1205" t="s">
        <v>41</v>
      </c>
      <c r="P1205" t="s">
        <v>45</v>
      </c>
      <c r="Q1205" t="s">
        <v>51</v>
      </c>
      <c r="R1205" s="2">
        <v>0.65138888888888891</v>
      </c>
    </row>
    <row r="1206" spans="1:18" x14ac:dyDescent="0.25">
      <c r="A1206" t="s">
        <v>1660</v>
      </c>
      <c r="B1206" t="s">
        <v>93</v>
      </c>
      <c r="C1206" s="1">
        <v>45171</v>
      </c>
      <c r="D1206" s="1" t="str">
        <f>TEXT(Delivery_data[[#This Row],[Order date]], "MMMM")</f>
        <v>September</v>
      </c>
      <c r="E1206" s="1" t="str">
        <f>TEXT(Delivery_data[[#This Row],[Order date]], "DDDD")</f>
        <v>Saturday</v>
      </c>
      <c r="F1206" s="2">
        <v>0.38472222222222224</v>
      </c>
      <c r="G1206" t="s">
        <v>22</v>
      </c>
      <c r="H1206" t="str">
        <f>IF(Delivery_data[[#This Row],[Order Status]] = "In Progress", "Backlog", "Complete")</f>
        <v>Complete</v>
      </c>
      <c r="I1206" t="s">
        <v>94</v>
      </c>
      <c r="J1206" t="s">
        <v>1633</v>
      </c>
      <c r="K1206" t="s">
        <v>44</v>
      </c>
      <c r="L1206">
        <v>165</v>
      </c>
      <c r="M1206">
        <v>17</v>
      </c>
      <c r="N1206" t="s">
        <v>25</v>
      </c>
      <c r="O1206" t="s">
        <v>41</v>
      </c>
      <c r="P1206" t="s">
        <v>45</v>
      </c>
      <c r="Q1206" t="s">
        <v>46</v>
      </c>
      <c r="R1206" s="2">
        <v>0.69027777777777777</v>
      </c>
    </row>
    <row r="1207" spans="1:18" x14ac:dyDescent="0.25">
      <c r="A1207" t="s">
        <v>1802</v>
      </c>
      <c r="B1207" t="s">
        <v>297</v>
      </c>
      <c r="C1207" s="1">
        <v>45171</v>
      </c>
      <c r="D1207" s="1" t="str">
        <f>TEXT(Delivery_data[[#This Row],[Order date]], "MMMM")</f>
        <v>September</v>
      </c>
      <c r="E1207" s="1" t="str">
        <f>TEXT(Delivery_data[[#This Row],[Order date]], "DDDD")</f>
        <v>Saturday</v>
      </c>
      <c r="F1207" s="2">
        <v>0.60416666666666663</v>
      </c>
      <c r="G1207" t="s">
        <v>48</v>
      </c>
      <c r="H1207" t="str">
        <f>IF(Delivery_data[[#This Row],[Order Status]] = "In Progress", "Backlog", "Complete")</f>
        <v>Backlog</v>
      </c>
      <c r="I1207" t="s">
        <v>94</v>
      </c>
      <c r="J1207" t="s">
        <v>1637</v>
      </c>
      <c r="K1207" t="s">
        <v>44</v>
      </c>
      <c r="L1207">
        <v>64</v>
      </c>
      <c r="M1207">
        <v>25</v>
      </c>
      <c r="N1207" t="s">
        <v>25</v>
      </c>
      <c r="O1207" t="s">
        <v>41</v>
      </c>
      <c r="P1207" t="s">
        <v>34</v>
      </c>
      <c r="Q1207" t="s">
        <v>46</v>
      </c>
      <c r="R1207" s="2">
        <v>0.55069444444444449</v>
      </c>
    </row>
    <row r="1208" spans="1:18" x14ac:dyDescent="0.25">
      <c r="A1208" t="s">
        <v>1859</v>
      </c>
      <c r="B1208" t="s">
        <v>358</v>
      </c>
      <c r="C1208" s="1">
        <v>45177</v>
      </c>
      <c r="D1208" s="1" t="str">
        <f>TEXT(Delivery_data[[#This Row],[Order date]], "MMMM")</f>
        <v>September</v>
      </c>
      <c r="E1208" s="1" t="str">
        <f>TEXT(Delivery_data[[#This Row],[Order date]], "DDDD")</f>
        <v>Friday</v>
      </c>
      <c r="F1208" s="2">
        <v>0.39097222222222222</v>
      </c>
      <c r="G1208" t="s">
        <v>22</v>
      </c>
      <c r="H1208" t="str">
        <f>IF(Delivery_data[[#This Row],[Order Status]] = "In Progress", "Backlog", "Complete")</f>
        <v>Complete</v>
      </c>
      <c r="I1208" t="s">
        <v>94</v>
      </c>
      <c r="J1208" t="s">
        <v>1631</v>
      </c>
      <c r="K1208" t="s">
        <v>44</v>
      </c>
      <c r="L1208">
        <v>92</v>
      </c>
      <c r="M1208">
        <v>21</v>
      </c>
      <c r="N1208" t="s">
        <v>38</v>
      </c>
      <c r="O1208" t="s">
        <v>26</v>
      </c>
      <c r="P1208" t="s">
        <v>34</v>
      </c>
      <c r="Q1208" t="s">
        <v>51</v>
      </c>
      <c r="R1208" s="2">
        <v>0.68680555555555556</v>
      </c>
    </row>
    <row r="1209" spans="1:18" x14ac:dyDescent="0.25">
      <c r="A1209" t="s">
        <v>1905</v>
      </c>
      <c r="B1209" t="s">
        <v>406</v>
      </c>
      <c r="C1209" s="1">
        <v>45171</v>
      </c>
      <c r="D1209" s="1" t="str">
        <f>TEXT(Delivery_data[[#This Row],[Order date]], "MMMM")</f>
        <v>September</v>
      </c>
      <c r="E1209" s="1" t="str">
        <f>TEXT(Delivery_data[[#This Row],[Order date]], "DDDD")</f>
        <v>Saturday</v>
      </c>
      <c r="F1209" s="2">
        <v>0.48194444444444445</v>
      </c>
      <c r="G1209" t="s">
        <v>48</v>
      </c>
      <c r="H1209" t="str">
        <f>IF(Delivery_data[[#This Row],[Order Status]] = "In Progress", "Backlog", "Complete")</f>
        <v>Backlog</v>
      </c>
      <c r="I1209" t="s">
        <v>94</v>
      </c>
      <c r="J1209" t="s">
        <v>1633</v>
      </c>
      <c r="K1209" t="s">
        <v>24</v>
      </c>
      <c r="L1209">
        <v>221</v>
      </c>
      <c r="M1209">
        <v>24</v>
      </c>
      <c r="N1209" t="s">
        <v>25</v>
      </c>
      <c r="O1209" t="s">
        <v>41</v>
      </c>
      <c r="P1209" t="s">
        <v>34</v>
      </c>
      <c r="Q1209" t="s">
        <v>28</v>
      </c>
      <c r="R1209" s="2">
        <v>0.62361111111111112</v>
      </c>
    </row>
    <row r="1210" spans="1:18" x14ac:dyDescent="0.25">
      <c r="A1210" t="s">
        <v>2140</v>
      </c>
      <c r="B1210" t="s">
        <v>643</v>
      </c>
      <c r="C1210" s="1">
        <v>45177</v>
      </c>
      <c r="D1210" s="1" t="str">
        <f>TEXT(Delivery_data[[#This Row],[Order date]], "MMMM")</f>
        <v>September</v>
      </c>
      <c r="E1210" s="1" t="str">
        <f>TEXT(Delivery_data[[#This Row],[Order date]], "DDDD")</f>
        <v>Friday</v>
      </c>
      <c r="F1210" s="2">
        <v>0.42152777777777778</v>
      </c>
      <c r="G1210" t="s">
        <v>48</v>
      </c>
      <c r="H1210" t="str">
        <f>IF(Delivery_data[[#This Row],[Order Status]] = "In Progress", "Backlog", "Complete")</f>
        <v>Backlog</v>
      </c>
      <c r="I1210" t="s">
        <v>94</v>
      </c>
      <c r="J1210" t="s">
        <v>1631</v>
      </c>
      <c r="K1210" t="s">
        <v>44</v>
      </c>
      <c r="L1210">
        <v>69</v>
      </c>
      <c r="M1210">
        <v>9</v>
      </c>
      <c r="N1210" t="s">
        <v>38</v>
      </c>
      <c r="O1210" t="s">
        <v>41</v>
      </c>
      <c r="P1210" t="s">
        <v>34</v>
      </c>
      <c r="Q1210" t="s">
        <v>51</v>
      </c>
      <c r="R1210" s="2">
        <v>0.42291666666666666</v>
      </c>
    </row>
    <row r="1211" spans="1:18" x14ac:dyDescent="0.25">
      <c r="A1211" t="s">
        <v>2259</v>
      </c>
      <c r="B1211" t="s">
        <v>759</v>
      </c>
      <c r="C1211" s="1">
        <v>45172</v>
      </c>
      <c r="D1211" s="1" t="str">
        <f>TEXT(Delivery_data[[#This Row],[Order date]], "MMMM")</f>
        <v>September</v>
      </c>
      <c r="E1211" s="1" t="str">
        <f>TEXT(Delivery_data[[#This Row],[Order date]], "DDDD")</f>
        <v>Sunday</v>
      </c>
      <c r="F1211" s="2">
        <v>0.48819444444444443</v>
      </c>
      <c r="G1211" t="s">
        <v>48</v>
      </c>
      <c r="H1211" t="str">
        <f>IF(Delivery_data[[#This Row],[Order Status]] = "In Progress", "Backlog", "Complete")</f>
        <v>Backlog</v>
      </c>
      <c r="I1211" t="s">
        <v>94</v>
      </c>
      <c r="J1211" t="s">
        <v>1637</v>
      </c>
      <c r="K1211" t="s">
        <v>31</v>
      </c>
      <c r="L1211">
        <v>223</v>
      </c>
      <c r="M1211">
        <v>19</v>
      </c>
      <c r="N1211" t="s">
        <v>32</v>
      </c>
      <c r="O1211" t="s">
        <v>26</v>
      </c>
      <c r="P1211" t="s">
        <v>27</v>
      </c>
      <c r="Q1211" t="s">
        <v>28</v>
      </c>
      <c r="R1211" s="2">
        <v>0.72361111111111109</v>
      </c>
    </row>
    <row r="1212" spans="1:18" x14ac:dyDescent="0.25">
      <c r="A1212" t="s">
        <v>2398</v>
      </c>
      <c r="B1212" t="s">
        <v>894</v>
      </c>
      <c r="C1212" s="1">
        <v>45177</v>
      </c>
      <c r="D1212" s="1" t="str">
        <f>TEXT(Delivery_data[[#This Row],[Order date]], "MMMM")</f>
        <v>September</v>
      </c>
      <c r="E1212" s="1" t="str">
        <f>TEXT(Delivery_data[[#This Row],[Order date]], "DDDD")</f>
        <v>Friday</v>
      </c>
      <c r="F1212" s="2">
        <v>0.51180555555555551</v>
      </c>
      <c r="G1212" t="s">
        <v>22</v>
      </c>
      <c r="H1212" t="str">
        <f>IF(Delivery_data[[#This Row],[Order Status]] = "In Progress", "Backlog", "Complete")</f>
        <v>Complete</v>
      </c>
      <c r="I1212" t="s">
        <v>94</v>
      </c>
      <c r="J1212" t="s">
        <v>1637</v>
      </c>
      <c r="K1212" t="s">
        <v>31</v>
      </c>
      <c r="L1212">
        <v>134</v>
      </c>
      <c r="M1212">
        <v>13</v>
      </c>
      <c r="N1212" t="s">
        <v>38</v>
      </c>
      <c r="O1212" t="s">
        <v>26</v>
      </c>
      <c r="P1212" t="s">
        <v>27</v>
      </c>
      <c r="Q1212" t="s">
        <v>28</v>
      </c>
      <c r="R1212" s="2">
        <v>0.37430555555555556</v>
      </c>
    </row>
    <row r="1213" spans="1:18" x14ac:dyDescent="0.25">
      <c r="A1213" t="s">
        <v>2492</v>
      </c>
      <c r="B1213" t="s">
        <v>982</v>
      </c>
      <c r="C1213" s="1">
        <v>45174</v>
      </c>
      <c r="D1213" s="1" t="str">
        <f>TEXT(Delivery_data[[#This Row],[Order date]], "MMMM")</f>
        <v>September</v>
      </c>
      <c r="E1213" s="1" t="str">
        <f>TEXT(Delivery_data[[#This Row],[Order date]], "DDDD")</f>
        <v>Tuesday</v>
      </c>
      <c r="F1213" s="2">
        <v>0.36249999999999999</v>
      </c>
      <c r="G1213" t="s">
        <v>22</v>
      </c>
      <c r="H1213" t="str">
        <f>IF(Delivery_data[[#This Row],[Order Status]] = "In Progress", "Backlog", "Complete")</f>
        <v>Complete</v>
      </c>
      <c r="I1213" t="s">
        <v>94</v>
      </c>
      <c r="J1213" t="s">
        <v>1633</v>
      </c>
      <c r="K1213" t="s">
        <v>44</v>
      </c>
      <c r="L1213">
        <v>222</v>
      </c>
      <c r="M1213">
        <v>22</v>
      </c>
      <c r="N1213" t="s">
        <v>32</v>
      </c>
      <c r="O1213" t="s">
        <v>54</v>
      </c>
      <c r="P1213" t="s">
        <v>34</v>
      </c>
      <c r="Q1213" t="s">
        <v>51</v>
      </c>
      <c r="R1213" s="2">
        <v>0.625</v>
      </c>
    </row>
    <row r="1214" spans="1:18" x14ac:dyDescent="0.25">
      <c r="A1214" t="s">
        <v>2542</v>
      </c>
      <c r="B1214" t="s">
        <v>970</v>
      </c>
      <c r="C1214" s="1">
        <v>45173</v>
      </c>
      <c r="D1214" s="1" t="str">
        <f>TEXT(Delivery_data[[#This Row],[Order date]], "MMMM")</f>
        <v>September</v>
      </c>
      <c r="E1214" s="1" t="str">
        <f>TEXT(Delivery_data[[#This Row],[Order date]], "DDDD")</f>
        <v>Monday</v>
      </c>
      <c r="F1214" s="2">
        <v>0.49861111111111112</v>
      </c>
      <c r="G1214" t="s">
        <v>22</v>
      </c>
      <c r="H1214" t="str">
        <f>IF(Delivery_data[[#This Row],[Order Status]] = "In Progress", "Backlog", "Complete")</f>
        <v>Complete</v>
      </c>
      <c r="I1214" t="s">
        <v>94</v>
      </c>
      <c r="J1214" t="s">
        <v>1631</v>
      </c>
      <c r="K1214" t="s">
        <v>61</v>
      </c>
      <c r="L1214">
        <v>204</v>
      </c>
      <c r="M1214">
        <v>17</v>
      </c>
      <c r="N1214" t="s">
        <v>38</v>
      </c>
      <c r="O1214" t="s">
        <v>26</v>
      </c>
      <c r="P1214" t="s">
        <v>34</v>
      </c>
      <c r="Q1214" t="s">
        <v>46</v>
      </c>
      <c r="R1214" s="2">
        <v>0.67500000000000004</v>
      </c>
    </row>
    <row r="1215" spans="1:18" x14ac:dyDescent="0.25">
      <c r="A1215" t="s">
        <v>2549</v>
      </c>
      <c r="B1215" t="s">
        <v>1035</v>
      </c>
      <c r="C1215" s="1">
        <v>45176</v>
      </c>
      <c r="D1215" s="1" t="str">
        <f>TEXT(Delivery_data[[#This Row],[Order date]], "MMMM")</f>
        <v>September</v>
      </c>
      <c r="E1215" s="1" t="str">
        <f>TEXT(Delivery_data[[#This Row],[Order date]], "DDDD")</f>
        <v>Thursday</v>
      </c>
      <c r="F1215" s="2">
        <v>0.47708333333333336</v>
      </c>
      <c r="G1215" t="s">
        <v>22</v>
      </c>
      <c r="H1215" t="str">
        <f>IF(Delivery_data[[#This Row],[Order Status]] = "In Progress", "Backlog", "Complete")</f>
        <v>Complete</v>
      </c>
      <c r="I1215" t="s">
        <v>94</v>
      </c>
      <c r="J1215" t="s">
        <v>1637</v>
      </c>
      <c r="K1215" t="s">
        <v>37</v>
      </c>
      <c r="L1215">
        <v>140</v>
      </c>
      <c r="M1215">
        <v>3</v>
      </c>
      <c r="N1215" t="s">
        <v>25</v>
      </c>
      <c r="O1215" t="s">
        <v>26</v>
      </c>
      <c r="P1215" t="s">
        <v>34</v>
      </c>
      <c r="Q1215" t="s">
        <v>46</v>
      </c>
      <c r="R1215" s="2">
        <v>0.57986111111111116</v>
      </c>
    </row>
    <row r="1216" spans="1:18" x14ac:dyDescent="0.25">
      <c r="A1216" t="s">
        <v>2703</v>
      </c>
      <c r="B1216" t="s">
        <v>1184</v>
      </c>
      <c r="C1216" s="1">
        <v>45175</v>
      </c>
      <c r="D1216" s="1" t="str">
        <f>TEXT(Delivery_data[[#This Row],[Order date]], "MMMM")</f>
        <v>September</v>
      </c>
      <c r="E1216" s="1" t="str">
        <f>TEXT(Delivery_data[[#This Row],[Order date]], "DDDD")</f>
        <v>Wednesday</v>
      </c>
      <c r="F1216" s="2">
        <v>0.69097222222222221</v>
      </c>
      <c r="G1216" t="s">
        <v>48</v>
      </c>
      <c r="H1216" t="str">
        <f>IF(Delivery_data[[#This Row],[Order Status]] = "In Progress", "Backlog", "Complete")</f>
        <v>Backlog</v>
      </c>
      <c r="I1216" t="s">
        <v>94</v>
      </c>
      <c r="J1216" t="s">
        <v>1633</v>
      </c>
      <c r="K1216" t="s">
        <v>37</v>
      </c>
      <c r="L1216">
        <v>202</v>
      </c>
      <c r="M1216">
        <v>1</v>
      </c>
      <c r="N1216" t="s">
        <v>25</v>
      </c>
      <c r="O1216" t="s">
        <v>50</v>
      </c>
      <c r="P1216" t="s">
        <v>45</v>
      </c>
      <c r="Q1216" t="s">
        <v>51</v>
      </c>
      <c r="R1216" s="2">
        <v>0.42083333333333334</v>
      </c>
    </row>
    <row r="1217" spans="1:18" x14ac:dyDescent="0.25">
      <c r="A1217" t="s">
        <v>2875</v>
      </c>
      <c r="B1217" t="s">
        <v>1349</v>
      </c>
      <c r="C1217" s="1">
        <v>45173</v>
      </c>
      <c r="D1217" s="1" t="str">
        <f>TEXT(Delivery_data[[#This Row],[Order date]], "MMMM")</f>
        <v>September</v>
      </c>
      <c r="E1217" s="1" t="str">
        <f>TEXT(Delivery_data[[#This Row],[Order date]], "DDDD")</f>
        <v>Monday</v>
      </c>
      <c r="F1217" s="2">
        <v>0.68125000000000002</v>
      </c>
      <c r="G1217" t="s">
        <v>22</v>
      </c>
      <c r="H1217" t="str">
        <f>IF(Delivery_data[[#This Row],[Order Status]] = "In Progress", "Backlog", "Complete")</f>
        <v>Complete</v>
      </c>
      <c r="I1217" t="s">
        <v>94</v>
      </c>
      <c r="J1217" t="s">
        <v>1637</v>
      </c>
      <c r="K1217" t="s">
        <v>61</v>
      </c>
      <c r="L1217">
        <v>131</v>
      </c>
      <c r="M1217">
        <v>26</v>
      </c>
      <c r="N1217" t="s">
        <v>25</v>
      </c>
      <c r="O1217" t="s">
        <v>54</v>
      </c>
      <c r="P1217" t="s">
        <v>27</v>
      </c>
      <c r="Q1217" t="s">
        <v>51</v>
      </c>
      <c r="R1217" s="2">
        <v>0.51458333333333328</v>
      </c>
    </row>
    <row r="1218" spans="1:18" x14ac:dyDescent="0.25">
      <c r="A1218" t="s">
        <v>2912</v>
      </c>
      <c r="B1218" t="s">
        <v>1385</v>
      </c>
      <c r="C1218" s="1">
        <v>45173</v>
      </c>
      <c r="D1218" s="1" t="str">
        <f>TEXT(Delivery_data[[#This Row],[Order date]], "MMMM")</f>
        <v>September</v>
      </c>
      <c r="E1218" s="1" t="str">
        <f>TEXT(Delivery_data[[#This Row],[Order date]], "DDDD")</f>
        <v>Monday</v>
      </c>
      <c r="F1218" s="2">
        <v>0.69513888888888886</v>
      </c>
      <c r="G1218" t="s">
        <v>48</v>
      </c>
      <c r="H1218" t="str">
        <f>IF(Delivery_data[[#This Row],[Order Status]] = "In Progress", "Backlog", "Complete")</f>
        <v>Backlog</v>
      </c>
      <c r="I1218" t="s">
        <v>94</v>
      </c>
      <c r="J1218" t="s">
        <v>1637</v>
      </c>
      <c r="K1218" t="s">
        <v>31</v>
      </c>
      <c r="L1218">
        <v>163</v>
      </c>
      <c r="M1218">
        <v>19</v>
      </c>
      <c r="N1218" t="s">
        <v>38</v>
      </c>
      <c r="O1218" t="s">
        <v>26</v>
      </c>
      <c r="P1218" t="s">
        <v>27</v>
      </c>
      <c r="Q1218" t="s">
        <v>28</v>
      </c>
      <c r="R1218" s="2">
        <v>0.49861111111111112</v>
      </c>
    </row>
    <row r="1219" spans="1:18" x14ac:dyDescent="0.25">
      <c r="A1219" t="s">
        <v>1721</v>
      </c>
      <c r="B1219" t="s">
        <v>193</v>
      </c>
      <c r="C1219" s="1">
        <v>45173</v>
      </c>
      <c r="D1219" s="1" t="str">
        <f>TEXT(Delivery_data[[#This Row],[Order date]], "MMMM")</f>
        <v>September</v>
      </c>
      <c r="E1219" s="1" t="str">
        <f>TEXT(Delivery_data[[#This Row],[Order date]], "DDDD")</f>
        <v>Monday</v>
      </c>
      <c r="F1219" s="2">
        <v>0.43819444444444444</v>
      </c>
      <c r="G1219" t="s">
        <v>48</v>
      </c>
      <c r="H1219" t="str">
        <f>IF(Delivery_data[[#This Row],[Order Status]] = "In Progress", "Backlog", "Complete")</f>
        <v>Backlog</v>
      </c>
      <c r="I1219" t="s">
        <v>194</v>
      </c>
      <c r="J1219" t="s">
        <v>1631</v>
      </c>
      <c r="K1219" t="s">
        <v>31</v>
      </c>
      <c r="L1219">
        <v>78</v>
      </c>
      <c r="M1219">
        <v>6</v>
      </c>
      <c r="N1219" t="s">
        <v>38</v>
      </c>
      <c r="O1219" t="s">
        <v>50</v>
      </c>
      <c r="P1219" t="s">
        <v>45</v>
      </c>
      <c r="Q1219" t="s">
        <v>46</v>
      </c>
      <c r="R1219" s="2">
        <v>0.43055555555555558</v>
      </c>
    </row>
    <row r="1220" spans="1:18" x14ac:dyDescent="0.25">
      <c r="A1220" t="s">
        <v>2058</v>
      </c>
      <c r="B1220" t="s">
        <v>563</v>
      </c>
      <c r="C1220" s="1">
        <v>45172</v>
      </c>
      <c r="D1220" s="1" t="str">
        <f>TEXT(Delivery_data[[#This Row],[Order date]], "MMMM")</f>
        <v>September</v>
      </c>
      <c r="E1220" s="1" t="str">
        <f>TEXT(Delivery_data[[#This Row],[Order date]], "DDDD")</f>
        <v>Sunday</v>
      </c>
      <c r="F1220" s="2">
        <v>0.38263888888888886</v>
      </c>
      <c r="G1220" t="s">
        <v>22</v>
      </c>
      <c r="H1220" t="str">
        <f>IF(Delivery_data[[#This Row],[Order Status]] = "In Progress", "Backlog", "Complete")</f>
        <v>Complete</v>
      </c>
      <c r="I1220" t="s">
        <v>194</v>
      </c>
      <c r="J1220" t="s">
        <v>1637</v>
      </c>
      <c r="K1220" t="s">
        <v>31</v>
      </c>
      <c r="L1220">
        <v>120</v>
      </c>
      <c r="M1220">
        <v>0</v>
      </c>
      <c r="N1220" t="s">
        <v>38</v>
      </c>
      <c r="O1220" t="s">
        <v>50</v>
      </c>
      <c r="P1220" t="s">
        <v>34</v>
      </c>
      <c r="Q1220" t="s">
        <v>46</v>
      </c>
      <c r="R1220" s="2">
        <v>0.43125000000000002</v>
      </c>
    </row>
    <row r="1221" spans="1:18" x14ac:dyDescent="0.25">
      <c r="A1221" t="s">
        <v>2159</v>
      </c>
      <c r="B1221" t="s">
        <v>661</v>
      </c>
      <c r="C1221" s="1">
        <v>45176</v>
      </c>
      <c r="D1221" s="1" t="str">
        <f>TEXT(Delivery_data[[#This Row],[Order date]], "MMMM")</f>
        <v>September</v>
      </c>
      <c r="E1221" s="1" t="str">
        <f>TEXT(Delivery_data[[#This Row],[Order date]], "DDDD")</f>
        <v>Thursday</v>
      </c>
      <c r="F1221" s="2">
        <v>0.63680555555555551</v>
      </c>
      <c r="G1221" t="s">
        <v>22</v>
      </c>
      <c r="H1221" t="str">
        <f>IF(Delivery_data[[#This Row],[Order Status]] = "In Progress", "Backlog", "Complete")</f>
        <v>Complete</v>
      </c>
      <c r="I1221" t="s">
        <v>194</v>
      </c>
      <c r="J1221" t="s">
        <v>1637</v>
      </c>
      <c r="K1221" t="s">
        <v>44</v>
      </c>
      <c r="L1221">
        <v>159</v>
      </c>
      <c r="M1221">
        <v>27</v>
      </c>
      <c r="N1221" t="s">
        <v>38</v>
      </c>
      <c r="O1221" t="s">
        <v>54</v>
      </c>
      <c r="P1221" t="s">
        <v>34</v>
      </c>
      <c r="Q1221" t="s">
        <v>51</v>
      </c>
      <c r="R1221" s="2">
        <v>0.45763888888888887</v>
      </c>
    </row>
    <row r="1222" spans="1:18" x14ac:dyDescent="0.25">
      <c r="A1222" t="s">
        <v>2241</v>
      </c>
      <c r="B1222" t="s">
        <v>741</v>
      </c>
      <c r="C1222" s="1">
        <v>45170</v>
      </c>
      <c r="D1222" s="1" t="str">
        <f>TEXT(Delivery_data[[#This Row],[Order date]], "MMMM")</f>
        <v>September</v>
      </c>
      <c r="E1222" s="1" t="str">
        <f>TEXT(Delivery_data[[#This Row],[Order date]], "DDDD")</f>
        <v>Friday</v>
      </c>
      <c r="F1222" s="2">
        <v>0.4597222222222222</v>
      </c>
      <c r="G1222" t="s">
        <v>48</v>
      </c>
      <c r="H1222" t="str">
        <f>IF(Delivery_data[[#This Row],[Order Status]] = "In Progress", "Backlog", "Complete")</f>
        <v>Backlog</v>
      </c>
      <c r="I1222" t="s">
        <v>194</v>
      </c>
      <c r="J1222" t="s">
        <v>1631</v>
      </c>
      <c r="K1222" t="s">
        <v>61</v>
      </c>
      <c r="L1222">
        <v>114</v>
      </c>
      <c r="M1222">
        <v>15</v>
      </c>
      <c r="N1222" t="s">
        <v>38</v>
      </c>
      <c r="O1222" t="s">
        <v>33</v>
      </c>
      <c r="P1222" t="s">
        <v>34</v>
      </c>
      <c r="Q1222" t="s">
        <v>46</v>
      </c>
      <c r="R1222" s="2">
        <v>0.61805555555555558</v>
      </c>
    </row>
    <row r="1223" spans="1:18" x14ac:dyDescent="0.25">
      <c r="A1223" t="s">
        <v>2412</v>
      </c>
      <c r="B1223" t="s">
        <v>906</v>
      </c>
      <c r="C1223" s="1">
        <v>45170</v>
      </c>
      <c r="D1223" s="1" t="str">
        <f>TEXT(Delivery_data[[#This Row],[Order date]], "MMMM")</f>
        <v>September</v>
      </c>
      <c r="E1223" s="1" t="str">
        <f>TEXT(Delivery_data[[#This Row],[Order date]], "DDDD")</f>
        <v>Friday</v>
      </c>
      <c r="F1223" s="2">
        <v>0.5805555555555556</v>
      </c>
      <c r="G1223" t="s">
        <v>22</v>
      </c>
      <c r="H1223" t="str">
        <f>IF(Delivery_data[[#This Row],[Order Status]] = "In Progress", "Backlog", "Complete")</f>
        <v>Complete</v>
      </c>
      <c r="I1223" t="s">
        <v>194</v>
      </c>
      <c r="J1223" t="s">
        <v>1633</v>
      </c>
      <c r="K1223" t="s">
        <v>44</v>
      </c>
      <c r="L1223">
        <v>184</v>
      </c>
      <c r="M1223">
        <v>7</v>
      </c>
      <c r="N1223" t="s">
        <v>32</v>
      </c>
      <c r="O1223" t="s">
        <v>50</v>
      </c>
      <c r="P1223" t="s">
        <v>45</v>
      </c>
      <c r="Q1223" t="s">
        <v>46</v>
      </c>
      <c r="R1223" s="2">
        <v>0.44097222222222221</v>
      </c>
    </row>
    <row r="1224" spans="1:18" x14ac:dyDescent="0.25">
      <c r="A1224" t="s">
        <v>2414</v>
      </c>
      <c r="B1224" t="s">
        <v>908</v>
      </c>
      <c r="C1224" s="1">
        <v>45170</v>
      </c>
      <c r="D1224" s="1" t="str">
        <f>TEXT(Delivery_data[[#This Row],[Order date]], "MMMM")</f>
        <v>September</v>
      </c>
      <c r="E1224" s="1" t="str">
        <f>TEXT(Delivery_data[[#This Row],[Order date]], "DDDD")</f>
        <v>Friday</v>
      </c>
      <c r="F1224" s="2">
        <v>0.45833333333333331</v>
      </c>
      <c r="G1224" t="s">
        <v>22</v>
      </c>
      <c r="H1224" t="str">
        <f>IF(Delivery_data[[#This Row],[Order Status]] = "In Progress", "Backlog", "Complete")</f>
        <v>Complete</v>
      </c>
      <c r="I1224" t="s">
        <v>194</v>
      </c>
      <c r="J1224" t="s">
        <v>1633</v>
      </c>
      <c r="K1224" t="s">
        <v>31</v>
      </c>
      <c r="L1224">
        <v>146</v>
      </c>
      <c r="M1224">
        <v>29</v>
      </c>
      <c r="N1224" t="s">
        <v>38</v>
      </c>
      <c r="O1224" t="s">
        <v>41</v>
      </c>
      <c r="P1224" t="s">
        <v>45</v>
      </c>
      <c r="Q1224" t="s">
        <v>46</v>
      </c>
      <c r="R1224" s="2">
        <v>0.45902777777777776</v>
      </c>
    </row>
    <row r="1225" spans="1:18" x14ac:dyDescent="0.25">
      <c r="A1225" t="s">
        <v>2452</v>
      </c>
      <c r="B1225" t="s">
        <v>944</v>
      </c>
      <c r="C1225" s="1">
        <v>45172</v>
      </c>
      <c r="D1225" s="1" t="str">
        <f>TEXT(Delivery_data[[#This Row],[Order date]], "MMMM")</f>
        <v>September</v>
      </c>
      <c r="E1225" s="1" t="str">
        <f>TEXT(Delivery_data[[#This Row],[Order date]], "DDDD")</f>
        <v>Sunday</v>
      </c>
      <c r="F1225" s="2">
        <v>0.52986111111111112</v>
      </c>
      <c r="G1225" t="s">
        <v>22</v>
      </c>
      <c r="H1225" t="str">
        <f>IF(Delivery_data[[#This Row],[Order Status]] = "In Progress", "Backlog", "Complete")</f>
        <v>Complete</v>
      </c>
      <c r="I1225" t="s">
        <v>194</v>
      </c>
      <c r="J1225" t="s">
        <v>1631</v>
      </c>
      <c r="K1225" t="s">
        <v>61</v>
      </c>
      <c r="L1225">
        <v>136</v>
      </c>
      <c r="M1225">
        <v>22</v>
      </c>
      <c r="N1225" t="s">
        <v>38</v>
      </c>
      <c r="O1225" t="s">
        <v>26</v>
      </c>
      <c r="P1225" t="s">
        <v>45</v>
      </c>
      <c r="Q1225" t="s">
        <v>51</v>
      </c>
      <c r="R1225" s="2">
        <v>0.54097222222222219</v>
      </c>
    </row>
    <row r="1226" spans="1:18" x14ac:dyDescent="0.25">
      <c r="A1226" t="s">
        <v>2501</v>
      </c>
      <c r="B1226" t="s">
        <v>990</v>
      </c>
      <c r="C1226" s="1">
        <v>45171</v>
      </c>
      <c r="D1226" s="1" t="str">
        <f>TEXT(Delivery_data[[#This Row],[Order date]], "MMMM")</f>
        <v>September</v>
      </c>
      <c r="E1226" s="1" t="str">
        <f>TEXT(Delivery_data[[#This Row],[Order date]], "DDDD")</f>
        <v>Saturday</v>
      </c>
      <c r="F1226" s="2">
        <v>0.35694444444444445</v>
      </c>
      <c r="G1226" t="s">
        <v>22</v>
      </c>
      <c r="H1226" t="str">
        <f>IF(Delivery_data[[#This Row],[Order Status]] = "In Progress", "Backlog", "Complete")</f>
        <v>Complete</v>
      </c>
      <c r="I1226" t="s">
        <v>194</v>
      </c>
      <c r="J1226" t="s">
        <v>1637</v>
      </c>
      <c r="K1226" t="s">
        <v>44</v>
      </c>
      <c r="L1226">
        <v>146</v>
      </c>
      <c r="M1226">
        <v>8</v>
      </c>
      <c r="N1226" t="s">
        <v>32</v>
      </c>
      <c r="O1226" t="s">
        <v>54</v>
      </c>
      <c r="P1226" t="s">
        <v>34</v>
      </c>
      <c r="Q1226" t="s">
        <v>46</v>
      </c>
      <c r="R1226" s="2">
        <v>0.44861111111111113</v>
      </c>
    </row>
    <row r="1227" spans="1:18" x14ac:dyDescent="0.25">
      <c r="A1227" t="s">
        <v>2732</v>
      </c>
      <c r="B1227" t="s">
        <v>1213</v>
      </c>
      <c r="C1227" s="1">
        <v>45172</v>
      </c>
      <c r="D1227" s="1" t="str">
        <f>TEXT(Delivery_data[[#This Row],[Order date]], "MMMM")</f>
        <v>September</v>
      </c>
      <c r="E1227" s="1" t="str">
        <f>TEXT(Delivery_data[[#This Row],[Order date]], "DDDD")</f>
        <v>Sunday</v>
      </c>
      <c r="F1227" s="2">
        <v>0.45833333333333331</v>
      </c>
      <c r="G1227" t="s">
        <v>22</v>
      </c>
      <c r="H1227" t="str">
        <f>IF(Delivery_data[[#This Row],[Order Status]] = "In Progress", "Backlog", "Complete")</f>
        <v>Complete</v>
      </c>
      <c r="I1227" t="s">
        <v>194</v>
      </c>
      <c r="J1227" t="s">
        <v>1631</v>
      </c>
      <c r="K1227" t="s">
        <v>61</v>
      </c>
      <c r="L1227">
        <v>79</v>
      </c>
      <c r="M1227">
        <v>11</v>
      </c>
      <c r="N1227" t="s">
        <v>25</v>
      </c>
      <c r="O1227" t="s">
        <v>26</v>
      </c>
      <c r="P1227" t="s">
        <v>34</v>
      </c>
      <c r="Q1227" t="s">
        <v>51</v>
      </c>
      <c r="R1227" s="2">
        <v>0.45277777777777778</v>
      </c>
    </row>
    <row r="1228" spans="1:18" x14ac:dyDescent="0.25">
      <c r="A1228" t="s">
        <v>2756</v>
      </c>
      <c r="B1228" t="s">
        <v>733</v>
      </c>
      <c r="C1228" s="1">
        <v>45175</v>
      </c>
      <c r="D1228" s="1" t="str">
        <f>TEXT(Delivery_data[[#This Row],[Order date]], "MMMM")</f>
        <v>September</v>
      </c>
      <c r="E1228" s="1" t="str">
        <f>TEXT(Delivery_data[[#This Row],[Order date]], "DDDD")</f>
        <v>Wednesday</v>
      </c>
      <c r="F1228" s="2">
        <v>0.50208333333333333</v>
      </c>
      <c r="G1228" t="s">
        <v>22</v>
      </c>
      <c r="H1228" t="str">
        <f>IF(Delivery_data[[#This Row],[Order Status]] = "In Progress", "Backlog", "Complete")</f>
        <v>Complete</v>
      </c>
      <c r="I1228" t="s">
        <v>194</v>
      </c>
      <c r="J1228" t="s">
        <v>1633</v>
      </c>
      <c r="K1228" t="s">
        <v>44</v>
      </c>
      <c r="L1228">
        <v>111</v>
      </c>
      <c r="M1228">
        <v>15</v>
      </c>
      <c r="N1228" t="s">
        <v>38</v>
      </c>
      <c r="O1228" t="s">
        <v>41</v>
      </c>
      <c r="P1228" t="s">
        <v>45</v>
      </c>
      <c r="Q1228" t="s">
        <v>46</v>
      </c>
      <c r="R1228" s="2">
        <v>0.62222222222222223</v>
      </c>
    </row>
    <row r="1229" spans="1:18" x14ac:dyDescent="0.25">
      <c r="A1229" t="s">
        <v>1664</v>
      </c>
      <c r="B1229" t="s">
        <v>101</v>
      </c>
      <c r="C1229" s="1">
        <v>45175</v>
      </c>
      <c r="D1229" s="1" t="str">
        <f>TEXT(Delivery_data[[#This Row],[Order date]], "MMMM")</f>
        <v>September</v>
      </c>
      <c r="E1229" s="1" t="str">
        <f>TEXT(Delivery_data[[#This Row],[Order date]], "DDDD")</f>
        <v>Wednesday</v>
      </c>
      <c r="F1229" s="2">
        <v>0.62083333333333335</v>
      </c>
      <c r="G1229" t="s">
        <v>22</v>
      </c>
      <c r="H1229" t="str">
        <f>IF(Delivery_data[[#This Row],[Order Status]] = "In Progress", "Backlog", "Complete")</f>
        <v>Complete</v>
      </c>
      <c r="I1229" t="s">
        <v>102</v>
      </c>
      <c r="J1229" t="s">
        <v>1637</v>
      </c>
      <c r="K1229" t="s">
        <v>44</v>
      </c>
      <c r="L1229">
        <v>162</v>
      </c>
      <c r="M1229">
        <v>28</v>
      </c>
      <c r="N1229" t="s">
        <v>32</v>
      </c>
      <c r="O1229" t="s">
        <v>54</v>
      </c>
      <c r="P1229" t="s">
        <v>27</v>
      </c>
      <c r="Q1229" t="s">
        <v>28</v>
      </c>
      <c r="R1229" s="2">
        <v>0.65763888888888888</v>
      </c>
    </row>
    <row r="1230" spans="1:18" x14ac:dyDescent="0.25">
      <c r="A1230" t="s">
        <v>1668</v>
      </c>
      <c r="B1230" t="s">
        <v>109</v>
      </c>
      <c r="C1230" s="1">
        <v>45171</v>
      </c>
      <c r="D1230" s="1" t="str">
        <f>TEXT(Delivery_data[[#This Row],[Order date]], "MMMM")</f>
        <v>September</v>
      </c>
      <c r="E1230" s="1" t="str">
        <f>TEXT(Delivery_data[[#This Row],[Order date]], "DDDD")</f>
        <v>Saturday</v>
      </c>
      <c r="F1230" s="2">
        <v>0.47152777777777777</v>
      </c>
      <c r="G1230" t="s">
        <v>22</v>
      </c>
      <c r="H1230" t="str">
        <f>IF(Delivery_data[[#This Row],[Order Status]] = "In Progress", "Backlog", "Complete")</f>
        <v>Complete</v>
      </c>
      <c r="I1230" t="s">
        <v>102</v>
      </c>
      <c r="J1230" t="s">
        <v>1637</v>
      </c>
      <c r="K1230" t="s">
        <v>44</v>
      </c>
      <c r="L1230">
        <v>182</v>
      </c>
      <c r="M1230">
        <v>15</v>
      </c>
      <c r="N1230" t="s">
        <v>25</v>
      </c>
      <c r="O1230" t="s">
        <v>50</v>
      </c>
      <c r="P1230" t="s">
        <v>27</v>
      </c>
      <c r="Q1230" t="s">
        <v>28</v>
      </c>
      <c r="R1230" s="2">
        <v>0.48472222222222222</v>
      </c>
    </row>
    <row r="1231" spans="1:18" x14ac:dyDescent="0.25">
      <c r="A1231" t="s">
        <v>1695</v>
      </c>
      <c r="B1231" t="s">
        <v>151</v>
      </c>
      <c r="C1231" s="1">
        <v>45176</v>
      </c>
      <c r="D1231" s="1" t="str">
        <f>TEXT(Delivery_data[[#This Row],[Order date]], "MMMM")</f>
        <v>September</v>
      </c>
      <c r="E1231" s="1" t="str">
        <f>TEXT(Delivery_data[[#This Row],[Order date]], "DDDD")</f>
        <v>Thursday</v>
      </c>
      <c r="F1231" s="2">
        <v>0.56597222222222221</v>
      </c>
      <c r="G1231" t="s">
        <v>48</v>
      </c>
      <c r="H1231" t="str">
        <f>IF(Delivery_data[[#This Row],[Order Status]] = "In Progress", "Backlog", "Complete")</f>
        <v>Backlog</v>
      </c>
      <c r="I1231" t="s">
        <v>102</v>
      </c>
      <c r="J1231" t="s">
        <v>1637</v>
      </c>
      <c r="K1231" t="s">
        <v>61</v>
      </c>
      <c r="L1231">
        <v>64</v>
      </c>
      <c r="M1231">
        <v>20</v>
      </c>
      <c r="N1231" t="s">
        <v>25</v>
      </c>
      <c r="O1231" t="s">
        <v>54</v>
      </c>
      <c r="P1231" t="s">
        <v>45</v>
      </c>
      <c r="Q1231" t="s">
        <v>51</v>
      </c>
      <c r="R1231" s="2">
        <v>0.3840277777777778</v>
      </c>
    </row>
    <row r="1232" spans="1:18" x14ac:dyDescent="0.25">
      <c r="A1232" t="s">
        <v>1807</v>
      </c>
      <c r="B1232" t="s">
        <v>302</v>
      </c>
      <c r="C1232" s="1">
        <v>45172</v>
      </c>
      <c r="D1232" s="1" t="str">
        <f>TEXT(Delivery_data[[#This Row],[Order date]], "MMMM")</f>
        <v>September</v>
      </c>
      <c r="E1232" s="1" t="str">
        <f>TEXT(Delivery_data[[#This Row],[Order date]], "DDDD")</f>
        <v>Sunday</v>
      </c>
      <c r="F1232" s="2">
        <v>0.3840277777777778</v>
      </c>
      <c r="G1232" t="s">
        <v>48</v>
      </c>
      <c r="H1232" t="str">
        <f>IF(Delivery_data[[#This Row],[Order Status]] = "In Progress", "Backlog", "Complete")</f>
        <v>Backlog</v>
      </c>
      <c r="I1232" t="s">
        <v>102</v>
      </c>
      <c r="J1232" t="s">
        <v>1637</v>
      </c>
      <c r="K1232" t="s">
        <v>31</v>
      </c>
      <c r="L1232">
        <v>135</v>
      </c>
      <c r="M1232">
        <v>16</v>
      </c>
      <c r="N1232" t="s">
        <v>38</v>
      </c>
      <c r="O1232" t="s">
        <v>50</v>
      </c>
      <c r="P1232" t="s">
        <v>27</v>
      </c>
      <c r="Q1232" t="s">
        <v>51</v>
      </c>
      <c r="R1232" s="2">
        <v>0.58333333333333337</v>
      </c>
    </row>
    <row r="1233" spans="1:18" x14ac:dyDescent="0.25">
      <c r="A1233" t="s">
        <v>1865</v>
      </c>
      <c r="B1233" t="s">
        <v>364</v>
      </c>
      <c r="C1233" s="1">
        <v>45170</v>
      </c>
      <c r="D1233" s="1" t="str">
        <f>TEXT(Delivery_data[[#This Row],[Order date]], "MMMM")</f>
        <v>September</v>
      </c>
      <c r="E1233" s="1" t="str">
        <f>TEXT(Delivery_data[[#This Row],[Order date]], "DDDD")</f>
        <v>Friday</v>
      </c>
      <c r="F1233" s="2">
        <v>0.37638888888888888</v>
      </c>
      <c r="G1233" t="s">
        <v>48</v>
      </c>
      <c r="H1233" t="str">
        <f>IF(Delivery_data[[#This Row],[Order Status]] = "In Progress", "Backlog", "Complete")</f>
        <v>Backlog</v>
      </c>
      <c r="I1233" t="s">
        <v>102</v>
      </c>
      <c r="J1233" t="s">
        <v>1633</v>
      </c>
      <c r="K1233" t="s">
        <v>31</v>
      </c>
      <c r="L1233">
        <v>63</v>
      </c>
      <c r="M1233">
        <v>8</v>
      </c>
      <c r="N1233" t="s">
        <v>32</v>
      </c>
      <c r="O1233" t="s">
        <v>26</v>
      </c>
      <c r="P1233" t="s">
        <v>34</v>
      </c>
      <c r="Q1233" t="s">
        <v>28</v>
      </c>
      <c r="R1233" s="2">
        <v>0.4548611111111111</v>
      </c>
    </row>
    <row r="1234" spans="1:18" x14ac:dyDescent="0.25">
      <c r="A1234" t="s">
        <v>2313</v>
      </c>
      <c r="B1234" t="s">
        <v>811</v>
      </c>
      <c r="C1234" s="1">
        <v>45173</v>
      </c>
      <c r="D1234" s="1" t="str">
        <f>TEXT(Delivery_data[[#This Row],[Order date]], "MMMM")</f>
        <v>September</v>
      </c>
      <c r="E1234" s="1" t="str">
        <f>TEXT(Delivery_data[[#This Row],[Order date]], "DDDD")</f>
        <v>Monday</v>
      </c>
      <c r="F1234" s="2">
        <v>0.59583333333333333</v>
      </c>
      <c r="G1234" t="s">
        <v>22</v>
      </c>
      <c r="H1234" t="str">
        <f>IF(Delivery_data[[#This Row],[Order Status]] = "In Progress", "Backlog", "Complete")</f>
        <v>Complete</v>
      </c>
      <c r="I1234" t="s">
        <v>102</v>
      </c>
      <c r="J1234" t="s">
        <v>1637</v>
      </c>
      <c r="K1234" t="s">
        <v>61</v>
      </c>
      <c r="L1234">
        <v>134</v>
      </c>
      <c r="M1234">
        <v>5</v>
      </c>
      <c r="N1234" t="s">
        <v>25</v>
      </c>
      <c r="O1234" t="s">
        <v>33</v>
      </c>
      <c r="P1234" t="s">
        <v>34</v>
      </c>
      <c r="Q1234" t="s">
        <v>28</v>
      </c>
      <c r="R1234" s="2">
        <v>0.6958333333333333</v>
      </c>
    </row>
    <row r="1235" spans="1:18" x14ac:dyDescent="0.25">
      <c r="A1235" t="s">
        <v>2385</v>
      </c>
      <c r="B1235" t="s">
        <v>881</v>
      </c>
      <c r="C1235" s="1">
        <v>45175</v>
      </c>
      <c r="D1235" s="1" t="str">
        <f>TEXT(Delivery_data[[#This Row],[Order date]], "MMMM")</f>
        <v>September</v>
      </c>
      <c r="E1235" s="1" t="str">
        <f>TEXT(Delivery_data[[#This Row],[Order date]], "DDDD")</f>
        <v>Wednesday</v>
      </c>
      <c r="F1235" s="2">
        <v>0.36666666666666664</v>
      </c>
      <c r="G1235" t="s">
        <v>22</v>
      </c>
      <c r="H1235" t="str">
        <f>IF(Delivery_data[[#This Row],[Order Status]] = "In Progress", "Backlog", "Complete")</f>
        <v>Complete</v>
      </c>
      <c r="I1235" t="s">
        <v>102</v>
      </c>
      <c r="J1235" t="s">
        <v>1633</v>
      </c>
      <c r="K1235" t="s">
        <v>31</v>
      </c>
      <c r="L1235">
        <v>227</v>
      </c>
      <c r="M1235">
        <v>1</v>
      </c>
      <c r="N1235" t="s">
        <v>32</v>
      </c>
      <c r="O1235" t="s">
        <v>54</v>
      </c>
      <c r="P1235" t="s">
        <v>27</v>
      </c>
      <c r="Q1235" t="s">
        <v>46</v>
      </c>
      <c r="R1235" s="2">
        <v>0.35555555555555557</v>
      </c>
    </row>
    <row r="1236" spans="1:18" x14ac:dyDescent="0.25">
      <c r="A1236" t="s">
        <v>2487</v>
      </c>
      <c r="B1236" t="s">
        <v>977</v>
      </c>
      <c r="C1236" s="1">
        <v>45177</v>
      </c>
      <c r="D1236" s="1" t="str">
        <f>TEXT(Delivery_data[[#This Row],[Order date]], "MMMM")</f>
        <v>September</v>
      </c>
      <c r="E1236" s="1" t="str">
        <f>TEXT(Delivery_data[[#This Row],[Order date]], "DDDD")</f>
        <v>Friday</v>
      </c>
      <c r="F1236" s="2">
        <v>0.45833333333333331</v>
      </c>
      <c r="G1236" t="s">
        <v>22</v>
      </c>
      <c r="H1236" t="str">
        <f>IF(Delivery_data[[#This Row],[Order Status]] = "In Progress", "Backlog", "Complete")</f>
        <v>Complete</v>
      </c>
      <c r="I1236" t="s">
        <v>102</v>
      </c>
      <c r="J1236" t="s">
        <v>1637</v>
      </c>
      <c r="K1236" t="s">
        <v>37</v>
      </c>
      <c r="L1236">
        <v>155</v>
      </c>
      <c r="M1236">
        <v>20</v>
      </c>
      <c r="N1236" t="s">
        <v>32</v>
      </c>
      <c r="O1236" t="s">
        <v>54</v>
      </c>
      <c r="P1236" t="s">
        <v>27</v>
      </c>
      <c r="Q1236" t="s">
        <v>46</v>
      </c>
      <c r="R1236" s="2">
        <v>0.62916666666666665</v>
      </c>
    </row>
    <row r="1237" spans="1:18" x14ac:dyDescent="0.25">
      <c r="A1237" t="s">
        <v>2558</v>
      </c>
      <c r="B1237" t="s">
        <v>1043</v>
      </c>
      <c r="C1237" s="1">
        <v>45177</v>
      </c>
      <c r="D1237" s="1" t="str">
        <f>TEXT(Delivery_data[[#This Row],[Order date]], "MMMM")</f>
        <v>September</v>
      </c>
      <c r="E1237" s="1" t="str">
        <f>TEXT(Delivery_data[[#This Row],[Order date]], "DDDD")</f>
        <v>Friday</v>
      </c>
      <c r="F1237" s="2">
        <v>0.375</v>
      </c>
      <c r="G1237" t="s">
        <v>48</v>
      </c>
      <c r="H1237" t="str">
        <f>IF(Delivery_data[[#This Row],[Order Status]] = "In Progress", "Backlog", "Complete")</f>
        <v>Backlog</v>
      </c>
      <c r="I1237" t="s">
        <v>102</v>
      </c>
      <c r="J1237" t="s">
        <v>1631</v>
      </c>
      <c r="K1237" t="s">
        <v>24</v>
      </c>
      <c r="L1237">
        <v>181</v>
      </c>
      <c r="M1237">
        <v>7</v>
      </c>
      <c r="N1237" t="s">
        <v>38</v>
      </c>
      <c r="O1237" t="s">
        <v>54</v>
      </c>
      <c r="P1237" t="s">
        <v>27</v>
      </c>
      <c r="Q1237" t="s">
        <v>51</v>
      </c>
      <c r="R1237" s="2">
        <v>0.58750000000000002</v>
      </c>
    </row>
    <row r="1238" spans="1:18" x14ac:dyDescent="0.25">
      <c r="A1238" t="s">
        <v>2591</v>
      </c>
      <c r="B1238" t="s">
        <v>1075</v>
      </c>
      <c r="C1238" s="1">
        <v>45174</v>
      </c>
      <c r="D1238" s="1" t="str">
        <f>TEXT(Delivery_data[[#This Row],[Order date]], "MMMM")</f>
        <v>September</v>
      </c>
      <c r="E1238" s="1" t="str">
        <f>TEXT(Delivery_data[[#This Row],[Order date]], "DDDD")</f>
        <v>Tuesday</v>
      </c>
      <c r="F1238" s="2">
        <v>0.57361111111111107</v>
      </c>
      <c r="G1238" t="s">
        <v>48</v>
      </c>
      <c r="H1238" t="str">
        <f>IF(Delivery_data[[#This Row],[Order Status]] = "In Progress", "Backlog", "Complete")</f>
        <v>Backlog</v>
      </c>
      <c r="I1238" t="s">
        <v>102</v>
      </c>
      <c r="J1238" t="s">
        <v>1637</v>
      </c>
      <c r="K1238" t="s">
        <v>44</v>
      </c>
      <c r="L1238">
        <v>63</v>
      </c>
      <c r="M1238">
        <v>10</v>
      </c>
      <c r="N1238" t="s">
        <v>32</v>
      </c>
      <c r="O1238" t="s">
        <v>41</v>
      </c>
      <c r="P1238" t="s">
        <v>45</v>
      </c>
      <c r="Q1238" t="s">
        <v>28</v>
      </c>
      <c r="R1238" s="2">
        <v>0.57986111111111116</v>
      </c>
    </row>
    <row r="1239" spans="1:18" x14ac:dyDescent="0.25">
      <c r="A1239" t="s">
        <v>2750</v>
      </c>
      <c r="B1239" t="s">
        <v>1229</v>
      </c>
      <c r="C1239" s="1">
        <v>45174</v>
      </c>
      <c r="D1239" s="1" t="str">
        <f>TEXT(Delivery_data[[#This Row],[Order date]], "MMMM")</f>
        <v>September</v>
      </c>
      <c r="E1239" s="1" t="str">
        <f>TEXT(Delivery_data[[#This Row],[Order date]], "DDDD")</f>
        <v>Tuesday</v>
      </c>
      <c r="F1239" s="2">
        <v>0.34236111111111112</v>
      </c>
      <c r="G1239" t="s">
        <v>22</v>
      </c>
      <c r="H1239" t="str">
        <f>IF(Delivery_data[[#This Row],[Order Status]] = "In Progress", "Backlog", "Complete")</f>
        <v>Complete</v>
      </c>
      <c r="I1239" t="s">
        <v>102</v>
      </c>
      <c r="J1239" t="s">
        <v>1637</v>
      </c>
      <c r="K1239" t="s">
        <v>61</v>
      </c>
      <c r="L1239">
        <v>134</v>
      </c>
      <c r="M1239">
        <v>14</v>
      </c>
      <c r="N1239" t="s">
        <v>25</v>
      </c>
      <c r="O1239" t="s">
        <v>41</v>
      </c>
      <c r="P1239" t="s">
        <v>45</v>
      </c>
      <c r="Q1239" t="s">
        <v>46</v>
      </c>
      <c r="R1239" s="2">
        <v>0.67569444444444449</v>
      </c>
    </row>
    <row r="1240" spans="1:18" x14ac:dyDescent="0.25">
      <c r="A1240" t="s">
        <v>2807</v>
      </c>
      <c r="B1240" t="s">
        <v>1284</v>
      </c>
      <c r="C1240" s="1">
        <v>45173</v>
      </c>
      <c r="D1240" s="1" t="str">
        <f>TEXT(Delivery_data[[#This Row],[Order date]], "MMMM")</f>
        <v>September</v>
      </c>
      <c r="E1240" s="1" t="str">
        <f>TEXT(Delivery_data[[#This Row],[Order date]], "DDDD")</f>
        <v>Monday</v>
      </c>
      <c r="F1240" s="2">
        <v>0.6020833333333333</v>
      </c>
      <c r="G1240" t="s">
        <v>22</v>
      </c>
      <c r="H1240" t="str">
        <f>IF(Delivery_data[[#This Row],[Order Status]] = "In Progress", "Backlog", "Complete")</f>
        <v>Complete</v>
      </c>
      <c r="I1240" t="s">
        <v>102</v>
      </c>
      <c r="J1240" t="s">
        <v>1637</v>
      </c>
      <c r="K1240" t="s">
        <v>24</v>
      </c>
      <c r="L1240">
        <v>110</v>
      </c>
      <c r="M1240">
        <v>19</v>
      </c>
      <c r="N1240" t="s">
        <v>38</v>
      </c>
      <c r="O1240" t="s">
        <v>50</v>
      </c>
      <c r="P1240" t="s">
        <v>45</v>
      </c>
      <c r="Q1240" t="s">
        <v>51</v>
      </c>
      <c r="R1240" s="2">
        <v>0.38819444444444445</v>
      </c>
    </row>
    <row r="1241" spans="1:18" x14ac:dyDescent="0.25">
      <c r="A1241" t="s">
        <v>3008</v>
      </c>
      <c r="B1241" t="s">
        <v>1479</v>
      </c>
      <c r="C1241" s="1">
        <v>45175</v>
      </c>
      <c r="D1241" s="1" t="str">
        <f>TEXT(Delivery_data[[#This Row],[Order date]], "MMMM")</f>
        <v>September</v>
      </c>
      <c r="E1241" s="1" t="str">
        <f>TEXT(Delivery_data[[#This Row],[Order date]], "DDDD")</f>
        <v>Wednesday</v>
      </c>
      <c r="F1241" s="2">
        <v>0.56597222222222221</v>
      </c>
      <c r="G1241" t="s">
        <v>22</v>
      </c>
      <c r="H1241" t="str">
        <f>IF(Delivery_data[[#This Row],[Order Status]] = "In Progress", "Backlog", "Complete")</f>
        <v>Complete</v>
      </c>
      <c r="I1241" t="s">
        <v>102</v>
      </c>
      <c r="J1241" t="s">
        <v>1631</v>
      </c>
      <c r="K1241" t="s">
        <v>24</v>
      </c>
      <c r="L1241">
        <v>229</v>
      </c>
      <c r="M1241">
        <v>2</v>
      </c>
      <c r="N1241" t="s">
        <v>38</v>
      </c>
      <c r="O1241" t="s">
        <v>33</v>
      </c>
      <c r="P1241" t="s">
        <v>27</v>
      </c>
      <c r="Q1241" t="s">
        <v>28</v>
      </c>
      <c r="R1241" s="2">
        <v>0.66319444444444442</v>
      </c>
    </row>
    <row r="1242" spans="1:18" x14ac:dyDescent="0.25">
      <c r="A1242" t="s">
        <v>1754</v>
      </c>
      <c r="B1242" t="s">
        <v>235</v>
      </c>
      <c r="C1242" s="1">
        <v>45172</v>
      </c>
      <c r="D1242" s="1" t="str">
        <f>TEXT(Delivery_data[[#This Row],[Order date]], "MMMM")</f>
        <v>September</v>
      </c>
      <c r="E1242" s="1" t="str">
        <f>TEXT(Delivery_data[[#This Row],[Order date]], "DDDD")</f>
        <v>Sunday</v>
      </c>
      <c r="F1242" s="2">
        <v>0.34722222222222221</v>
      </c>
      <c r="G1242" t="s">
        <v>22</v>
      </c>
      <c r="H1242" t="str">
        <f>IF(Delivery_data[[#This Row],[Order Status]] = "In Progress", "Backlog", "Complete")</f>
        <v>Complete</v>
      </c>
      <c r="I1242" t="s">
        <v>236</v>
      </c>
      <c r="J1242" t="s">
        <v>1633</v>
      </c>
      <c r="K1242" t="s">
        <v>37</v>
      </c>
      <c r="L1242">
        <v>81</v>
      </c>
      <c r="M1242">
        <v>15</v>
      </c>
      <c r="N1242" t="s">
        <v>38</v>
      </c>
      <c r="O1242" t="s">
        <v>33</v>
      </c>
      <c r="P1242" t="s">
        <v>34</v>
      </c>
      <c r="Q1242" t="s">
        <v>46</v>
      </c>
      <c r="R1242" s="2">
        <v>0.62638888888888888</v>
      </c>
    </row>
    <row r="1243" spans="1:18" x14ac:dyDescent="0.25">
      <c r="A1243" t="s">
        <v>1856</v>
      </c>
      <c r="B1243" t="s">
        <v>355</v>
      </c>
      <c r="C1243" s="1">
        <v>45175</v>
      </c>
      <c r="D1243" s="1" t="str">
        <f>TEXT(Delivery_data[[#This Row],[Order date]], "MMMM")</f>
        <v>September</v>
      </c>
      <c r="E1243" s="1" t="str">
        <f>TEXT(Delivery_data[[#This Row],[Order date]], "DDDD")</f>
        <v>Wednesday</v>
      </c>
      <c r="F1243" s="2">
        <v>0.37569444444444444</v>
      </c>
      <c r="G1243" t="s">
        <v>22</v>
      </c>
      <c r="H1243" t="str">
        <f>IF(Delivery_data[[#This Row],[Order Status]] = "In Progress", "Backlog", "Complete")</f>
        <v>Complete</v>
      </c>
      <c r="I1243" t="s">
        <v>236</v>
      </c>
      <c r="J1243" t="s">
        <v>1633</v>
      </c>
      <c r="K1243" t="s">
        <v>31</v>
      </c>
      <c r="L1243">
        <v>61</v>
      </c>
      <c r="M1243">
        <v>29</v>
      </c>
      <c r="N1243" t="s">
        <v>25</v>
      </c>
      <c r="O1243" t="s">
        <v>33</v>
      </c>
      <c r="P1243" t="s">
        <v>45</v>
      </c>
      <c r="Q1243" t="s">
        <v>46</v>
      </c>
      <c r="R1243" s="2">
        <v>0.68263888888888891</v>
      </c>
    </row>
    <row r="1244" spans="1:18" x14ac:dyDescent="0.25">
      <c r="A1244" t="s">
        <v>1897</v>
      </c>
      <c r="B1244" t="s">
        <v>398</v>
      </c>
      <c r="C1244" s="1">
        <v>45170</v>
      </c>
      <c r="D1244" s="1" t="str">
        <f>TEXT(Delivery_data[[#This Row],[Order date]], "MMMM")</f>
        <v>September</v>
      </c>
      <c r="E1244" s="1" t="str">
        <f>TEXT(Delivery_data[[#This Row],[Order date]], "DDDD")</f>
        <v>Friday</v>
      </c>
      <c r="F1244" s="2">
        <v>0.62569444444444444</v>
      </c>
      <c r="G1244" t="s">
        <v>22</v>
      </c>
      <c r="H1244" t="str">
        <f>IF(Delivery_data[[#This Row],[Order Status]] = "In Progress", "Backlog", "Complete")</f>
        <v>Complete</v>
      </c>
      <c r="I1244" t="s">
        <v>236</v>
      </c>
      <c r="J1244" t="s">
        <v>1631</v>
      </c>
      <c r="K1244" t="s">
        <v>31</v>
      </c>
      <c r="L1244">
        <v>123</v>
      </c>
      <c r="M1244">
        <v>2</v>
      </c>
      <c r="N1244" t="s">
        <v>38</v>
      </c>
      <c r="O1244" t="s">
        <v>41</v>
      </c>
      <c r="P1244" t="s">
        <v>45</v>
      </c>
      <c r="Q1244" t="s">
        <v>46</v>
      </c>
      <c r="R1244" s="2">
        <v>0.68263888888888891</v>
      </c>
    </row>
    <row r="1245" spans="1:18" x14ac:dyDescent="0.25">
      <c r="A1245" t="s">
        <v>2027</v>
      </c>
      <c r="B1245" t="s">
        <v>532</v>
      </c>
      <c r="C1245" s="1">
        <v>45170</v>
      </c>
      <c r="D1245" s="1" t="str">
        <f>TEXT(Delivery_data[[#This Row],[Order date]], "MMMM")</f>
        <v>September</v>
      </c>
      <c r="E1245" s="1" t="str">
        <f>TEXT(Delivery_data[[#This Row],[Order date]], "DDDD")</f>
        <v>Friday</v>
      </c>
      <c r="F1245" s="2">
        <v>0.61319444444444449</v>
      </c>
      <c r="G1245" t="s">
        <v>48</v>
      </c>
      <c r="H1245" t="str">
        <f>IF(Delivery_data[[#This Row],[Order Status]] = "In Progress", "Backlog", "Complete")</f>
        <v>Backlog</v>
      </c>
      <c r="I1245" t="s">
        <v>236</v>
      </c>
      <c r="J1245" t="s">
        <v>1637</v>
      </c>
      <c r="K1245" t="s">
        <v>31</v>
      </c>
      <c r="L1245">
        <v>185</v>
      </c>
      <c r="M1245">
        <v>12</v>
      </c>
      <c r="N1245" t="s">
        <v>25</v>
      </c>
      <c r="O1245" t="s">
        <v>33</v>
      </c>
      <c r="P1245" t="s">
        <v>45</v>
      </c>
      <c r="Q1245" t="s">
        <v>46</v>
      </c>
      <c r="R1245" s="2">
        <v>0.65625</v>
      </c>
    </row>
    <row r="1246" spans="1:18" x14ac:dyDescent="0.25">
      <c r="A1246" t="s">
        <v>2057</v>
      </c>
      <c r="B1246" t="s">
        <v>562</v>
      </c>
      <c r="C1246" s="1">
        <v>45172</v>
      </c>
      <c r="D1246" s="1" t="str">
        <f>TEXT(Delivery_data[[#This Row],[Order date]], "MMMM")</f>
        <v>September</v>
      </c>
      <c r="E1246" s="1" t="str">
        <f>TEXT(Delivery_data[[#This Row],[Order date]], "DDDD")</f>
        <v>Sunday</v>
      </c>
      <c r="F1246" s="2">
        <v>0.45416666666666666</v>
      </c>
      <c r="G1246" t="s">
        <v>22</v>
      </c>
      <c r="H1246" t="str">
        <f>IF(Delivery_data[[#This Row],[Order Status]] = "In Progress", "Backlog", "Complete")</f>
        <v>Complete</v>
      </c>
      <c r="I1246" t="s">
        <v>236</v>
      </c>
      <c r="J1246" t="s">
        <v>1631</v>
      </c>
      <c r="K1246" t="s">
        <v>61</v>
      </c>
      <c r="L1246">
        <v>194</v>
      </c>
      <c r="M1246">
        <v>12</v>
      </c>
      <c r="N1246" t="s">
        <v>38</v>
      </c>
      <c r="O1246" t="s">
        <v>41</v>
      </c>
      <c r="P1246" t="s">
        <v>27</v>
      </c>
      <c r="Q1246" t="s">
        <v>51</v>
      </c>
      <c r="R1246" s="2">
        <v>0.64930555555555558</v>
      </c>
    </row>
    <row r="1247" spans="1:18" x14ac:dyDescent="0.25">
      <c r="A1247" t="s">
        <v>2300</v>
      </c>
      <c r="B1247" t="s">
        <v>798</v>
      </c>
      <c r="C1247" s="1">
        <v>45170</v>
      </c>
      <c r="D1247" s="1" t="str">
        <f>TEXT(Delivery_data[[#This Row],[Order date]], "MMMM")</f>
        <v>September</v>
      </c>
      <c r="E1247" s="1" t="str">
        <f>TEXT(Delivery_data[[#This Row],[Order date]], "DDDD")</f>
        <v>Friday</v>
      </c>
      <c r="F1247" s="2">
        <v>0.6166666666666667</v>
      </c>
      <c r="G1247" t="s">
        <v>48</v>
      </c>
      <c r="H1247" t="str">
        <f>IF(Delivery_data[[#This Row],[Order Status]] = "In Progress", "Backlog", "Complete")</f>
        <v>Backlog</v>
      </c>
      <c r="I1247" t="s">
        <v>236</v>
      </c>
      <c r="J1247" t="s">
        <v>1631</v>
      </c>
      <c r="K1247" t="s">
        <v>31</v>
      </c>
      <c r="L1247">
        <v>161</v>
      </c>
      <c r="M1247">
        <v>21</v>
      </c>
      <c r="N1247" t="s">
        <v>32</v>
      </c>
      <c r="O1247" t="s">
        <v>33</v>
      </c>
      <c r="P1247" t="s">
        <v>45</v>
      </c>
      <c r="Q1247" t="s">
        <v>28</v>
      </c>
      <c r="R1247" s="2">
        <v>0.68194444444444446</v>
      </c>
    </row>
    <row r="1248" spans="1:18" x14ac:dyDescent="0.25">
      <c r="A1248" t="s">
        <v>2349</v>
      </c>
      <c r="B1248" t="s">
        <v>847</v>
      </c>
      <c r="C1248" s="1">
        <v>45171</v>
      </c>
      <c r="D1248" s="1" t="str">
        <f>TEXT(Delivery_data[[#This Row],[Order date]], "MMMM")</f>
        <v>September</v>
      </c>
      <c r="E1248" s="1" t="str">
        <f>TEXT(Delivery_data[[#This Row],[Order date]], "DDDD")</f>
        <v>Saturday</v>
      </c>
      <c r="F1248" s="2">
        <v>0.51458333333333328</v>
      </c>
      <c r="G1248" t="s">
        <v>22</v>
      </c>
      <c r="H1248" t="str">
        <f>IF(Delivery_data[[#This Row],[Order Status]] = "In Progress", "Backlog", "Complete")</f>
        <v>Complete</v>
      </c>
      <c r="I1248" t="s">
        <v>236</v>
      </c>
      <c r="J1248" t="s">
        <v>1633</v>
      </c>
      <c r="K1248" t="s">
        <v>61</v>
      </c>
      <c r="L1248">
        <v>161</v>
      </c>
      <c r="M1248">
        <v>24</v>
      </c>
      <c r="N1248" t="s">
        <v>32</v>
      </c>
      <c r="O1248" t="s">
        <v>41</v>
      </c>
      <c r="P1248" t="s">
        <v>45</v>
      </c>
      <c r="Q1248" t="s">
        <v>28</v>
      </c>
      <c r="R1248" s="2">
        <v>0.48055555555555557</v>
      </c>
    </row>
    <row r="1249" spans="1:18" x14ac:dyDescent="0.25">
      <c r="A1249" t="s">
        <v>2609</v>
      </c>
      <c r="B1249" t="s">
        <v>1093</v>
      </c>
      <c r="C1249" s="1">
        <v>45176</v>
      </c>
      <c r="D1249" s="1" t="str">
        <f>TEXT(Delivery_data[[#This Row],[Order date]], "MMMM")</f>
        <v>September</v>
      </c>
      <c r="E1249" s="1" t="str">
        <f>TEXT(Delivery_data[[#This Row],[Order date]], "DDDD")</f>
        <v>Thursday</v>
      </c>
      <c r="F1249" s="2">
        <v>0.62291666666666667</v>
      </c>
      <c r="G1249" t="s">
        <v>22</v>
      </c>
      <c r="H1249" t="str">
        <f>IF(Delivery_data[[#This Row],[Order Status]] = "In Progress", "Backlog", "Complete")</f>
        <v>Complete</v>
      </c>
      <c r="I1249" t="s">
        <v>236</v>
      </c>
      <c r="J1249" t="s">
        <v>1631</v>
      </c>
      <c r="K1249" t="s">
        <v>24</v>
      </c>
      <c r="L1249">
        <v>205</v>
      </c>
      <c r="M1249">
        <v>21</v>
      </c>
      <c r="N1249" t="s">
        <v>38</v>
      </c>
      <c r="O1249" t="s">
        <v>54</v>
      </c>
      <c r="P1249" t="s">
        <v>27</v>
      </c>
      <c r="Q1249" t="s">
        <v>46</v>
      </c>
      <c r="R1249" s="2">
        <v>0.40138888888888891</v>
      </c>
    </row>
    <row r="1250" spans="1:18" x14ac:dyDescent="0.25">
      <c r="A1250" t="s">
        <v>2688</v>
      </c>
      <c r="B1250" t="s">
        <v>1169</v>
      </c>
      <c r="C1250" s="1">
        <v>45173</v>
      </c>
      <c r="D1250" s="1" t="str">
        <f>TEXT(Delivery_data[[#This Row],[Order date]], "MMMM")</f>
        <v>September</v>
      </c>
      <c r="E1250" s="1" t="str">
        <f>TEXT(Delivery_data[[#This Row],[Order date]], "DDDD")</f>
        <v>Monday</v>
      </c>
      <c r="F1250" s="2">
        <v>0.44861111111111113</v>
      </c>
      <c r="G1250" t="s">
        <v>22</v>
      </c>
      <c r="H1250" t="str">
        <f>IF(Delivery_data[[#This Row],[Order Status]] = "In Progress", "Backlog", "Complete")</f>
        <v>Complete</v>
      </c>
      <c r="I1250" t="s">
        <v>236</v>
      </c>
      <c r="J1250" t="s">
        <v>1633</v>
      </c>
      <c r="K1250" t="s">
        <v>37</v>
      </c>
      <c r="L1250">
        <v>177</v>
      </c>
      <c r="M1250">
        <v>18</v>
      </c>
      <c r="N1250" t="s">
        <v>32</v>
      </c>
      <c r="O1250" t="s">
        <v>50</v>
      </c>
      <c r="P1250" t="s">
        <v>45</v>
      </c>
      <c r="Q1250" t="s">
        <v>46</v>
      </c>
      <c r="R1250" s="2">
        <v>0.51666666666666672</v>
      </c>
    </row>
    <row r="1251" spans="1:18" x14ac:dyDescent="0.25">
      <c r="A1251" t="s">
        <v>2748</v>
      </c>
      <c r="B1251" t="s">
        <v>1228</v>
      </c>
      <c r="C1251" s="1">
        <v>45174</v>
      </c>
      <c r="D1251" s="1" t="str">
        <f>TEXT(Delivery_data[[#This Row],[Order date]], "MMMM")</f>
        <v>September</v>
      </c>
      <c r="E1251" s="1" t="str">
        <f>TEXT(Delivery_data[[#This Row],[Order date]], "DDDD")</f>
        <v>Tuesday</v>
      </c>
      <c r="F1251" s="2">
        <v>0.7006944444444444</v>
      </c>
      <c r="G1251" t="s">
        <v>22</v>
      </c>
      <c r="H1251" t="str">
        <f>IF(Delivery_data[[#This Row],[Order Status]] = "In Progress", "Backlog", "Complete")</f>
        <v>Complete</v>
      </c>
      <c r="I1251" t="s">
        <v>236</v>
      </c>
      <c r="J1251" t="s">
        <v>1637</v>
      </c>
      <c r="K1251" t="s">
        <v>37</v>
      </c>
      <c r="L1251">
        <v>184</v>
      </c>
      <c r="M1251">
        <v>13</v>
      </c>
      <c r="N1251" t="s">
        <v>32</v>
      </c>
      <c r="O1251" t="s">
        <v>54</v>
      </c>
      <c r="P1251" t="s">
        <v>45</v>
      </c>
      <c r="Q1251" t="s">
        <v>51</v>
      </c>
      <c r="R1251" s="2">
        <v>0.35416666666666669</v>
      </c>
    </row>
    <row r="1252" spans="1:18" x14ac:dyDescent="0.25">
      <c r="A1252" t="s">
        <v>3052</v>
      </c>
      <c r="B1252" t="s">
        <v>1520</v>
      </c>
      <c r="C1252" s="1">
        <v>45176</v>
      </c>
      <c r="D1252" s="1" t="str">
        <f>TEXT(Delivery_data[[#This Row],[Order date]], "MMMM")</f>
        <v>September</v>
      </c>
      <c r="E1252" s="1" t="str">
        <f>TEXT(Delivery_data[[#This Row],[Order date]], "DDDD")</f>
        <v>Thursday</v>
      </c>
      <c r="F1252" s="2">
        <v>0.44236111111111109</v>
      </c>
      <c r="G1252" t="s">
        <v>48</v>
      </c>
      <c r="H1252" t="str">
        <f>IF(Delivery_data[[#This Row],[Order Status]] = "In Progress", "Backlog", "Complete")</f>
        <v>Backlog</v>
      </c>
      <c r="I1252" t="s">
        <v>236</v>
      </c>
      <c r="J1252" t="s">
        <v>1633</v>
      </c>
      <c r="K1252" t="s">
        <v>31</v>
      </c>
      <c r="L1252">
        <v>65</v>
      </c>
      <c r="M1252">
        <v>7</v>
      </c>
      <c r="N1252" t="s">
        <v>38</v>
      </c>
      <c r="O1252" t="s">
        <v>33</v>
      </c>
      <c r="P1252" t="s">
        <v>27</v>
      </c>
      <c r="Q1252" t="s">
        <v>28</v>
      </c>
      <c r="R1252" s="2">
        <v>0.45694444444444443</v>
      </c>
    </row>
    <row r="1253" spans="1:18" x14ac:dyDescent="0.25">
      <c r="A1253" t="s">
        <v>1640</v>
      </c>
      <c r="B1253" t="s">
        <v>55</v>
      </c>
      <c r="C1253" s="1">
        <v>45175</v>
      </c>
      <c r="D1253" s="1" t="str">
        <f>TEXT(Delivery_data[[#This Row],[Order date]], "MMMM")</f>
        <v>September</v>
      </c>
      <c r="E1253" s="1" t="str">
        <f>TEXT(Delivery_data[[#This Row],[Order date]], "DDDD")</f>
        <v>Wednesday</v>
      </c>
      <c r="F1253" s="2">
        <v>0.61527777777777781</v>
      </c>
      <c r="G1253" t="s">
        <v>48</v>
      </c>
      <c r="H1253" t="str">
        <f>IF(Delivery_data[[#This Row],[Order Status]] = "In Progress", "Backlog", "Complete")</f>
        <v>Backlog</v>
      </c>
      <c r="I1253" t="s">
        <v>56</v>
      </c>
      <c r="J1253" t="s">
        <v>1633</v>
      </c>
      <c r="K1253" t="s">
        <v>37</v>
      </c>
      <c r="L1253">
        <v>96</v>
      </c>
      <c r="M1253">
        <v>17</v>
      </c>
      <c r="N1253" t="s">
        <v>32</v>
      </c>
      <c r="O1253" t="s">
        <v>26</v>
      </c>
      <c r="P1253" t="s">
        <v>27</v>
      </c>
      <c r="Q1253" t="s">
        <v>46</v>
      </c>
      <c r="R1253" s="2">
        <v>0.38263888888888886</v>
      </c>
    </row>
    <row r="1254" spans="1:18" x14ac:dyDescent="0.25">
      <c r="A1254" t="s">
        <v>1781</v>
      </c>
      <c r="B1254" t="s">
        <v>269</v>
      </c>
      <c r="C1254" s="1">
        <v>45170</v>
      </c>
      <c r="D1254" s="1" t="str">
        <f>TEXT(Delivery_data[[#This Row],[Order date]], "MMMM")</f>
        <v>September</v>
      </c>
      <c r="E1254" s="1" t="str">
        <f>TEXT(Delivery_data[[#This Row],[Order date]], "DDDD")</f>
        <v>Friday</v>
      </c>
      <c r="F1254" s="2">
        <v>0.61527777777777781</v>
      </c>
      <c r="G1254" t="s">
        <v>48</v>
      </c>
      <c r="H1254" t="str">
        <f>IF(Delivery_data[[#This Row],[Order Status]] = "In Progress", "Backlog", "Complete")</f>
        <v>Backlog</v>
      </c>
      <c r="I1254" t="s">
        <v>56</v>
      </c>
      <c r="J1254" t="s">
        <v>1637</v>
      </c>
      <c r="K1254" t="s">
        <v>24</v>
      </c>
      <c r="L1254">
        <v>64</v>
      </c>
      <c r="M1254">
        <v>25</v>
      </c>
      <c r="N1254" t="s">
        <v>32</v>
      </c>
      <c r="O1254" t="s">
        <v>50</v>
      </c>
      <c r="P1254" t="s">
        <v>27</v>
      </c>
      <c r="Q1254" t="s">
        <v>28</v>
      </c>
      <c r="R1254" s="2">
        <v>0.66874999999999996</v>
      </c>
    </row>
    <row r="1255" spans="1:18" x14ac:dyDescent="0.25">
      <c r="A1255" t="s">
        <v>1821</v>
      </c>
      <c r="B1255" t="s">
        <v>320</v>
      </c>
      <c r="C1255" s="1">
        <v>45172</v>
      </c>
      <c r="D1255" s="1" t="str">
        <f>TEXT(Delivery_data[[#This Row],[Order date]], "MMMM")</f>
        <v>September</v>
      </c>
      <c r="E1255" s="1" t="str">
        <f>TEXT(Delivery_data[[#This Row],[Order date]], "DDDD")</f>
        <v>Sunday</v>
      </c>
      <c r="F1255" s="2">
        <v>0.67083333333333328</v>
      </c>
      <c r="G1255" t="s">
        <v>22</v>
      </c>
      <c r="H1255" t="str">
        <f>IF(Delivery_data[[#This Row],[Order Status]] = "In Progress", "Backlog", "Complete")</f>
        <v>Complete</v>
      </c>
      <c r="I1255" t="s">
        <v>56</v>
      </c>
      <c r="J1255" t="s">
        <v>1637</v>
      </c>
      <c r="K1255" t="s">
        <v>31</v>
      </c>
      <c r="L1255">
        <v>224</v>
      </c>
      <c r="M1255">
        <v>23</v>
      </c>
      <c r="N1255" t="s">
        <v>38</v>
      </c>
      <c r="O1255" t="s">
        <v>50</v>
      </c>
      <c r="P1255" t="s">
        <v>34</v>
      </c>
      <c r="Q1255" t="s">
        <v>51</v>
      </c>
      <c r="R1255" s="2">
        <v>0.6430555555555556</v>
      </c>
    </row>
    <row r="1256" spans="1:18" x14ac:dyDescent="0.25">
      <c r="A1256" t="s">
        <v>1828</v>
      </c>
      <c r="B1256" t="s">
        <v>326</v>
      </c>
      <c r="C1256" s="1">
        <v>45170</v>
      </c>
      <c r="D1256" s="1" t="str">
        <f>TEXT(Delivery_data[[#This Row],[Order date]], "MMMM")</f>
        <v>September</v>
      </c>
      <c r="E1256" s="1" t="str">
        <f>TEXT(Delivery_data[[#This Row],[Order date]], "DDDD")</f>
        <v>Friday</v>
      </c>
      <c r="F1256" s="2">
        <v>0.58888888888888891</v>
      </c>
      <c r="G1256" t="s">
        <v>48</v>
      </c>
      <c r="H1256" t="str">
        <f>IF(Delivery_data[[#This Row],[Order Status]] = "In Progress", "Backlog", "Complete")</f>
        <v>Backlog</v>
      </c>
      <c r="I1256" t="s">
        <v>56</v>
      </c>
      <c r="J1256" t="s">
        <v>1631</v>
      </c>
      <c r="K1256" t="s">
        <v>37</v>
      </c>
      <c r="L1256">
        <v>76</v>
      </c>
      <c r="M1256">
        <v>0</v>
      </c>
      <c r="N1256" t="s">
        <v>38</v>
      </c>
      <c r="O1256" t="s">
        <v>26</v>
      </c>
      <c r="P1256" t="s">
        <v>34</v>
      </c>
      <c r="Q1256" t="s">
        <v>51</v>
      </c>
      <c r="R1256" s="2">
        <v>0.68472222222222223</v>
      </c>
    </row>
    <row r="1257" spans="1:18" x14ac:dyDescent="0.25">
      <c r="A1257" t="s">
        <v>1925</v>
      </c>
      <c r="B1257" t="s">
        <v>428</v>
      </c>
      <c r="C1257" s="1">
        <v>45176</v>
      </c>
      <c r="D1257" s="1" t="str">
        <f>TEXT(Delivery_data[[#This Row],[Order date]], "MMMM")</f>
        <v>September</v>
      </c>
      <c r="E1257" s="1" t="str">
        <f>TEXT(Delivery_data[[#This Row],[Order date]], "DDDD")</f>
        <v>Thursday</v>
      </c>
      <c r="F1257" s="2">
        <v>0.45555555555555555</v>
      </c>
      <c r="G1257" t="s">
        <v>22</v>
      </c>
      <c r="H1257" t="str">
        <f>IF(Delivery_data[[#This Row],[Order Status]] = "In Progress", "Backlog", "Complete")</f>
        <v>Complete</v>
      </c>
      <c r="I1257" t="s">
        <v>56</v>
      </c>
      <c r="J1257" t="s">
        <v>1633</v>
      </c>
      <c r="K1257" t="s">
        <v>61</v>
      </c>
      <c r="L1257">
        <v>236</v>
      </c>
      <c r="M1257">
        <v>6</v>
      </c>
      <c r="N1257" t="s">
        <v>38</v>
      </c>
      <c r="O1257" t="s">
        <v>50</v>
      </c>
      <c r="P1257" t="s">
        <v>34</v>
      </c>
      <c r="Q1257" t="s">
        <v>28</v>
      </c>
      <c r="R1257" s="2">
        <v>0.35138888888888886</v>
      </c>
    </row>
    <row r="1258" spans="1:18" x14ac:dyDescent="0.25">
      <c r="A1258" t="s">
        <v>1973</v>
      </c>
      <c r="B1258" t="s">
        <v>478</v>
      </c>
      <c r="C1258" s="1">
        <v>45177</v>
      </c>
      <c r="D1258" s="1" t="str">
        <f>TEXT(Delivery_data[[#This Row],[Order date]], "MMMM")</f>
        <v>September</v>
      </c>
      <c r="E1258" s="1" t="str">
        <f>TEXT(Delivery_data[[#This Row],[Order date]], "DDDD")</f>
        <v>Friday</v>
      </c>
      <c r="F1258" s="2">
        <v>0.34513888888888888</v>
      </c>
      <c r="G1258" t="s">
        <v>48</v>
      </c>
      <c r="H1258" t="str">
        <f>IF(Delivery_data[[#This Row],[Order Status]] = "In Progress", "Backlog", "Complete")</f>
        <v>Backlog</v>
      </c>
      <c r="I1258" t="s">
        <v>56</v>
      </c>
      <c r="J1258" t="s">
        <v>1637</v>
      </c>
      <c r="K1258" t="s">
        <v>61</v>
      </c>
      <c r="L1258">
        <v>211</v>
      </c>
      <c r="M1258">
        <v>8</v>
      </c>
      <c r="N1258" t="s">
        <v>25</v>
      </c>
      <c r="O1258" t="s">
        <v>33</v>
      </c>
      <c r="P1258" t="s">
        <v>45</v>
      </c>
      <c r="Q1258" t="s">
        <v>46</v>
      </c>
      <c r="R1258" s="2">
        <v>0.43055555555555558</v>
      </c>
    </row>
    <row r="1259" spans="1:18" x14ac:dyDescent="0.25">
      <c r="A1259" t="s">
        <v>1988</v>
      </c>
      <c r="B1259" t="s">
        <v>493</v>
      </c>
      <c r="C1259" s="1">
        <v>45174</v>
      </c>
      <c r="D1259" s="1" t="str">
        <f>TEXT(Delivery_data[[#This Row],[Order date]], "MMMM")</f>
        <v>September</v>
      </c>
      <c r="E1259" s="1" t="str">
        <f>TEXT(Delivery_data[[#This Row],[Order date]], "DDDD")</f>
        <v>Tuesday</v>
      </c>
      <c r="F1259" s="2">
        <v>0.37847222222222221</v>
      </c>
      <c r="G1259" t="s">
        <v>48</v>
      </c>
      <c r="H1259" t="str">
        <f>IF(Delivery_data[[#This Row],[Order Status]] = "In Progress", "Backlog", "Complete")</f>
        <v>Backlog</v>
      </c>
      <c r="I1259" t="s">
        <v>56</v>
      </c>
      <c r="J1259" t="s">
        <v>1637</v>
      </c>
      <c r="K1259" t="s">
        <v>31</v>
      </c>
      <c r="L1259">
        <v>81</v>
      </c>
      <c r="M1259">
        <v>3</v>
      </c>
      <c r="N1259" t="s">
        <v>38</v>
      </c>
      <c r="O1259" t="s">
        <v>54</v>
      </c>
      <c r="P1259" t="s">
        <v>27</v>
      </c>
      <c r="Q1259" t="s">
        <v>46</v>
      </c>
      <c r="R1259" s="2">
        <v>0.7319444444444444</v>
      </c>
    </row>
    <row r="1260" spans="1:18" x14ac:dyDescent="0.25">
      <c r="A1260" t="s">
        <v>2067</v>
      </c>
      <c r="B1260" t="s">
        <v>572</v>
      </c>
      <c r="C1260" s="1">
        <v>45176</v>
      </c>
      <c r="D1260" s="1" t="str">
        <f>TEXT(Delivery_data[[#This Row],[Order date]], "MMMM")</f>
        <v>September</v>
      </c>
      <c r="E1260" s="1" t="str">
        <f>TEXT(Delivery_data[[#This Row],[Order date]], "DDDD")</f>
        <v>Thursday</v>
      </c>
      <c r="F1260" s="2">
        <v>0.70208333333333328</v>
      </c>
      <c r="G1260" t="s">
        <v>22</v>
      </c>
      <c r="H1260" t="str">
        <f>IF(Delivery_data[[#This Row],[Order Status]] = "In Progress", "Backlog", "Complete")</f>
        <v>Complete</v>
      </c>
      <c r="I1260" t="s">
        <v>56</v>
      </c>
      <c r="J1260" t="s">
        <v>1637</v>
      </c>
      <c r="K1260" t="s">
        <v>61</v>
      </c>
      <c r="L1260">
        <v>184</v>
      </c>
      <c r="M1260">
        <v>11</v>
      </c>
      <c r="N1260" t="s">
        <v>38</v>
      </c>
      <c r="O1260" t="s">
        <v>54</v>
      </c>
      <c r="P1260" t="s">
        <v>34</v>
      </c>
      <c r="Q1260" t="s">
        <v>46</v>
      </c>
      <c r="R1260" s="2">
        <v>0.45763888888888887</v>
      </c>
    </row>
    <row r="1261" spans="1:18" x14ac:dyDescent="0.25">
      <c r="A1261" t="s">
        <v>2361</v>
      </c>
      <c r="B1261" t="s">
        <v>858</v>
      </c>
      <c r="C1261" s="1">
        <v>45176</v>
      </c>
      <c r="D1261" s="1" t="str">
        <f>TEXT(Delivery_data[[#This Row],[Order date]], "MMMM")</f>
        <v>September</v>
      </c>
      <c r="E1261" s="1" t="str">
        <f>TEXT(Delivery_data[[#This Row],[Order date]], "DDDD")</f>
        <v>Thursday</v>
      </c>
      <c r="F1261" s="2">
        <v>0.38194444444444442</v>
      </c>
      <c r="G1261" t="s">
        <v>48</v>
      </c>
      <c r="H1261" t="str">
        <f>IF(Delivery_data[[#This Row],[Order Status]] = "In Progress", "Backlog", "Complete")</f>
        <v>Backlog</v>
      </c>
      <c r="I1261" t="s">
        <v>56</v>
      </c>
      <c r="J1261" t="s">
        <v>1637</v>
      </c>
      <c r="K1261" t="s">
        <v>44</v>
      </c>
      <c r="L1261">
        <v>206</v>
      </c>
      <c r="M1261">
        <v>20</v>
      </c>
      <c r="N1261" t="s">
        <v>38</v>
      </c>
      <c r="O1261" t="s">
        <v>33</v>
      </c>
      <c r="P1261" t="s">
        <v>27</v>
      </c>
      <c r="Q1261" t="s">
        <v>46</v>
      </c>
      <c r="R1261" s="2">
        <v>0.5180555555555556</v>
      </c>
    </row>
    <row r="1262" spans="1:18" x14ac:dyDescent="0.25">
      <c r="A1262" t="s">
        <v>2459</v>
      </c>
      <c r="B1262" t="s">
        <v>951</v>
      </c>
      <c r="C1262" s="1">
        <v>45175</v>
      </c>
      <c r="D1262" s="1" t="str">
        <f>TEXT(Delivery_data[[#This Row],[Order date]], "MMMM")</f>
        <v>September</v>
      </c>
      <c r="E1262" s="1" t="str">
        <f>TEXT(Delivery_data[[#This Row],[Order date]], "DDDD")</f>
        <v>Wednesday</v>
      </c>
      <c r="F1262" s="2">
        <v>0.4826388888888889</v>
      </c>
      <c r="G1262" t="s">
        <v>22</v>
      </c>
      <c r="H1262" t="str">
        <f>IF(Delivery_data[[#This Row],[Order Status]] = "In Progress", "Backlog", "Complete")</f>
        <v>Complete</v>
      </c>
      <c r="I1262" t="s">
        <v>56</v>
      </c>
      <c r="J1262" t="s">
        <v>1633</v>
      </c>
      <c r="K1262" t="s">
        <v>31</v>
      </c>
      <c r="L1262">
        <v>238</v>
      </c>
      <c r="M1262">
        <v>4</v>
      </c>
      <c r="N1262" t="s">
        <v>25</v>
      </c>
      <c r="O1262" t="s">
        <v>26</v>
      </c>
      <c r="P1262" t="s">
        <v>45</v>
      </c>
      <c r="Q1262" t="s">
        <v>46</v>
      </c>
      <c r="R1262" s="2">
        <v>0.71388888888888891</v>
      </c>
    </row>
    <row r="1263" spans="1:18" x14ac:dyDescent="0.25">
      <c r="A1263" t="s">
        <v>2481</v>
      </c>
      <c r="B1263" t="s">
        <v>972</v>
      </c>
      <c r="C1263" s="1">
        <v>45174</v>
      </c>
      <c r="D1263" s="1" t="str">
        <f>TEXT(Delivery_data[[#This Row],[Order date]], "MMMM")</f>
        <v>September</v>
      </c>
      <c r="E1263" s="1" t="str">
        <f>TEXT(Delivery_data[[#This Row],[Order date]], "DDDD")</f>
        <v>Tuesday</v>
      </c>
      <c r="F1263" s="2">
        <v>0.58263888888888893</v>
      </c>
      <c r="G1263" t="s">
        <v>48</v>
      </c>
      <c r="H1263" t="str">
        <f>IF(Delivery_data[[#This Row],[Order Status]] = "In Progress", "Backlog", "Complete")</f>
        <v>Backlog</v>
      </c>
      <c r="I1263" t="s">
        <v>56</v>
      </c>
      <c r="J1263" t="s">
        <v>1633</v>
      </c>
      <c r="K1263" t="s">
        <v>61</v>
      </c>
      <c r="L1263">
        <v>168</v>
      </c>
      <c r="M1263">
        <v>27</v>
      </c>
      <c r="N1263" t="s">
        <v>25</v>
      </c>
      <c r="O1263" t="s">
        <v>54</v>
      </c>
      <c r="P1263" t="s">
        <v>45</v>
      </c>
      <c r="Q1263" t="s">
        <v>28</v>
      </c>
      <c r="R1263" s="2">
        <v>0.3611111111111111</v>
      </c>
    </row>
    <row r="1264" spans="1:18" x14ac:dyDescent="0.25">
      <c r="A1264" t="s">
        <v>2725</v>
      </c>
      <c r="B1264" t="s">
        <v>1206</v>
      </c>
      <c r="C1264" s="1">
        <v>45175</v>
      </c>
      <c r="D1264" s="1" t="str">
        <f>TEXT(Delivery_data[[#This Row],[Order date]], "MMMM")</f>
        <v>September</v>
      </c>
      <c r="E1264" s="1" t="str">
        <f>TEXT(Delivery_data[[#This Row],[Order date]], "DDDD")</f>
        <v>Wednesday</v>
      </c>
      <c r="F1264" s="2">
        <v>0.70138888888888884</v>
      </c>
      <c r="G1264" t="s">
        <v>48</v>
      </c>
      <c r="H1264" t="str">
        <f>IF(Delivery_data[[#This Row],[Order Status]] = "In Progress", "Backlog", "Complete")</f>
        <v>Backlog</v>
      </c>
      <c r="I1264" t="s">
        <v>56</v>
      </c>
      <c r="J1264" t="s">
        <v>1633</v>
      </c>
      <c r="K1264" t="s">
        <v>44</v>
      </c>
      <c r="L1264">
        <v>94</v>
      </c>
      <c r="M1264">
        <v>21</v>
      </c>
      <c r="N1264" t="s">
        <v>25</v>
      </c>
      <c r="O1264" t="s">
        <v>54</v>
      </c>
      <c r="P1264" t="s">
        <v>27</v>
      </c>
      <c r="Q1264" t="s">
        <v>46</v>
      </c>
      <c r="R1264" s="2">
        <v>0.4597222222222222</v>
      </c>
    </row>
    <row r="1265" spans="1:18" x14ac:dyDescent="0.25">
      <c r="A1265" t="s">
        <v>2840</v>
      </c>
      <c r="B1265" t="s">
        <v>1316</v>
      </c>
      <c r="C1265" s="1">
        <v>45176</v>
      </c>
      <c r="D1265" s="1" t="str">
        <f>TEXT(Delivery_data[[#This Row],[Order date]], "MMMM")</f>
        <v>September</v>
      </c>
      <c r="E1265" s="1" t="str">
        <f>TEXT(Delivery_data[[#This Row],[Order date]], "DDDD")</f>
        <v>Thursday</v>
      </c>
      <c r="F1265" s="2">
        <v>0.68819444444444444</v>
      </c>
      <c r="G1265" t="s">
        <v>22</v>
      </c>
      <c r="H1265" t="str">
        <f>IF(Delivery_data[[#This Row],[Order Status]] = "In Progress", "Backlog", "Complete")</f>
        <v>Complete</v>
      </c>
      <c r="I1265" t="s">
        <v>56</v>
      </c>
      <c r="J1265" t="s">
        <v>1637</v>
      </c>
      <c r="K1265" t="s">
        <v>24</v>
      </c>
      <c r="L1265">
        <v>219</v>
      </c>
      <c r="M1265">
        <v>17</v>
      </c>
      <c r="N1265" t="s">
        <v>32</v>
      </c>
      <c r="O1265" t="s">
        <v>33</v>
      </c>
      <c r="P1265" t="s">
        <v>34</v>
      </c>
      <c r="Q1265" t="s">
        <v>28</v>
      </c>
      <c r="R1265" s="2">
        <v>0.44097222222222221</v>
      </c>
    </row>
    <row r="1266" spans="1:18" x14ac:dyDescent="0.25">
      <c r="A1266" t="s">
        <v>2901</v>
      </c>
      <c r="B1266" t="s">
        <v>1374</v>
      </c>
      <c r="C1266" s="1">
        <v>45171</v>
      </c>
      <c r="D1266" s="1" t="str">
        <f>TEXT(Delivery_data[[#This Row],[Order date]], "MMMM")</f>
        <v>September</v>
      </c>
      <c r="E1266" s="1" t="str">
        <f>TEXT(Delivery_data[[#This Row],[Order date]], "DDDD")</f>
        <v>Saturday</v>
      </c>
      <c r="F1266" s="2">
        <v>0.65763888888888888</v>
      </c>
      <c r="G1266" t="s">
        <v>48</v>
      </c>
      <c r="H1266" t="str">
        <f>IF(Delivery_data[[#This Row],[Order Status]] = "In Progress", "Backlog", "Complete")</f>
        <v>Backlog</v>
      </c>
      <c r="I1266" t="s">
        <v>56</v>
      </c>
      <c r="J1266" t="s">
        <v>1637</v>
      </c>
      <c r="K1266" t="s">
        <v>31</v>
      </c>
      <c r="L1266">
        <v>181</v>
      </c>
      <c r="M1266">
        <v>9</v>
      </c>
      <c r="N1266" t="s">
        <v>25</v>
      </c>
      <c r="O1266" t="s">
        <v>33</v>
      </c>
      <c r="P1266" t="s">
        <v>45</v>
      </c>
      <c r="Q1266" t="s">
        <v>46</v>
      </c>
      <c r="R1266" s="2">
        <v>0.6645833333333333</v>
      </c>
    </row>
    <row r="1267" spans="1:18" x14ac:dyDescent="0.25">
      <c r="A1267" t="s">
        <v>3049</v>
      </c>
      <c r="B1267" t="s">
        <v>1519</v>
      </c>
      <c r="C1267" s="1">
        <v>45174</v>
      </c>
      <c r="D1267" s="1" t="str">
        <f>TEXT(Delivery_data[[#This Row],[Order date]], "MMMM")</f>
        <v>September</v>
      </c>
      <c r="E1267" s="1" t="str">
        <f>TEXT(Delivery_data[[#This Row],[Order date]], "DDDD")</f>
        <v>Tuesday</v>
      </c>
      <c r="F1267" s="2">
        <v>0.47083333333333333</v>
      </c>
      <c r="G1267" t="s">
        <v>22</v>
      </c>
      <c r="H1267" t="str">
        <f>IF(Delivery_data[[#This Row],[Order Status]] = "In Progress", "Backlog", "Complete")</f>
        <v>Complete</v>
      </c>
      <c r="I1267" t="s">
        <v>56</v>
      </c>
      <c r="J1267" t="s">
        <v>1633</v>
      </c>
      <c r="K1267" t="s">
        <v>31</v>
      </c>
      <c r="L1267">
        <v>230</v>
      </c>
      <c r="M1267">
        <v>9</v>
      </c>
      <c r="N1267" t="s">
        <v>32</v>
      </c>
      <c r="O1267" t="s">
        <v>33</v>
      </c>
      <c r="P1267" t="s">
        <v>27</v>
      </c>
      <c r="Q1267" t="s">
        <v>28</v>
      </c>
      <c r="R1267" s="2">
        <v>0.50277777777777777</v>
      </c>
    </row>
    <row r="1268" spans="1:18" x14ac:dyDescent="0.25">
      <c r="A1268" t="s">
        <v>3106</v>
      </c>
      <c r="B1268" t="s">
        <v>1572</v>
      </c>
      <c r="C1268" s="1">
        <v>45170</v>
      </c>
      <c r="D1268" s="1" t="str">
        <f>TEXT(Delivery_data[[#This Row],[Order date]], "MMMM")</f>
        <v>September</v>
      </c>
      <c r="E1268" s="1" t="str">
        <f>TEXT(Delivery_data[[#This Row],[Order date]], "DDDD")</f>
        <v>Friday</v>
      </c>
      <c r="F1268" s="2">
        <v>0.58472222222222225</v>
      </c>
      <c r="G1268" t="s">
        <v>22</v>
      </c>
      <c r="H1268" t="str">
        <f>IF(Delivery_data[[#This Row],[Order Status]] = "In Progress", "Backlog", "Complete")</f>
        <v>Complete</v>
      </c>
      <c r="I1268" t="s">
        <v>56</v>
      </c>
      <c r="J1268" t="s">
        <v>1637</v>
      </c>
      <c r="K1268" t="s">
        <v>24</v>
      </c>
      <c r="L1268">
        <v>106</v>
      </c>
      <c r="M1268">
        <v>10</v>
      </c>
      <c r="N1268" t="s">
        <v>32</v>
      </c>
      <c r="O1268" t="s">
        <v>50</v>
      </c>
      <c r="P1268" t="s">
        <v>45</v>
      </c>
      <c r="Q1268" t="s">
        <v>28</v>
      </c>
      <c r="R1268" s="2">
        <v>0.59861111111111109</v>
      </c>
    </row>
    <row r="1269" spans="1:18" x14ac:dyDescent="0.25">
      <c r="A1269" t="s">
        <v>1719</v>
      </c>
      <c r="B1269" t="s">
        <v>189</v>
      </c>
      <c r="C1269" s="1">
        <v>45176</v>
      </c>
      <c r="D1269" s="1" t="str">
        <f>TEXT(Delivery_data[[#This Row],[Order date]], "MMMM")</f>
        <v>September</v>
      </c>
      <c r="E1269" s="1" t="str">
        <f>TEXT(Delivery_data[[#This Row],[Order date]], "DDDD")</f>
        <v>Thursday</v>
      </c>
      <c r="F1269" s="2">
        <v>0.53749999999999998</v>
      </c>
      <c r="G1269" t="s">
        <v>22</v>
      </c>
      <c r="H1269" t="str">
        <f>IF(Delivery_data[[#This Row],[Order Status]] = "In Progress", "Backlog", "Complete")</f>
        <v>Complete</v>
      </c>
      <c r="I1269" t="s">
        <v>190</v>
      </c>
      <c r="J1269" t="s">
        <v>1631</v>
      </c>
      <c r="K1269" t="s">
        <v>24</v>
      </c>
      <c r="L1269">
        <v>88</v>
      </c>
      <c r="M1269">
        <v>14</v>
      </c>
      <c r="N1269" t="s">
        <v>32</v>
      </c>
      <c r="O1269" t="s">
        <v>26</v>
      </c>
      <c r="P1269" t="s">
        <v>45</v>
      </c>
      <c r="Q1269" t="s">
        <v>28</v>
      </c>
      <c r="R1269" s="2">
        <v>0.40416666666666667</v>
      </c>
    </row>
    <row r="1270" spans="1:18" x14ac:dyDescent="0.25">
      <c r="A1270" t="s">
        <v>2131</v>
      </c>
      <c r="B1270" t="s">
        <v>635</v>
      </c>
      <c r="C1270" s="1">
        <v>45172</v>
      </c>
      <c r="D1270" s="1" t="str">
        <f>TEXT(Delivery_data[[#This Row],[Order date]], "MMMM")</f>
        <v>September</v>
      </c>
      <c r="E1270" s="1" t="str">
        <f>TEXT(Delivery_data[[#This Row],[Order date]], "DDDD")</f>
        <v>Sunday</v>
      </c>
      <c r="F1270" s="2">
        <v>0.65486111111111112</v>
      </c>
      <c r="G1270" t="s">
        <v>22</v>
      </c>
      <c r="H1270" t="str">
        <f>IF(Delivery_data[[#This Row],[Order Status]] = "In Progress", "Backlog", "Complete")</f>
        <v>Complete</v>
      </c>
      <c r="I1270" t="s">
        <v>190</v>
      </c>
      <c r="J1270" t="s">
        <v>1631</v>
      </c>
      <c r="K1270" t="s">
        <v>24</v>
      </c>
      <c r="L1270">
        <v>90</v>
      </c>
      <c r="M1270">
        <v>23</v>
      </c>
      <c r="N1270" t="s">
        <v>25</v>
      </c>
      <c r="O1270" t="s">
        <v>26</v>
      </c>
      <c r="P1270" t="s">
        <v>45</v>
      </c>
      <c r="Q1270" t="s">
        <v>46</v>
      </c>
      <c r="R1270" s="2">
        <v>0.52013888888888893</v>
      </c>
    </row>
    <row r="1271" spans="1:18" x14ac:dyDescent="0.25">
      <c r="A1271" t="s">
        <v>2297</v>
      </c>
      <c r="B1271" t="s">
        <v>795</v>
      </c>
      <c r="C1271" s="1">
        <v>45177</v>
      </c>
      <c r="D1271" s="1" t="str">
        <f>TEXT(Delivery_data[[#This Row],[Order date]], "MMMM")</f>
        <v>September</v>
      </c>
      <c r="E1271" s="1" t="str">
        <f>TEXT(Delivery_data[[#This Row],[Order date]], "DDDD")</f>
        <v>Friday</v>
      </c>
      <c r="F1271" s="2">
        <v>0.42430555555555555</v>
      </c>
      <c r="G1271" t="s">
        <v>22</v>
      </c>
      <c r="H1271" t="str">
        <f>IF(Delivery_data[[#This Row],[Order Status]] = "In Progress", "Backlog", "Complete")</f>
        <v>Complete</v>
      </c>
      <c r="I1271" t="s">
        <v>190</v>
      </c>
      <c r="J1271" t="s">
        <v>1637</v>
      </c>
      <c r="K1271" t="s">
        <v>24</v>
      </c>
      <c r="L1271">
        <v>190</v>
      </c>
      <c r="M1271">
        <v>23</v>
      </c>
      <c r="N1271" t="s">
        <v>25</v>
      </c>
      <c r="O1271" t="s">
        <v>54</v>
      </c>
      <c r="P1271" t="s">
        <v>45</v>
      </c>
      <c r="Q1271" t="s">
        <v>46</v>
      </c>
      <c r="R1271" s="2">
        <v>0.4777777777777778</v>
      </c>
    </row>
    <row r="1272" spans="1:18" x14ac:dyDescent="0.25">
      <c r="A1272" t="s">
        <v>2554</v>
      </c>
      <c r="B1272" t="s">
        <v>1039</v>
      </c>
      <c r="C1272" s="1">
        <v>45176</v>
      </c>
      <c r="D1272" s="1" t="str">
        <f>TEXT(Delivery_data[[#This Row],[Order date]], "MMMM")</f>
        <v>September</v>
      </c>
      <c r="E1272" s="1" t="str">
        <f>TEXT(Delivery_data[[#This Row],[Order date]], "DDDD")</f>
        <v>Thursday</v>
      </c>
      <c r="F1272" s="2">
        <v>0.6743055555555556</v>
      </c>
      <c r="G1272" t="s">
        <v>48</v>
      </c>
      <c r="H1272" t="str">
        <f>IF(Delivery_data[[#This Row],[Order Status]] = "In Progress", "Backlog", "Complete")</f>
        <v>Backlog</v>
      </c>
      <c r="I1272" t="s">
        <v>190</v>
      </c>
      <c r="J1272" t="s">
        <v>1631</v>
      </c>
      <c r="K1272" t="s">
        <v>24</v>
      </c>
      <c r="L1272">
        <v>217</v>
      </c>
      <c r="M1272">
        <v>3</v>
      </c>
      <c r="N1272" t="s">
        <v>38</v>
      </c>
      <c r="O1272" t="s">
        <v>33</v>
      </c>
      <c r="P1272" t="s">
        <v>45</v>
      </c>
      <c r="Q1272" t="s">
        <v>51</v>
      </c>
      <c r="R1272" s="2">
        <v>0.53263888888888888</v>
      </c>
    </row>
    <row r="1273" spans="1:18" x14ac:dyDescent="0.25">
      <c r="A1273" t="s">
        <v>2605</v>
      </c>
      <c r="B1273" t="s">
        <v>1089</v>
      </c>
      <c r="C1273" s="1">
        <v>45177</v>
      </c>
      <c r="D1273" s="1" t="str">
        <f>TEXT(Delivery_data[[#This Row],[Order date]], "MMMM")</f>
        <v>September</v>
      </c>
      <c r="E1273" s="1" t="str">
        <f>TEXT(Delivery_data[[#This Row],[Order date]], "DDDD")</f>
        <v>Friday</v>
      </c>
      <c r="F1273" s="2">
        <v>0.33611111111111114</v>
      </c>
      <c r="G1273" t="s">
        <v>22</v>
      </c>
      <c r="H1273" t="str">
        <f>IF(Delivery_data[[#This Row],[Order Status]] = "In Progress", "Backlog", "Complete")</f>
        <v>Complete</v>
      </c>
      <c r="I1273" t="s">
        <v>190</v>
      </c>
      <c r="J1273" t="s">
        <v>1637</v>
      </c>
      <c r="K1273" t="s">
        <v>24</v>
      </c>
      <c r="L1273">
        <v>170</v>
      </c>
      <c r="M1273">
        <v>1</v>
      </c>
      <c r="N1273" t="s">
        <v>32</v>
      </c>
      <c r="O1273" t="s">
        <v>54</v>
      </c>
      <c r="P1273" t="s">
        <v>27</v>
      </c>
      <c r="Q1273" t="s">
        <v>28</v>
      </c>
      <c r="R1273" s="2">
        <v>0.47152777777777777</v>
      </c>
    </row>
    <row r="1274" spans="1:18" x14ac:dyDescent="0.25">
      <c r="A1274" t="s">
        <v>2664</v>
      </c>
      <c r="B1274" t="s">
        <v>1147</v>
      </c>
      <c r="C1274" s="1">
        <v>45174</v>
      </c>
      <c r="D1274" s="1" t="str">
        <f>TEXT(Delivery_data[[#This Row],[Order date]], "MMMM")</f>
        <v>September</v>
      </c>
      <c r="E1274" s="1" t="str">
        <f>TEXT(Delivery_data[[#This Row],[Order date]], "DDDD")</f>
        <v>Tuesday</v>
      </c>
      <c r="F1274" s="2">
        <v>0.40972222222222221</v>
      </c>
      <c r="G1274" t="s">
        <v>22</v>
      </c>
      <c r="H1274" t="str">
        <f>IF(Delivery_data[[#This Row],[Order Status]] = "In Progress", "Backlog", "Complete")</f>
        <v>Complete</v>
      </c>
      <c r="I1274" t="s">
        <v>190</v>
      </c>
      <c r="J1274" t="s">
        <v>1637</v>
      </c>
      <c r="K1274" t="s">
        <v>31</v>
      </c>
      <c r="L1274">
        <v>93</v>
      </c>
      <c r="M1274">
        <v>18</v>
      </c>
      <c r="N1274" t="s">
        <v>32</v>
      </c>
      <c r="O1274" t="s">
        <v>26</v>
      </c>
      <c r="P1274" t="s">
        <v>45</v>
      </c>
      <c r="Q1274" t="s">
        <v>46</v>
      </c>
      <c r="R1274" s="2">
        <v>0.44444444444444442</v>
      </c>
    </row>
    <row r="1275" spans="1:18" x14ac:dyDescent="0.25">
      <c r="A1275" t="s">
        <v>1677</v>
      </c>
      <c r="B1275" t="s">
        <v>124</v>
      </c>
      <c r="C1275" s="1">
        <v>45175</v>
      </c>
      <c r="D1275" s="1" t="str">
        <f>TEXT(Delivery_data[[#This Row],[Order date]], "MMMM")</f>
        <v>September</v>
      </c>
      <c r="E1275" s="1" t="str">
        <f>TEXT(Delivery_data[[#This Row],[Order date]], "DDDD")</f>
        <v>Wednesday</v>
      </c>
      <c r="F1275" s="2">
        <v>0.62916666666666665</v>
      </c>
      <c r="G1275" t="s">
        <v>48</v>
      </c>
      <c r="H1275" t="str">
        <f>IF(Delivery_data[[#This Row],[Order Status]] = "In Progress", "Backlog", "Complete")</f>
        <v>Backlog</v>
      </c>
      <c r="I1275" t="s">
        <v>125</v>
      </c>
      <c r="J1275" t="s">
        <v>1637</v>
      </c>
      <c r="K1275" t="s">
        <v>44</v>
      </c>
      <c r="L1275">
        <v>162</v>
      </c>
      <c r="M1275">
        <v>22</v>
      </c>
      <c r="N1275" t="s">
        <v>25</v>
      </c>
      <c r="O1275" t="s">
        <v>50</v>
      </c>
      <c r="P1275" t="s">
        <v>27</v>
      </c>
      <c r="Q1275" t="s">
        <v>28</v>
      </c>
      <c r="R1275" s="2">
        <v>0.60555555555555551</v>
      </c>
    </row>
    <row r="1276" spans="1:18" x14ac:dyDescent="0.25">
      <c r="A1276" t="s">
        <v>2040</v>
      </c>
      <c r="B1276" t="s">
        <v>545</v>
      </c>
      <c r="C1276" s="1">
        <v>45176</v>
      </c>
      <c r="D1276" s="1" t="str">
        <f>TEXT(Delivery_data[[#This Row],[Order date]], "MMMM")</f>
        <v>September</v>
      </c>
      <c r="E1276" s="1" t="str">
        <f>TEXT(Delivery_data[[#This Row],[Order date]], "DDDD")</f>
        <v>Thursday</v>
      </c>
      <c r="F1276" s="2">
        <v>0.34722222222222221</v>
      </c>
      <c r="G1276" t="s">
        <v>22</v>
      </c>
      <c r="H1276" t="str">
        <f>IF(Delivery_data[[#This Row],[Order Status]] = "In Progress", "Backlog", "Complete")</f>
        <v>Complete</v>
      </c>
      <c r="I1276" t="s">
        <v>125</v>
      </c>
      <c r="J1276" t="s">
        <v>1631</v>
      </c>
      <c r="K1276" t="s">
        <v>31</v>
      </c>
      <c r="L1276">
        <v>178</v>
      </c>
      <c r="M1276">
        <v>5</v>
      </c>
      <c r="N1276" t="s">
        <v>25</v>
      </c>
      <c r="O1276" t="s">
        <v>41</v>
      </c>
      <c r="P1276" t="s">
        <v>27</v>
      </c>
      <c r="Q1276" t="s">
        <v>46</v>
      </c>
      <c r="R1276" s="2">
        <v>0.38333333333333336</v>
      </c>
    </row>
    <row r="1277" spans="1:18" x14ac:dyDescent="0.25">
      <c r="A1277" t="s">
        <v>2090</v>
      </c>
      <c r="B1277" t="s">
        <v>595</v>
      </c>
      <c r="C1277" s="1">
        <v>45175</v>
      </c>
      <c r="D1277" s="1" t="str">
        <f>TEXT(Delivery_data[[#This Row],[Order date]], "MMMM")</f>
        <v>September</v>
      </c>
      <c r="E1277" s="1" t="str">
        <f>TEXT(Delivery_data[[#This Row],[Order date]], "DDDD")</f>
        <v>Wednesday</v>
      </c>
      <c r="F1277" s="2">
        <v>0.5131944444444444</v>
      </c>
      <c r="G1277" t="s">
        <v>48</v>
      </c>
      <c r="H1277" t="str">
        <f>IF(Delivery_data[[#This Row],[Order Status]] = "In Progress", "Backlog", "Complete")</f>
        <v>Backlog</v>
      </c>
      <c r="I1277" t="s">
        <v>125</v>
      </c>
      <c r="J1277" t="s">
        <v>1637</v>
      </c>
      <c r="K1277" t="s">
        <v>31</v>
      </c>
      <c r="L1277">
        <v>229</v>
      </c>
      <c r="M1277">
        <v>27</v>
      </c>
      <c r="N1277" t="s">
        <v>32</v>
      </c>
      <c r="O1277" t="s">
        <v>33</v>
      </c>
      <c r="P1277" t="s">
        <v>45</v>
      </c>
      <c r="Q1277" t="s">
        <v>46</v>
      </c>
      <c r="R1277" s="2">
        <v>0.67986111111111114</v>
      </c>
    </row>
    <row r="1278" spans="1:18" x14ac:dyDescent="0.25">
      <c r="A1278" t="s">
        <v>2315</v>
      </c>
      <c r="B1278" t="s">
        <v>813</v>
      </c>
      <c r="C1278" s="1">
        <v>45171</v>
      </c>
      <c r="D1278" s="1" t="str">
        <f>TEXT(Delivery_data[[#This Row],[Order date]], "MMMM")</f>
        <v>September</v>
      </c>
      <c r="E1278" s="1" t="str">
        <f>TEXT(Delivery_data[[#This Row],[Order date]], "DDDD")</f>
        <v>Saturday</v>
      </c>
      <c r="F1278" s="2">
        <v>0.48888888888888887</v>
      </c>
      <c r="G1278" t="s">
        <v>22</v>
      </c>
      <c r="H1278" t="str">
        <f>IF(Delivery_data[[#This Row],[Order Status]] = "In Progress", "Backlog", "Complete")</f>
        <v>Complete</v>
      </c>
      <c r="I1278" t="s">
        <v>125</v>
      </c>
      <c r="J1278" t="s">
        <v>1637</v>
      </c>
      <c r="K1278" t="s">
        <v>44</v>
      </c>
      <c r="L1278">
        <v>193</v>
      </c>
      <c r="M1278">
        <v>26</v>
      </c>
      <c r="N1278" t="s">
        <v>25</v>
      </c>
      <c r="O1278" t="s">
        <v>41</v>
      </c>
      <c r="P1278" t="s">
        <v>45</v>
      </c>
      <c r="Q1278" t="s">
        <v>46</v>
      </c>
      <c r="R1278" s="2">
        <v>0.40763888888888888</v>
      </c>
    </row>
    <row r="1279" spans="1:18" x14ac:dyDescent="0.25">
      <c r="A1279" t="s">
        <v>2420</v>
      </c>
      <c r="B1279" t="s">
        <v>913</v>
      </c>
      <c r="C1279" s="1">
        <v>45171</v>
      </c>
      <c r="D1279" s="1" t="str">
        <f>TEXT(Delivery_data[[#This Row],[Order date]], "MMMM")</f>
        <v>September</v>
      </c>
      <c r="E1279" s="1" t="str">
        <f>TEXT(Delivery_data[[#This Row],[Order date]], "DDDD")</f>
        <v>Saturday</v>
      </c>
      <c r="F1279" s="2">
        <v>0.44305555555555554</v>
      </c>
      <c r="G1279" t="s">
        <v>48</v>
      </c>
      <c r="H1279" t="str">
        <f>IF(Delivery_data[[#This Row],[Order Status]] = "In Progress", "Backlog", "Complete")</f>
        <v>Backlog</v>
      </c>
      <c r="I1279" t="s">
        <v>125</v>
      </c>
      <c r="J1279" t="s">
        <v>1633</v>
      </c>
      <c r="K1279" t="s">
        <v>31</v>
      </c>
      <c r="L1279">
        <v>150</v>
      </c>
      <c r="M1279">
        <v>18</v>
      </c>
      <c r="N1279" t="s">
        <v>38</v>
      </c>
      <c r="O1279" t="s">
        <v>26</v>
      </c>
      <c r="P1279" t="s">
        <v>45</v>
      </c>
      <c r="Q1279" t="s">
        <v>51</v>
      </c>
      <c r="R1279" s="2">
        <v>0.38472222222222224</v>
      </c>
    </row>
    <row r="1280" spans="1:18" x14ac:dyDescent="0.25">
      <c r="A1280" t="s">
        <v>2525</v>
      </c>
      <c r="B1280" t="s">
        <v>1013</v>
      </c>
      <c r="C1280" s="1">
        <v>45172</v>
      </c>
      <c r="D1280" s="1" t="str">
        <f>TEXT(Delivery_data[[#This Row],[Order date]], "MMMM")</f>
        <v>September</v>
      </c>
      <c r="E1280" s="1" t="str">
        <f>TEXT(Delivery_data[[#This Row],[Order date]], "DDDD")</f>
        <v>Sunday</v>
      </c>
      <c r="F1280" s="2">
        <v>0.66249999999999998</v>
      </c>
      <c r="G1280" t="s">
        <v>22</v>
      </c>
      <c r="H1280" t="str">
        <f>IF(Delivery_data[[#This Row],[Order Status]] = "In Progress", "Backlog", "Complete")</f>
        <v>Complete</v>
      </c>
      <c r="I1280" t="s">
        <v>125</v>
      </c>
      <c r="J1280" t="s">
        <v>1633</v>
      </c>
      <c r="K1280" t="s">
        <v>61</v>
      </c>
      <c r="L1280">
        <v>164</v>
      </c>
      <c r="M1280">
        <v>10</v>
      </c>
      <c r="N1280" t="s">
        <v>25</v>
      </c>
      <c r="O1280" t="s">
        <v>50</v>
      </c>
      <c r="P1280" t="s">
        <v>34</v>
      </c>
      <c r="Q1280" t="s">
        <v>46</v>
      </c>
      <c r="R1280" s="2">
        <v>0.53125</v>
      </c>
    </row>
    <row r="1281" spans="1:18" x14ac:dyDescent="0.25">
      <c r="A1281" t="s">
        <v>2614</v>
      </c>
      <c r="B1281" t="s">
        <v>1098</v>
      </c>
      <c r="C1281" s="1">
        <v>45172</v>
      </c>
      <c r="D1281" s="1" t="str">
        <f>TEXT(Delivery_data[[#This Row],[Order date]], "MMMM")</f>
        <v>September</v>
      </c>
      <c r="E1281" s="1" t="str">
        <f>TEXT(Delivery_data[[#This Row],[Order date]], "DDDD")</f>
        <v>Sunday</v>
      </c>
      <c r="F1281" s="2">
        <v>0.46180555555555558</v>
      </c>
      <c r="G1281" t="s">
        <v>22</v>
      </c>
      <c r="H1281" t="str">
        <f>IF(Delivery_data[[#This Row],[Order Status]] = "In Progress", "Backlog", "Complete")</f>
        <v>Complete</v>
      </c>
      <c r="I1281" t="s">
        <v>125</v>
      </c>
      <c r="J1281" t="s">
        <v>1631</v>
      </c>
      <c r="K1281" t="s">
        <v>61</v>
      </c>
      <c r="L1281">
        <v>155</v>
      </c>
      <c r="M1281">
        <v>24</v>
      </c>
      <c r="N1281" t="s">
        <v>32</v>
      </c>
      <c r="O1281" t="s">
        <v>54</v>
      </c>
      <c r="P1281" t="s">
        <v>34</v>
      </c>
      <c r="Q1281" t="s">
        <v>46</v>
      </c>
      <c r="R1281" s="2">
        <v>0.7416666666666667</v>
      </c>
    </row>
    <row r="1282" spans="1:18" x14ac:dyDescent="0.25">
      <c r="A1282" t="s">
        <v>2628</v>
      </c>
      <c r="B1282" t="s">
        <v>1111</v>
      </c>
      <c r="C1282" s="1">
        <v>45176</v>
      </c>
      <c r="D1282" s="1" t="str">
        <f>TEXT(Delivery_data[[#This Row],[Order date]], "MMMM")</f>
        <v>September</v>
      </c>
      <c r="E1282" s="1" t="str">
        <f>TEXT(Delivery_data[[#This Row],[Order date]], "DDDD")</f>
        <v>Thursday</v>
      </c>
      <c r="F1282" s="2">
        <v>0.56319444444444444</v>
      </c>
      <c r="G1282" t="s">
        <v>48</v>
      </c>
      <c r="H1282" t="str">
        <f>IF(Delivery_data[[#This Row],[Order Status]] = "In Progress", "Backlog", "Complete")</f>
        <v>Backlog</v>
      </c>
      <c r="I1282" t="s">
        <v>125</v>
      </c>
      <c r="J1282" t="s">
        <v>1637</v>
      </c>
      <c r="K1282" t="s">
        <v>31</v>
      </c>
      <c r="L1282">
        <v>236</v>
      </c>
      <c r="M1282">
        <v>27</v>
      </c>
      <c r="N1282" t="s">
        <v>25</v>
      </c>
      <c r="O1282" t="s">
        <v>54</v>
      </c>
      <c r="P1282" t="s">
        <v>45</v>
      </c>
      <c r="Q1282" t="s">
        <v>46</v>
      </c>
      <c r="R1282" s="2">
        <v>0.42986111111111114</v>
      </c>
    </row>
    <row r="1283" spans="1:18" x14ac:dyDescent="0.25">
      <c r="A1283" t="s">
        <v>2842</v>
      </c>
      <c r="B1283" t="s">
        <v>1318</v>
      </c>
      <c r="C1283" s="1">
        <v>45171</v>
      </c>
      <c r="D1283" s="1" t="str">
        <f>TEXT(Delivery_data[[#This Row],[Order date]], "MMMM")</f>
        <v>September</v>
      </c>
      <c r="E1283" s="1" t="str">
        <f>TEXT(Delivery_data[[#This Row],[Order date]], "DDDD")</f>
        <v>Saturday</v>
      </c>
      <c r="F1283" s="2">
        <v>0.40833333333333333</v>
      </c>
      <c r="G1283" t="s">
        <v>48</v>
      </c>
      <c r="H1283" t="str">
        <f>IF(Delivery_data[[#This Row],[Order Status]] = "In Progress", "Backlog", "Complete")</f>
        <v>Backlog</v>
      </c>
      <c r="I1283" t="s">
        <v>125</v>
      </c>
      <c r="J1283" t="s">
        <v>1633</v>
      </c>
      <c r="K1283" t="s">
        <v>24</v>
      </c>
      <c r="L1283">
        <v>210</v>
      </c>
      <c r="M1283">
        <v>16</v>
      </c>
      <c r="N1283" t="s">
        <v>32</v>
      </c>
      <c r="O1283" t="s">
        <v>50</v>
      </c>
      <c r="P1283" t="s">
        <v>34</v>
      </c>
      <c r="Q1283" t="s">
        <v>46</v>
      </c>
      <c r="R1283" s="2">
        <v>0.3659722222222222</v>
      </c>
    </row>
    <row r="1284" spans="1:18" x14ac:dyDescent="0.25">
      <c r="A1284" t="s">
        <v>2857</v>
      </c>
      <c r="B1284" t="s">
        <v>1333</v>
      </c>
      <c r="C1284" s="1">
        <v>45172</v>
      </c>
      <c r="D1284" s="1" t="str">
        <f>TEXT(Delivery_data[[#This Row],[Order date]], "MMMM")</f>
        <v>September</v>
      </c>
      <c r="E1284" s="1" t="str">
        <f>TEXT(Delivery_data[[#This Row],[Order date]], "DDDD")</f>
        <v>Sunday</v>
      </c>
      <c r="F1284" s="2">
        <v>0.61875000000000002</v>
      </c>
      <c r="G1284" t="s">
        <v>22</v>
      </c>
      <c r="H1284" t="str">
        <f>IF(Delivery_data[[#This Row],[Order Status]] = "In Progress", "Backlog", "Complete")</f>
        <v>Complete</v>
      </c>
      <c r="I1284" t="s">
        <v>125</v>
      </c>
      <c r="J1284" t="s">
        <v>1633</v>
      </c>
      <c r="K1284" t="s">
        <v>37</v>
      </c>
      <c r="L1284">
        <v>141</v>
      </c>
      <c r="M1284">
        <v>29</v>
      </c>
      <c r="N1284" t="s">
        <v>38</v>
      </c>
      <c r="O1284" t="s">
        <v>41</v>
      </c>
      <c r="P1284" t="s">
        <v>27</v>
      </c>
      <c r="Q1284" t="s">
        <v>51</v>
      </c>
      <c r="R1284" s="2">
        <v>0.57361111111111107</v>
      </c>
    </row>
    <row r="1285" spans="1:18" x14ac:dyDescent="0.25">
      <c r="A1285" t="s">
        <v>2865</v>
      </c>
      <c r="B1285" t="s">
        <v>1339</v>
      </c>
      <c r="C1285" s="1">
        <v>45177</v>
      </c>
      <c r="D1285" s="1" t="str">
        <f>TEXT(Delivery_data[[#This Row],[Order date]], "MMMM")</f>
        <v>September</v>
      </c>
      <c r="E1285" s="1" t="str">
        <f>TEXT(Delivery_data[[#This Row],[Order date]], "DDDD")</f>
        <v>Friday</v>
      </c>
      <c r="F1285" s="2">
        <v>0.39583333333333331</v>
      </c>
      <c r="G1285" t="s">
        <v>22</v>
      </c>
      <c r="H1285" t="str">
        <f>IF(Delivery_data[[#This Row],[Order Status]] = "In Progress", "Backlog", "Complete")</f>
        <v>Complete</v>
      </c>
      <c r="I1285" t="s">
        <v>125</v>
      </c>
      <c r="J1285" t="s">
        <v>1637</v>
      </c>
      <c r="K1285" t="s">
        <v>31</v>
      </c>
      <c r="L1285">
        <v>82</v>
      </c>
      <c r="M1285">
        <v>4</v>
      </c>
      <c r="N1285" t="s">
        <v>32</v>
      </c>
      <c r="O1285" t="s">
        <v>50</v>
      </c>
      <c r="P1285" t="s">
        <v>27</v>
      </c>
      <c r="Q1285" t="s">
        <v>28</v>
      </c>
      <c r="R1285" s="2">
        <v>0.47222222222222221</v>
      </c>
    </row>
    <row r="1286" spans="1:18" x14ac:dyDescent="0.25">
      <c r="A1286" t="s">
        <v>2953</v>
      </c>
      <c r="B1286" t="s">
        <v>1426</v>
      </c>
      <c r="C1286" s="1">
        <v>45173</v>
      </c>
      <c r="D1286" s="1" t="str">
        <f>TEXT(Delivery_data[[#This Row],[Order date]], "MMMM")</f>
        <v>September</v>
      </c>
      <c r="E1286" s="1" t="str">
        <f>TEXT(Delivery_data[[#This Row],[Order date]], "DDDD")</f>
        <v>Monday</v>
      </c>
      <c r="F1286" s="2">
        <v>0.45833333333333331</v>
      </c>
      <c r="G1286" t="s">
        <v>48</v>
      </c>
      <c r="H1286" t="str">
        <f>IF(Delivery_data[[#This Row],[Order Status]] = "In Progress", "Backlog", "Complete")</f>
        <v>Backlog</v>
      </c>
      <c r="I1286" t="s">
        <v>125</v>
      </c>
      <c r="J1286" t="s">
        <v>1633</v>
      </c>
      <c r="K1286" t="s">
        <v>31</v>
      </c>
      <c r="L1286">
        <v>191</v>
      </c>
      <c r="M1286">
        <v>26</v>
      </c>
      <c r="N1286" t="s">
        <v>38</v>
      </c>
      <c r="O1286" t="s">
        <v>41</v>
      </c>
      <c r="P1286" t="s">
        <v>45</v>
      </c>
      <c r="Q1286" t="s">
        <v>46</v>
      </c>
      <c r="R1286" s="2">
        <v>0.48541666666666666</v>
      </c>
    </row>
    <row r="1287" spans="1:18" x14ac:dyDescent="0.25">
      <c r="A1287" t="s">
        <v>3011</v>
      </c>
      <c r="B1287" t="s">
        <v>1482</v>
      </c>
      <c r="C1287" s="1">
        <v>45175</v>
      </c>
      <c r="D1287" s="1" t="str">
        <f>TEXT(Delivery_data[[#This Row],[Order date]], "MMMM")</f>
        <v>September</v>
      </c>
      <c r="E1287" s="1" t="str">
        <f>TEXT(Delivery_data[[#This Row],[Order date]], "DDDD")</f>
        <v>Wednesday</v>
      </c>
      <c r="F1287" s="2">
        <v>0.4465277777777778</v>
      </c>
      <c r="G1287" t="s">
        <v>22</v>
      </c>
      <c r="H1287" t="str">
        <f>IF(Delivery_data[[#This Row],[Order Status]] = "In Progress", "Backlog", "Complete")</f>
        <v>Complete</v>
      </c>
      <c r="I1287" t="s">
        <v>125</v>
      </c>
      <c r="J1287" t="s">
        <v>1637</v>
      </c>
      <c r="K1287" t="s">
        <v>24</v>
      </c>
      <c r="L1287">
        <v>227</v>
      </c>
      <c r="M1287">
        <v>25</v>
      </c>
      <c r="N1287" t="s">
        <v>38</v>
      </c>
      <c r="O1287" t="s">
        <v>41</v>
      </c>
      <c r="P1287" t="s">
        <v>27</v>
      </c>
      <c r="Q1287" t="s">
        <v>28</v>
      </c>
      <c r="R1287" s="2">
        <v>0.58333333333333337</v>
      </c>
    </row>
    <row r="1288" spans="1:18" x14ac:dyDescent="0.25">
      <c r="A1288" t="s">
        <v>3056</v>
      </c>
      <c r="B1288" t="s">
        <v>1524</v>
      </c>
      <c r="C1288" s="1">
        <v>45176</v>
      </c>
      <c r="D1288" s="1" t="str">
        <f>TEXT(Delivery_data[[#This Row],[Order date]], "MMMM")</f>
        <v>September</v>
      </c>
      <c r="E1288" s="1" t="str">
        <f>TEXT(Delivery_data[[#This Row],[Order date]], "DDDD")</f>
        <v>Thursday</v>
      </c>
      <c r="F1288" s="2">
        <v>0.61111111111111116</v>
      </c>
      <c r="G1288" t="s">
        <v>22</v>
      </c>
      <c r="H1288" t="str">
        <f>IF(Delivery_data[[#This Row],[Order Status]] = "In Progress", "Backlog", "Complete")</f>
        <v>Complete</v>
      </c>
      <c r="I1288" t="s">
        <v>125</v>
      </c>
      <c r="J1288" t="s">
        <v>1637</v>
      </c>
      <c r="K1288" t="s">
        <v>24</v>
      </c>
      <c r="L1288">
        <v>231</v>
      </c>
      <c r="M1288">
        <v>24</v>
      </c>
      <c r="N1288" t="s">
        <v>25</v>
      </c>
      <c r="O1288" t="s">
        <v>26</v>
      </c>
      <c r="P1288" t="s">
        <v>45</v>
      </c>
      <c r="Q1288" t="s">
        <v>46</v>
      </c>
      <c r="R1288" s="2">
        <v>0.6430555555555556</v>
      </c>
    </row>
    <row r="1289" spans="1:18" x14ac:dyDescent="0.25">
      <c r="A1289" t="s">
        <v>3077</v>
      </c>
      <c r="B1289" t="s">
        <v>1544</v>
      </c>
      <c r="C1289" s="1">
        <v>45175</v>
      </c>
      <c r="D1289" s="1" t="str">
        <f>TEXT(Delivery_data[[#This Row],[Order date]], "MMMM")</f>
        <v>September</v>
      </c>
      <c r="E1289" s="1" t="str">
        <f>TEXT(Delivery_data[[#This Row],[Order date]], "DDDD")</f>
        <v>Wednesday</v>
      </c>
      <c r="F1289" s="2">
        <v>0.625</v>
      </c>
      <c r="G1289" t="s">
        <v>48</v>
      </c>
      <c r="H1289" t="str">
        <f>IF(Delivery_data[[#This Row],[Order Status]] = "In Progress", "Backlog", "Complete")</f>
        <v>Backlog</v>
      </c>
      <c r="I1289" t="s">
        <v>125</v>
      </c>
      <c r="J1289" t="s">
        <v>1633</v>
      </c>
      <c r="K1289" t="s">
        <v>44</v>
      </c>
      <c r="L1289">
        <v>62</v>
      </c>
      <c r="M1289">
        <v>28</v>
      </c>
      <c r="N1289" t="s">
        <v>32</v>
      </c>
      <c r="O1289" t="s">
        <v>50</v>
      </c>
      <c r="P1289" t="s">
        <v>27</v>
      </c>
      <c r="Q1289" t="s">
        <v>51</v>
      </c>
      <c r="R1289" s="2">
        <v>0.55694444444444446</v>
      </c>
    </row>
    <row r="1290" spans="1:18" x14ac:dyDescent="0.25">
      <c r="A1290" t="s">
        <v>1697</v>
      </c>
      <c r="B1290" t="s">
        <v>153</v>
      </c>
      <c r="C1290" s="1">
        <v>45177</v>
      </c>
      <c r="D1290" s="1" t="str">
        <f>TEXT(Delivery_data[[#This Row],[Order date]], "MMMM")</f>
        <v>September</v>
      </c>
      <c r="E1290" s="1" t="str">
        <f>TEXT(Delivery_data[[#This Row],[Order date]], "DDDD")</f>
        <v>Friday</v>
      </c>
      <c r="F1290" s="2">
        <v>0.68472222222222223</v>
      </c>
      <c r="G1290" t="s">
        <v>48</v>
      </c>
      <c r="H1290" t="str">
        <f>IF(Delivery_data[[#This Row],[Order Status]] = "In Progress", "Backlog", "Complete")</f>
        <v>Backlog</v>
      </c>
      <c r="I1290" t="s">
        <v>154</v>
      </c>
      <c r="J1290" t="s">
        <v>1633</v>
      </c>
      <c r="K1290" t="s">
        <v>31</v>
      </c>
      <c r="L1290">
        <v>238</v>
      </c>
      <c r="M1290">
        <v>7</v>
      </c>
      <c r="N1290" t="s">
        <v>25</v>
      </c>
      <c r="O1290" t="s">
        <v>41</v>
      </c>
      <c r="P1290" t="s">
        <v>27</v>
      </c>
      <c r="Q1290" t="s">
        <v>51</v>
      </c>
      <c r="R1290" s="2">
        <v>0.48541666666666666</v>
      </c>
    </row>
    <row r="1291" spans="1:18" x14ac:dyDescent="0.25">
      <c r="A1291" t="s">
        <v>1898</v>
      </c>
      <c r="B1291" t="s">
        <v>399</v>
      </c>
      <c r="C1291" s="1">
        <v>45176</v>
      </c>
      <c r="D1291" s="1" t="str">
        <f>TEXT(Delivery_data[[#This Row],[Order date]], "MMMM")</f>
        <v>September</v>
      </c>
      <c r="E1291" s="1" t="str">
        <f>TEXT(Delivery_data[[#This Row],[Order date]], "DDDD")</f>
        <v>Thursday</v>
      </c>
      <c r="F1291" s="2">
        <v>0.34513888888888888</v>
      </c>
      <c r="G1291" t="s">
        <v>48</v>
      </c>
      <c r="H1291" t="str">
        <f>IF(Delivery_data[[#This Row],[Order Status]] = "In Progress", "Backlog", "Complete")</f>
        <v>Backlog</v>
      </c>
      <c r="I1291" t="s">
        <v>154</v>
      </c>
      <c r="J1291" t="s">
        <v>1637</v>
      </c>
      <c r="K1291" t="s">
        <v>31</v>
      </c>
      <c r="L1291">
        <v>225</v>
      </c>
      <c r="M1291">
        <v>4</v>
      </c>
      <c r="N1291" t="s">
        <v>25</v>
      </c>
      <c r="O1291" t="s">
        <v>50</v>
      </c>
      <c r="P1291" t="s">
        <v>27</v>
      </c>
      <c r="Q1291" t="s">
        <v>51</v>
      </c>
      <c r="R1291" s="2">
        <v>0.71666666666666667</v>
      </c>
    </row>
    <row r="1292" spans="1:18" x14ac:dyDescent="0.25">
      <c r="A1292" t="s">
        <v>2054</v>
      </c>
      <c r="B1292" t="s">
        <v>559</v>
      </c>
      <c r="C1292" s="1">
        <v>45175</v>
      </c>
      <c r="D1292" s="1" t="str">
        <f>TEXT(Delivery_data[[#This Row],[Order date]], "MMMM")</f>
        <v>September</v>
      </c>
      <c r="E1292" s="1" t="str">
        <f>TEXT(Delivery_data[[#This Row],[Order date]], "DDDD")</f>
        <v>Wednesday</v>
      </c>
      <c r="F1292" s="2">
        <v>0.56805555555555554</v>
      </c>
      <c r="G1292" t="s">
        <v>22</v>
      </c>
      <c r="H1292" t="str">
        <f>IF(Delivery_data[[#This Row],[Order Status]] = "In Progress", "Backlog", "Complete")</f>
        <v>Complete</v>
      </c>
      <c r="I1292" t="s">
        <v>154</v>
      </c>
      <c r="J1292" t="s">
        <v>1631</v>
      </c>
      <c r="K1292" t="s">
        <v>44</v>
      </c>
      <c r="L1292">
        <v>231</v>
      </c>
      <c r="M1292">
        <v>10</v>
      </c>
      <c r="N1292" t="s">
        <v>25</v>
      </c>
      <c r="O1292" t="s">
        <v>33</v>
      </c>
      <c r="P1292" t="s">
        <v>27</v>
      </c>
      <c r="Q1292" t="s">
        <v>51</v>
      </c>
      <c r="R1292" s="2">
        <v>0.74097222222222225</v>
      </c>
    </row>
    <row r="1293" spans="1:18" x14ac:dyDescent="0.25">
      <c r="A1293" t="s">
        <v>2074</v>
      </c>
      <c r="B1293" t="s">
        <v>579</v>
      </c>
      <c r="C1293" s="1">
        <v>45172</v>
      </c>
      <c r="D1293" s="1" t="str">
        <f>TEXT(Delivery_data[[#This Row],[Order date]], "MMMM")</f>
        <v>September</v>
      </c>
      <c r="E1293" s="1" t="str">
        <f>TEXT(Delivery_data[[#This Row],[Order date]], "DDDD")</f>
        <v>Sunday</v>
      </c>
      <c r="F1293" s="2">
        <v>0.51944444444444449</v>
      </c>
      <c r="G1293" t="s">
        <v>22</v>
      </c>
      <c r="H1293" t="str">
        <f>IF(Delivery_data[[#This Row],[Order Status]] = "In Progress", "Backlog", "Complete")</f>
        <v>Complete</v>
      </c>
      <c r="I1293" t="s">
        <v>154</v>
      </c>
      <c r="J1293" t="s">
        <v>1633</v>
      </c>
      <c r="K1293" t="s">
        <v>37</v>
      </c>
      <c r="L1293">
        <v>208</v>
      </c>
      <c r="M1293">
        <v>23</v>
      </c>
      <c r="N1293" t="s">
        <v>32</v>
      </c>
      <c r="O1293" t="s">
        <v>26</v>
      </c>
      <c r="P1293" t="s">
        <v>34</v>
      </c>
      <c r="Q1293" t="s">
        <v>46</v>
      </c>
      <c r="R1293" s="2">
        <v>0.58402777777777781</v>
      </c>
    </row>
    <row r="1294" spans="1:18" x14ac:dyDescent="0.25">
      <c r="A1294" t="s">
        <v>2112</v>
      </c>
      <c r="B1294" t="s">
        <v>616</v>
      </c>
      <c r="C1294" s="1">
        <v>45171</v>
      </c>
      <c r="D1294" s="1" t="str">
        <f>TEXT(Delivery_data[[#This Row],[Order date]], "MMMM")</f>
        <v>September</v>
      </c>
      <c r="E1294" s="1" t="str">
        <f>TEXT(Delivery_data[[#This Row],[Order date]], "DDDD")</f>
        <v>Saturday</v>
      </c>
      <c r="F1294" s="2">
        <v>0.3972222222222222</v>
      </c>
      <c r="G1294" t="s">
        <v>48</v>
      </c>
      <c r="H1294" t="str">
        <f>IF(Delivery_data[[#This Row],[Order Status]] = "In Progress", "Backlog", "Complete")</f>
        <v>Backlog</v>
      </c>
      <c r="I1294" t="s">
        <v>154</v>
      </c>
      <c r="J1294" t="s">
        <v>1633</v>
      </c>
      <c r="K1294" t="s">
        <v>37</v>
      </c>
      <c r="L1294">
        <v>77</v>
      </c>
      <c r="M1294">
        <v>28</v>
      </c>
      <c r="N1294" t="s">
        <v>25</v>
      </c>
      <c r="O1294" t="s">
        <v>26</v>
      </c>
      <c r="P1294" t="s">
        <v>34</v>
      </c>
      <c r="Q1294" t="s">
        <v>46</v>
      </c>
      <c r="R1294" s="2">
        <v>0.65277777777777779</v>
      </c>
    </row>
    <row r="1295" spans="1:18" x14ac:dyDescent="0.25">
      <c r="A1295" t="s">
        <v>2251</v>
      </c>
      <c r="B1295" t="s">
        <v>751</v>
      </c>
      <c r="C1295" s="1">
        <v>45177</v>
      </c>
      <c r="D1295" s="1" t="str">
        <f>TEXT(Delivery_data[[#This Row],[Order date]], "MMMM")</f>
        <v>September</v>
      </c>
      <c r="E1295" s="1" t="str">
        <f>TEXT(Delivery_data[[#This Row],[Order date]], "DDDD")</f>
        <v>Friday</v>
      </c>
      <c r="F1295" s="2">
        <v>0.51180555555555551</v>
      </c>
      <c r="G1295" t="s">
        <v>48</v>
      </c>
      <c r="H1295" t="str">
        <f>IF(Delivery_data[[#This Row],[Order Status]] = "In Progress", "Backlog", "Complete")</f>
        <v>Backlog</v>
      </c>
      <c r="I1295" t="s">
        <v>154</v>
      </c>
      <c r="J1295" t="s">
        <v>1631</v>
      </c>
      <c r="K1295" t="s">
        <v>61</v>
      </c>
      <c r="L1295">
        <v>193</v>
      </c>
      <c r="M1295">
        <v>2</v>
      </c>
      <c r="N1295" t="s">
        <v>38</v>
      </c>
      <c r="O1295" t="s">
        <v>50</v>
      </c>
      <c r="P1295" t="s">
        <v>27</v>
      </c>
      <c r="Q1295" t="s">
        <v>46</v>
      </c>
      <c r="R1295" s="2">
        <v>0.37777777777777777</v>
      </c>
    </row>
    <row r="1296" spans="1:18" x14ac:dyDescent="0.25">
      <c r="A1296" t="s">
        <v>2522</v>
      </c>
      <c r="B1296" t="s">
        <v>1011</v>
      </c>
      <c r="C1296" s="1">
        <v>45170</v>
      </c>
      <c r="D1296" s="1" t="str">
        <f>TEXT(Delivery_data[[#This Row],[Order date]], "MMMM")</f>
        <v>September</v>
      </c>
      <c r="E1296" s="1" t="str">
        <f>TEXT(Delivery_data[[#This Row],[Order date]], "DDDD")</f>
        <v>Friday</v>
      </c>
      <c r="F1296" s="2">
        <v>0.6694444444444444</v>
      </c>
      <c r="G1296" t="s">
        <v>22</v>
      </c>
      <c r="H1296" t="str">
        <f>IF(Delivery_data[[#This Row],[Order Status]] = "In Progress", "Backlog", "Complete")</f>
        <v>Complete</v>
      </c>
      <c r="I1296" t="s">
        <v>154</v>
      </c>
      <c r="J1296" t="s">
        <v>1637</v>
      </c>
      <c r="K1296" t="s">
        <v>31</v>
      </c>
      <c r="L1296">
        <v>180</v>
      </c>
      <c r="M1296">
        <v>7</v>
      </c>
      <c r="N1296" t="s">
        <v>32</v>
      </c>
      <c r="O1296" t="s">
        <v>41</v>
      </c>
      <c r="P1296" t="s">
        <v>27</v>
      </c>
      <c r="Q1296" t="s">
        <v>51</v>
      </c>
      <c r="R1296" s="2">
        <v>0.37986111111111109</v>
      </c>
    </row>
    <row r="1297" spans="1:18" x14ac:dyDescent="0.25">
      <c r="A1297" t="s">
        <v>2634</v>
      </c>
      <c r="B1297" t="s">
        <v>1117</v>
      </c>
      <c r="C1297" s="1">
        <v>45176</v>
      </c>
      <c r="D1297" s="1" t="str">
        <f>TEXT(Delivery_data[[#This Row],[Order date]], "MMMM")</f>
        <v>September</v>
      </c>
      <c r="E1297" s="1" t="str">
        <f>TEXT(Delivery_data[[#This Row],[Order date]], "DDDD")</f>
        <v>Thursday</v>
      </c>
      <c r="F1297" s="2">
        <v>0.6958333333333333</v>
      </c>
      <c r="G1297" t="s">
        <v>48</v>
      </c>
      <c r="H1297" t="str">
        <f>IF(Delivery_data[[#This Row],[Order Status]] = "In Progress", "Backlog", "Complete")</f>
        <v>Backlog</v>
      </c>
      <c r="I1297" t="s">
        <v>154</v>
      </c>
      <c r="J1297" t="s">
        <v>1633</v>
      </c>
      <c r="K1297" t="s">
        <v>31</v>
      </c>
      <c r="L1297">
        <v>133</v>
      </c>
      <c r="M1297">
        <v>25</v>
      </c>
      <c r="N1297" t="s">
        <v>25</v>
      </c>
      <c r="O1297" t="s">
        <v>54</v>
      </c>
      <c r="P1297" t="s">
        <v>27</v>
      </c>
      <c r="Q1297" t="s">
        <v>28</v>
      </c>
      <c r="R1297" s="2">
        <v>0.33541666666666664</v>
      </c>
    </row>
    <row r="1298" spans="1:18" x14ac:dyDescent="0.25">
      <c r="A1298" t="s">
        <v>2773</v>
      </c>
      <c r="B1298" t="s">
        <v>1251</v>
      </c>
      <c r="C1298" s="1">
        <v>45172</v>
      </c>
      <c r="D1298" s="1" t="str">
        <f>TEXT(Delivery_data[[#This Row],[Order date]], "MMMM")</f>
        <v>September</v>
      </c>
      <c r="E1298" s="1" t="str">
        <f>TEXT(Delivery_data[[#This Row],[Order date]], "DDDD")</f>
        <v>Sunday</v>
      </c>
      <c r="F1298" s="2">
        <v>0.42083333333333334</v>
      </c>
      <c r="G1298" t="s">
        <v>48</v>
      </c>
      <c r="H1298" t="str">
        <f>IF(Delivery_data[[#This Row],[Order Status]] = "In Progress", "Backlog", "Complete")</f>
        <v>Backlog</v>
      </c>
      <c r="I1298" t="s">
        <v>154</v>
      </c>
      <c r="J1298" t="s">
        <v>1633</v>
      </c>
      <c r="K1298" t="s">
        <v>24</v>
      </c>
      <c r="L1298">
        <v>232</v>
      </c>
      <c r="M1298">
        <v>10</v>
      </c>
      <c r="N1298" t="s">
        <v>25</v>
      </c>
      <c r="O1298" t="s">
        <v>50</v>
      </c>
      <c r="P1298" t="s">
        <v>45</v>
      </c>
      <c r="Q1298" t="s">
        <v>51</v>
      </c>
      <c r="R1298" s="2">
        <v>0.7104166666666667</v>
      </c>
    </row>
    <row r="1299" spans="1:18" x14ac:dyDescent="0.25">
      <c r="A1299" t="s">
        <v>2803</v>
      </c>
      <c r="B1299" t="s">
        <v>1280</v>
      </c>
      <c r="C1299" s="1">
        <v>45175</v>
      </c>
      <c r="D1299" s="1" t="str">
        <f>TEXT(Delivery_data[[#This Row],[Order date]], "MMMM")</f>
        <v>September</v>
      </c>
      <c r="E1299" s="1" t="str">
        <f>TEXT(Delivery_data[[#This Row],[Order date]], "DDDD")</f>
        <v>Wednesday</v>
      </c>
      <c r="F1299" s="2">
        <v>0.61736111111111114</v>
      </c>
      <c r="G1299" t="s">
        <v>22</v>
      </c>
      <c r="H1299" t="str">
        <f>IF(Delivery_data[[#This Row],[Order Status]] = "In Progress", "Backlog", "Complete")</f>
        <v>Complete</v>
      </c>
      <c r="I1299" t="s">
        <v>154</v>
      </c>
      <c r="J1299" t="s">
        <v>1633</v>
      </c>
      <c r="K1299" t="s">
        <v>61</v>
      </c>
      <c r="L1299">
        <v>82</v>
      </c>
      <c r="M1299">
        <v>13</v>
      </c>
      <c r="N1299" t="s">
        <v>25</v>
      </c>
      <c r="O1299" t="s">
        <v>54</v>
      </c>
      <c r="P1299" t="s">
        <v>34</v>
      </c>
      <c r="Q1299" t="s">
        <v>51</v>
      </c>
      <c r="R1299" s="2">
        <v>0.40902777777777777</v>
      </c>
    </row>
    <row r="1300" spans="1:18" x14ac:dyDescent="0.25">
      <c r="A1300" t="s">
        <v>2829</v>
      </c>
      <c r="B1300" t="s">
        <v>1305</v>
      </c>
      <c r="C1300" s="1">
        <v>45171</v>
      </c>
      <c r="D1300" s="1" t="str">
        <f>TEXT(Delivery_data[[#This Row],[Order date]], "MMMM")</f>
        <v>September</v>
      </c>
      <c r="E1300" s="1" t="str">
        <f>TEXT(Delivery_data[[#This Row],[Order date]], "DDDD")</f>
        <v>Saturday</v>
      </c>
      <c r="F1300" s="2">
        <v>0.68125000000000002</v>
      </c>
      <c r="G1300" t="s">
        <v>48</v>
      </c>
      <c r="H1300" t="str">
        <f>IF(Delivery_data[[#This Row],[Order Status]] = "In Progress", "Backlog", "Complete")</f>
        <v>Backlog</v>
      </c>
      <c r="I1300" t="s">
        <v>154</v>
      </c>
      <c r="J1300" t="s">
        <v>1633</v>
      </c>
      <c r="K1300" t="s">
        <v>24</v>
      </c>
      <c r="L1300">
        <v>189</v>
      </c>
      <c r="M1300">
        <v>22</v>
      </c>
      <c r="N1300" t="s">
        <v>25</v>
      </c>
      <c r="O1300" t="s">
        <v>41</v>
      </c>
      <c r="P1300" t="s">
        <v>45</v>
      </c>
      <c r="Q1300" t="s">
        <v>51</v>
      </c>
      <c r="R1300" s="2">
        <v>0.37916666666666665</v>
      </c>
    </row>
    <row r="1301" spans="1:18" x14ac:dyDescent="0.25">
      <c r="A1301" t="s">
        <v>1655</v>
      </c>
      <c r="B1301" t="s">
        <v>84</v>
      </c>
      <c r="C1301" s="1">
        <v>45175</v>
      </c>
      <c r="D1301" s="1" t="str">
        <f>TEXT(Delivery_data[[#This Row],[Order date]], "MMMM")</f>
        <v>September</v>
      </c>
      <c r="E1301" s="1" t="str">
        <f>TEXT(Delivery_data[[#This Row],[Order date]], "DDDD")</f>
        <v>Wednesday</v>
      </c>
      <c r="F1301" s="2">
        <v>0.44027777777777777</v>
      </c>
      <c r="G1301" t="s">
        <v>22</v>
      </c>
      <c r="H1301" t="str">
        <f>IF(Delivery_data[[#This Row],[Order Status]] = "In Progress", "Backlog", "Complete")</f>
        <v>Complete</v>
      </c>
      <c r="I1301" t="s">
        <v>85</v>
      </c>
      <c r="J1301" t="s">
        <v>1633</v>
      </c>
      <c r="K1301" t="s">
        <v>37</v>
      </c>
      <c r="L1301">
        <v>151</v>
      </c>
      <c r="M1301">
        <v>6</v>
      </c>
      <c r="N1301" t="s">
        <v>25</v>
      </c>
      <c r="O1301" t="s">
        <v>50</v>
      </c>
      <c r="P1301" t="s">
        <v>34</v>
      </c>
      <c r="Q1301" t="s">
        <v>51</v>
      </c>
      <c r="R1301" s="2">
        <v>0.7055555555555556</v>
      </c>
    </row>
    <row r="1302" spans="1:18" x14ac:dyDescent="0.25">
      <c r="A1302" t="s">
        <v>2193</v>
      </c>
      <c r="B1302" t="s">
        <v>694</v>
      </c>
      <c r="C1302" s="1">
        <v>45175</v>
      </c>
      <c r="D1302" s="1" t="str">
        <f>TEXT(Delivery_data[[#This Row],[Order date]], "MMMM")</f>
        <v>September</v>
      </c>
      <c r="E1302" s="1" t="str">
        <f>TEXT(Delivery_data[[#This Row],[Order date]], "DDDD")</f>
        <v>Wednesday</v>
      </c>
      <c r="F1302" s="2">
        <v>0.43541666666666667</v>
      </c>
      <c r="G1302" t="s">
        <v>22</v>
      </c>
      <c r="H1302" t="str">
        <f>IF(Delivery_data[[#This Row],[Order Status]] = "In Progress", "Backlog", "Complete")</f>
        <v>Complete</v>
      </c>
      <c r="I1302" t="s">
        <v>85</v>
      </c>
      <c r="J1302" t="s">
        <v>1633</v>
      </c>
      <c r="K1302" t="s">
        <v>31</v>
      </c>
      <c r="L1302">
        <v>176</v>
      </c>
      <c r="M1302">
        <v>18</v>
      </c>
      <c r="N1302" t="s">
        <v>38</v>
      </c>
      <c r="O1302" t="s">
        <v>26</v>
      </c>
      <c r="P1302" t="s">
        <v>45</v>
      </c>
      <c r="Q1302" t="s">
        <v>46</v>
      </c>
      <c r="R1302" s="2">
        <v>0.62152777777777779</v>
      </c>
    </row>
    <row r="1303" spans="1:18" x14ac:dyDescent="0.25">
      <c r="A1303" t="s">
        <v>2245</v>
      </c>
      <c r="B1303" t="s">
        <v>745</v>
      </c>
      <c r="C1303" s="1">
        <v>45174</v>
      </c>
      <c r="D1303" s="1" t="str">
        <f>TEXT(Delivery_data[[#This Row],[Order date]], "MMMM")</f>
        <v>September</v>
      </c>
      <c r="E1303" s="1" t="str">
        <f>TEXT(Delivery_data[[#This Row],[Order date]], "DDDD")</f>
        <v>Tuesday</v>
      </c>
      <c r="F1303" s="2">
        <v>0.41388888888888886</v>
      </c>
      <c r="G1303" t="s">
        <v>22</v>
      </c>
      <c r="H1303" t="str">
        <f>IF(Delivery_data[[#This Row],[Order Status]] = "In Progress", "Backlog", "Complete")</f>
        <v>Complete</v>
      </c>
      <c r="I1303" t="s">
        <v>85</v>
      </c>
      <c r="J1303" t="s">
        <v>1633</v>
      </c>
      <c r="K1303" t="s">
        <v>31</v>
      </c>
      <c r="L1303">
        <v>135</v>
      </c>
      <c r="M1303">
        <v>26</v>
      </c>
      <c r="N1303" t="s">
        <v>25</v>
      </c>
      <c r="O1303" t="s">
        <v>26</v>
      </c>
      <c r="P1303" t="s">
        <v>45</v>
      </c>
      <c r="Q1303" t="s">
        <v>28</v>
      </c>
      <c r="R1303" s="2">
        <v>0.40347222222222223</v>
      </c>
    </row>
    <row r="1304" spans="1:18" x14ac:dyDescent="0.25">
      <c r="A1304" t="s">
        <v>2282</v>
      </c>
      <c r="B1304" t="s">
        <v>781</v>
      </c>
      <c r="C1304" s="1">
        <v>45175</v>
      </c>
      <c r="D1304" s="1" t="str">
        <f>TEXT(Delivery_data[[#This Row],[Order date]], "MMMM")</f>
        <v>September</v>
      </c>
      <c r="E1304" s="1" t="str">
        <f>TEXT(Delivery_data[[#This Row],[Order date]], "DDDD")</f>
        <v>Wednesday</v>
      </c>
      <c r="F1304" s="2">
        <v>0.35694444444444445</v>
      </c>
      <c r="G1304" t="s">
        <v>48</v>
      </c>
      <c r="H1304" t="str">
        <f>IF(Delivery_data[[#This Row],[Order Status]] = "In Progress", "Backlog", "Complete")</f>
        <v>Backlog</v>
      </c>
      <c r="I1304" t="s">
        <v>85</v>
      </c>
      <c r="J1304" t="s">
        <v>1637</v>
      </c>
      <c r="K1304" t="s">
        <v>61</v>
      </c>
      <c r="L1304">
        <v>94</v>
      </c>
      <c r="M1304">
        <v>6</v>
      </c>
      <c r="N1304" t="s">
        <v>32</v>
      </c>
      <c r="O1304" t="s">
        <v>54</v>
      </c>
      <c r="P1304" t="s">
        <v>27</v>
      </c>
      <c r="Q1304" t="s">
        <v>28</v>
      </c>
      <c r="R1304" s="2">
        <v>0.53680555555555554</v>
      </c>
    </row>
    <row r="1305" spans="1:18" x14ac:dyDescent="0.25">
      <c r="A1305" t="s">
        <v>2409</v>
      </c>
      <c r="B1305" t="s">
        <v>903</v>
      </c>
      <c r="C1305" s="1">
        <v>45175</v>
      </c>
      <c r="D1305" s="1" t="str">
        <f>TEXT(Delivery_data[[#This Row],[Order date]], "MMMM")</f>
        <v>September</v>
      </c>
      <c r="E1305" s="1" t="str">
        <f>TEXT(Delivery_data[[#This Row],[Order date]], "DDDD")</f>
        <v>Wednesday</v>
      </c>
      <c r="F1305" s="2">
        <v>0.38541666666666669</v>
      </c>
      <c r="G1305" t="s">
        <v>22</v>
      </c>
      <c r="H1305" t="str">
        <f>IF(Delivery_data[[#This Row],[Order Status]] = "In Progress", "Backlog", "Complete")</f>
        <v>Complete</v>
      </c>
      <c r="I1305" t="s">
        <v>85</v>
      </c>
      <c r="J1305" t="s">
        <v>1631</v>
      </c>
      <c r="K1305" t="s">
        <v>37</v>
      </c>
      <c r="L1305">
        <v>115</v>
      </c>
      <c r="M1305">
        <v>22</v>
      </c>
      <c r="N1305" t="s">
        <v>38</v>
      </c>
      <c r="O1305" t="s">
        <v>26</v>
      </c>
      <c r="P1305" t="s">
        <v>45</v>
      </c>
      <c r="Q1305" t="s">
        <v>46</v>
      </c>
      <c r="R1305" s="2">
        <v>0.63888888888888884</v>
      </c>
    </row>
    <row r="1306" spans="1:18" x14ac:dyDescent="0.25">
      <c r="A1306" t="s">
        <v>2738</v>
      </c>
      <c r="B1306" t="s">
        <v>1218</v>
      </c>
      <c r="C1306" s="1">
        <v>45171</v>
      </c>
      <c r="D1306" s="1" t="str">
        <f>TEXT(Delivery_data[[#This Row],[Order date]], "MMMM")</f>
        <v>September</v>
      </c>
      <c r="E1306" s="1" t="str">
        <f>TEXT(Delivery_data[[#This Row],[Order date]], "DDDD")</f>
        <v>Saturday</v>
      </c>
      <c r="F1306" s="2">
        <v>0.64444444444444449</v>
      </c>
      <c r="G1306" t="s">
        <v>48</v>
      </c>
      <c r="H1306" t="str">
        <f>IF(Delivery_data[[#This Row],[Order Status]] = "In Progress", "Backlog", "Complete")</f>
        <v>Backlog</v>
      </c>
      <c r="I1306" t="s">
        <v>85</v>
      </c>
      <c r="J1306" t="s">
        <v>1637</v>
      </c>
      <c r="K1306" t="s">
        <v>61</v>
      </c>
      <c r="L1306">
        <v>151</v>
      </c>
      <c r="M1306">
        <v>3</v>
      </c>
      <c r="N1306" t="s">
        <v>25</v>
      </c>
      <c r="O1306" t="s">
        <v>50</v>
      </c>
      <c r="P1306" t="s">
        <v>27</v>
      </c>
      <c r="Q1306" t="s">
        <v>46</v>
      </c>
      <c r="R1306" s="2">
        <v>0.40694444444444444</v>
      </c>
    </row>
    <row r="1307" spans="1:18" x14ac:dyDescent="0.25">
      <c r="A1307" t="s">
        <v>2870</v>
      </c>
      <c r="B1307" t="s">
        <v>1344</v>
      </c>
      <c r="C1307" s="1">
        <v>45176</v>
      </c>
      <c r="D1307" s="1" t="str">
        <f>TEXT(Delivery_data[[#This Row],[Order date]], "MMMM")</f>
        <v>September</v>
      </c>
      <c r="E1307" s="1" t="str">
        <f>TEXT(Delivery_data[[#This Row],[Order date]], "DDDD")</f>
        <v>Thursday</v>
      </c>
      <c r="F1307" s="2">
        <v>0.34305555555555556</v>
      </c>
      <c r="G1307" t="s">
        <v>22</v>
      </c>
      <c r="H1307" t="str">
        <f>IF(Delivery_data[[#This Row],[Order Status]] = "In Progress", "Backlog", "Complete")</f>
        <v>Complete</v>
      </c>
      <c r="I1307" t="s">
        <v>85</v>
      </c>
      <c r="J1307" t="s">
        <v>1631</v>
      </c>
      <c r="K1307" t="s">
        <v>31</v>
      </c>
      <c r="L1307">
        <v>217</v>
      </c>
      <c r="M1307">
        <v>1</v>
      </c>
      <c r="N1307" t="s">
        <v>25</v>
      </c>
      <c r="O1307" t="s">
        <v>54</v>
      </c>
      <c r="P1307" t="s">
        <v>27</v>
      </c>
      <c r="Q1307" t="s">
        <v>51</v>
      </c>
      <c r="R1307" s="2">
        <v>0.67569444444444449</v>
      </c>
    </row>
    <row r="1308" spans="1:18" x14ac:dyDescent="0.25">
      <c r="A1308" t="s">
        <v>2871</v>
      </c>
      <c r="B1308" t="s">
        <v>1345</v>
      </c>
      <c r="C1308" s="1">
        <v>45170</v>
      </c>
      <c r="D1308" s="1" t="str">
        <f>TEXT(Delivery_data[[#This Row],[Order date]], "MMMM")</f>
        <v>September</v>
      </c>
      <c r="E1308" s="1" t="str">
        <f>TEXT(Delivery_data[[#This Row],[Order date]], "DDDD")</f>
        <v>Friday</v>
      </c>
      <c r="F1308" s="2">
        <v>0.60138888888888886</v>
      </c>
      <c r="G1308" t="s">
        <v>22</v>
      </c>
      <c r="H1308" t="str">
        <f>IF(Delivery_data[[#This Row],[Order Status]] = "In Progress", "Backlog", "Complete")</f>
        <v>Complete</v>
      </c>
      <c r="I1308" t="s">
        <v>85</v>
      </c>
      <c r="J1308" t="s">
        <v>1633</v>
      </c>
      <c r="K1308" t="s">
        <v>44</v>
      </c>
      <c r="L1308">
        <v>110</v>
      </c>
      <c r="M1308">
        <v>7</v>
      </c>
      <c r="N1308" t="s">
        <v>38</v>
      </c>
      <c r="O1308" t="s">
        <v>33</v>
      </c>
      <c r="P1308" t="s">
        <v>34</v>
      </c>
      <c r="Q1308" t="s">
        <v>51</v>
      </c>
      <c r="R1308" s="2">
        <v>0.59166666666666667</v>
      </c>
    </row>
    <row r="1309" spans="1:18" x14ac:dyDescent="0.25">
      <c r="A1309" t="s">
        <v>3089</v>
      </c>
      <c r="B1309" t="s">
        <v>1555</v>
      </c>
      <c r="C1309" s="1">
        <v>45170</v>
      </c>
      <c r="D1309" s="1" t="str">
        <f>TEXT(Delivery_data[[#This Row],[Order date]], "MMMM")</f>
        <v>September</v>
      </c>
      <c r="E1309" s="1" t="str">
        <f>TEXT(Delivery_data[[#This Row],[Order date]], "DDDD")</f>
        <v>Friday</v>
      </c>
      <c r="F1309" s="2">
        <v>0.37222222222222223</v>
      </c>
      <c r="G1309" t="s">
        <v>48</v>
      </c>
      <c r="H1309" t="str">
        <f>IF(Delivery_data[[#This Row],[Order Status]] = "In Progress", "Backlog", "Complete")</f>
        <v>Backlog</v>
      </c>
      <c r="I1309" t="s">
        <v>85</v>
      </c>
      <c r="J1309" t="s">
        <v>1631</v>
      </c>
      <c r="K1309" t="s">
        <v>37</v>
      </c>
      <c r="L1309">
        <v>189</v>
      </c>
      <c r="M1309">
        <v>24</v>
      </c>
      <c r="N1309" t="s">
        <v>32</v>
      </c>
      <c r="O1309" t="s">
        <v>41</v>
      </c>
      <c r="P1309" t="s">
        <v>45</v>
      </c>
      <c r="Q1309" t="s">
        <v>28</v>
      </c>
      <c r="R1309" s="2">
        <v>0.65277777777777779</v>
      </c>
    </row>
    <row r="1310" spans="1:18" x14ac:dyDescent="0.25">
      <c r="A1310" t="s">
        <v>3108</v>
      </c>
      <c r="B1310" t="s">
        <v>1574</v>
      </c>
      <c r="C1310" s="1">
        <v>45171</v>
      </c>
      <c r="D1310" s="1" t="str">
        <f>TEXT(Delivery_data[[#This Row],[Order date]], "MMMM")</f>
        <v>September</v>
      </c>
      <c r="E1310" s="1" t="str">
        <f>TEXT(Delivery_data[[#This Row],[Order date]], "DDDD")</f>
        <v>Saturday</v>
      </c>
      <c r="F1310" s="2">
        <v>0.69791666666666663</v>
      </c>
      <c r="G1310" t="s">
        <v>48</v>
      </c>
      <c r="H1310" t="str">
        <f>IF(Delivery_data[[#This Row],[Order Status]] = "In Progress", "Backlog", "Complete")</f>
        <v>Backlog</v>
      </c>
      <c r="I1310" t="s">
        <v>85</v>
      </c>
      <c r="J1310" t="s">
        <v>1631</v>
      </c>
      <c r="K1310" t="s">
        <v>61</v>
      </c>
      <c r="L1310">
        <v>197</v>
      </c>
      <c r="M1310">
        <v>15</v>
      </c>
      <c r="N1310" t="s">
        <v>38</v>
      </c>
      <c r="O1310" t="s">
        <v>26</v>
      </c>
      <c r="P1310" t="s">
        <v>34</v>
      </c>
      <c r="Q1310" t="s">
        <v>51</v>
      </c>
      <c r="R1310" s="2">
        <v>0.35416666666666669</v>
      </c>
    </row>
    <row r="1311" spans="1:18" x14ac:dyDescent="0.25">
      <c r="A1311" t="s">
        <v>1717</v>
      </c>
      <c r="B1311" t="s">
        <v>186</v>
      </c>
      <c r="C1311" s="1">
        <v>45172</v>
      </c>
      <c r="D1311" s="1" t="str">
        <f>TEXT(Delivery_data[[#This Row],[Order date]], "MMMM")</f>
        <v>September</v>
      </c>
      <c r="E1311" s="1" t="str">
        <f>TEXT(Delivery_data[[#This Row],[Order date]], "DDDD")</f>
        <v>Sunday</v>
      </c>
      <c r="F1311" s="2">
        <v>0.60763888888888884</v>
      </c>
      <c r="G1311" t="s">
        <v>48</v>
      </c>
      <c r="H1311" t="str">
        <f>IF(Delivery_data[[#This Row],[Order Status]] = "In Progress", "Backlog", "Complete")</f>
        <v>Backlog</v>
      </c>
      <c r="I1311" t="s">
        <v>187</v>
      </c>
      <c r="J1311" t="s">
        <v>1631</v>
      </c>
      <c r="K1311" t="s">
        <v>61</v>
      </c>
      <c r="L1311">
        <v>111</v>
      </c>
      <c r="M1311">
        <v>6</v>
      </c>
      <c r="N1311" t="s">
        <v>25</v>
      </c>
      <c r="O1311" t="s">
        <v>50</v>
      </c>
      <c r="P1311" t="s">
        <v>34</v>
      </c>
      <c r="Q1311" t="s">
        <v>28</v>
      </c>
      <c r="R1311" s="2">
        <v>0.54305555555555551</v>
      </c>
    </row>
    <row r="1312" spans="1:18" x14ac:dyDescent="0.25">
      <c r="A1312" t="s">
        <v>1722</v>
      </c>
      <c r="B1312" t="s">
        <v>195</v>
      </c>
      <c r="C1312" s="1">
        <v>45177</v>
      </c>
      <c r="D1312" s="1" t="str">
        <f>TEXT(Delivery_data[[#This Row],[Order date]], "MMMM")</f>
        <v>September</v>
      </c>
      <c r="E1312" s="1" t="str">
        <f>TEXT(Delivery_data[[#This Row],[Order date]], "DDDD")</f>
        <v>Friday</v>
      </c>
      <c r="F1312" s="2">
        <v>0.60277777777777775</v>
      </c>
      <c r="G1312" t="s">
        <v>22</v>
      </c>
      <c r="H1312" t="str">
        <f>IF(Delivery_data[[#This Row],[Order Status]] = "In Progress", "Backlog", "Complete")</f>
        <v>Complete</v>
      </c>
      <c r="I1312" t="s">
        <v>187</v>
      </c>
      <c r="J1312" t="s">
        <v>1631</v>
      </c>
      <c r="K1312" t="s">
        <v>44</v>
      </c>
      <c r="L1312">
        <v>185</v>
      </c>
      <c r="M1312">
        <v>27</v>
      </c>
      <c r="N1312" t="s">
        <v>32</v>
      </c>
      <c r="O1312" t="s">
        <v>33</v>
      </c>
      <c r="P1312" t="s">
        <v>34</v>
      </c>
      <c r="Q1312" t="s">
        <v>51</v>
      </c>
      <c r="R1312" s="2">
        <v>0.62638888888888888</v>
      </c>
    </row>
    <row r="1313" spans="1:18" x14ac:dyDescent="0.25">
      <c r="A1313" t="s">
        <v>1841</v>
      </c>
      <c r="B1313" t="s">
        <v>340</v>
      </c>
      <c r="C1313" s="1">
        <v>45172</v>
      </c>
      <c r="D1313" s="1" t="str">
        <f>TEXT(Delivery_data[[#This Row],[Order date]], "MMMM")</f>
        <v>September</v>
      </c>
      <c r="E1313" s="1" t="str">
        <f>TEXT(Delivery_data[[#This Row],[Order date]], "DDDD")</f>
        <v>Sunday</v>
      </c>
      <c r="F1313" s="2">
        <v>0.50277777777777777</v>
      </c>
      <c r="G1313" t="s">
        <v>48</v>
      </c>
      <c r="H1313" t="str">
        <f>IF(Delivery_data[[#This Row],[Order Status]] = "In Progress", "Backlog", "Complete")</f>
        <v>Backlog</v>
      </c>
      <c r="I1313" t="s">
        <v>187</v>
      </c>
      <c r="J1313" t="s">
        <v>1631</v>
      </c>
      <c r="K1313" t="s">
        <v>44</v>
      </c>
      <c r="L1313">
        <v>224</v>
      </c>
      <c r="M1313">
        <v>9</v>
      </c>
      <c r="N1313" t="s">
        <v>25</v>
      </c>
      <c r="O1313" t="s">
        <v>26</v>
      </c>
      <c r="P1313" t="s">
        <v>27</v>
      </c>
      <c r="Q1313" t="s">
        <v>28</v>
      </c>
      <c r="R1313" s="2">
        <v>0.62152777777777779</v>
      </c>
    </row>
    <row r="1314" spans="1:18" x14ac:dyDescent="0.25">
      <c r="A1314" t="s">
        <v>1843</v>
      </c>
      <c r="B1314" t="s">
        <v>342</v>
      </c>
      <c r="C1314" s="1">
        <v>45171</v>
      </c>
      <c r="D1314" s="1" t="str">
        <f>TEXT(Delivery_data[[#This Row],[Order date]], "MMMM")</f>
        <v>September</v>
      </c>
      <c r="E1314" s="1" t="str">
        <f>TEXT(Delivery_data[[#This Row],[Order date]], "DDDD")</f>
        <v>Saturday</v>
      </c>
      <c r="F1314" s="2">
        <v>0.35208333333333336</v>
      </c>
      <c r="G1314" t="s">
        <v>48</v>
      </c>
      <c r="H1314" t="str">
        <f>IF(Delivery_data[[#This Row],[Order Status]] = "In Progress", "Backlog", "Complete")</f>
        <v>Backlog</v>
      </c>
      <c r="I1314" t="s">
        <v>187</v>
      </c>
      <c r="J1314" t="s">
        <v>1631</v>
      </c>
      <c r="K1314" t="s">
        <v>24</v>
      </c>
      <c r="L1314">
        <v>212</v>
      </c>
      <c r="M1314">
        <v>17</v>
      </c>
      <c r="N1314" t="s">
        <v>38</v>
      </c>
      <c r="O1314" t="s">
        <v>33</v>
      </c>
      <c r="P1314" t="s">
        <v>45</v>
      </c>
      <c r="Q1314" t="s">
        <v>46</v>
      </c>
      <c r="R1314" s="2">
        <v>0.41111111111111109</v>
      </c>
    </row>
    <row r="1315" spans="1:18" x14ac:dyDescent="0.25">
      <c r="A1315" t="s">
        <v>1896</v>
      </c>
      <c r="B1315" t="s">
        <v>397</v>
      </c>
      <c r="C1315" s="1">
        <v>45172</v>
      </c>
      <c r="D1315" s="1" t="str">
        <f>TEXT(Delivery_data[[#This Row],[Order date]], "MMMM")</f>
        <v>September</v>
      </c>
      <c r="E1315" s="1" t="str">
        <f>TEXT(Delivery_data[[#This Row],[Order date]], "DDDD")</f>
        <v>Sunday</v>
      </c>
      <c r="F1315" s="2">
        <v>0.67708333333333337</v>
      </c>
      <c r="G1315" t="s">
        <v>22</v>
      </c>
      <c r="H1315" t="str">
        <f>IF(Delivery_data[[#This Row],[Order Status]] = "In Progress", "Backlog", "Complete")</f>
        <v>Complete</v>
      </c>
      <c r="I1315" t="s">
        <v>187</v>
      </c>
      <c r="J1315" t="s">
        <v>1631</v>
      </c>
      <c r="K1315" t="s">
        <v>44</v>
      </c>
      <c r="L1315">
        <v>76</v>
      </c>
      <c r="M1315">
        <v>14</v>
      </c>
      <c r="N1315" t="s">
        <v>25</v>
      </c>
      <c r="O1315" t="s">
        <v>50</v>
      </c>
      <c r="P1315" t="s">
        <v>34</v>
      </c>
      <c r="Q1315" t="s">
        <v>28</v>
      </c>
      <c r="R1315" s="2">
        <v>0.57222222222222219</v>
      </c>
    </row>
    <row r="1316" spans="1:18" x14ac:dyDescent="0.25">
      <c r="A1316" t="s">
        <v>1914</v>
      </c>
      <c r="B1316" t="s">
        <v>417</v>
      </c>
      <c r="C1316" s="1">
        <v>45176</v>
      </c>
      <c r="D1316" s="1" t="str">
        <f>TEXT(Delivery_data[[#This Row],[Order date]], "MMMM")</f>
        <v>September</v>
      </c>
      <c r="E1316" s="1" t="str">
        <f>TEXT(Delivery_data[[#This Row],[Order date]], "DDDD")</f>
        <v>Thursday</v>
      </c>
      <c r="F1316" s="2">
        <v>0.41111111111111109</v>
      </c>
      <c r="G1316" t="s">
        <v>48</v>
      </c>
      <c r="H1316" t="str">
        <f>IF(Delivery_data[[#This Row],[Order Status]] = "In Progress", "Backlog", "Complete")</f>
        <v>Backlog</v>
      </c>
      <c r="I1316" t="s">
        <v>187</v>
      </c>
      <c r="J1316" t="s">
        <v>1637</v>
      </c>
      <c r="K1316" t="s">
        <v>24</v>
      </c>
      <c r="L1316">
        <v>102</v>
      </c>
      <c r="M1316">
        <v>3</v>
      </c>
      <c r="N1316" t="s">
        <v>25</v>
      </c>
      <c r="O1316" t="s">
        <v>26</v>
      </c>
      <c r="P1316" t="s">
        <v>27</v>
      </c>
      <c r="Q1316" t="s">
        <v>46</v>
      </c>
      <c r="R1316" s="2">
        <v>0.59236111111111112</v>
      </c>
    </row>
    <row r="1317" spans="1:18" x14ac:dyDescent="0.25">
      <c r="A1317" t="s">
        <v>1924</v>
      </c>
      <c r="B1317" t="s">
        <v>427</v>
      </c>
      <c r="C1317" s="1">
        <v>45174</v>
      </c>
      <c r="D1317" s="1" t="str">
        <f>TEXT(Delivery_data[[#This Row],[Order date]], "MMMM")</f>
        <v>September</v>
      </c>
      <c r="E1317" s="1" t="str">
        <f>TEXT(Delivery_data[[#This Row],[Order date]], "DDDD")</f>
        <v>Tuesday</v>
      </c>
      <c r="F1317" s="2">
        <v>0.33611111111111114</v>
      </c>
      <c r="G1317" t="s">
        <v>22</v>
      </c>
      <c r="H1317" t="str">
        <f>IF(Delivery_data[[#This Row],[Order Status]] = "In Progress", "Backlog", "Complete")</f>
        <v>Complete</v>
      </c>
      <c r="I1317" t="s">
        <v>187</v>
      </c>
      <c r="J1317" t="s">
        <v>1631</v>
      </c>
      <c r="K1317" t="s">
        <v>44</v>
      </c>
      <c r="L1317">
        <v>163</v>
      </c>
      <c r="M1317">
        <v>0</v>
      </c>
      <c r="N1317" t="s">
        <v>25</v>
      </c>
      <c r="O1317" t="s">
        <v>54</v>
      </c>
      <c r="P1317" t="s">
        <v>45</v>
      </c>
      <c r="Q1317" t="s">
        <v>28</v>
      </c>
      <c r="R1317" s="2">
        <v>0.45902777777777776</v>
      </c>
    </row>
    <row r="1318" spans="1:18" x14ac:dyDescent="0.25">
      <c r="A1318" t="s">
        <v>2078</v>
      </c>
      <c r="B1318" t="s">
        <v>583</v>
      </c>
      <c r="C1318" s="1">
        <v>45173</v>
      </c>
      <c r="D1318" s="1" t="str">
        <f>TEXT(Delivery_data[[#This Row],[Order date]], "MMMM")</f>
        <v>September</v>
      </c>
      <c r="E1318" s="1" t="str">
        <f>TEXT(Delivery_data[[#This Row],[Order date]], "DDDD")</f>
        <v>Monday</v>
      </c>
      <c r="F1318" s="2">
        <v>0.41875000000000001</v>
      </c>
      <c r="G1318" t="s">
        <v>22</v>
      </c>
      <c r="H1318" t="str">
        <f>IF(Delivery_data[[#This Row],[Order Status]] = "In Progress", "Backlog", "Complete")</f>
        <v>Complete</v>
      </c>
      <c r="I1318" t="s">
        <v>187</v>
      </c>
      <c r="J1318" t="s">
        <v>1633</v>
      </c>
      <c r="K1318" t="s">
        <v>61</v>
      </c>
      <c r="L1318">
        <v>179</v>
      </c>
      <c r="M1318">
        <v>25</v>
      </c>
      <c r="N1318" t="s">
        <v>38</v>
      </c>
      <c r="O1318" t="s">
        <v>26</v>
      </c>
      <c r="P1318" t="s">
        <v>27</v>
      </c>
      <c r="Q1318" t="s">
        <v>46</v>
      </c>
      <c r="R1318" s="2">
        <v>0.39027777777777778</v>
      </c>
    </row>
    <row r="1319" spans="1:18" x14ac:dyDescent="0.25">
      <c r="A1319" t="s">
        <v>2302</v>
      </c>
      <c r="B1319" t="s">
        <v>800</v>
      </c>
      <c r="C1319" s="1">
        <v>45172</v>
      </c>
      <c r="D1319" s="1" t="str">
        <f>TEXT(Delivery_data[[#This Row],[Order date]], "MMMM")</f>
        <v>September</v>
      </c>
      <c r="E1319" s="1" t="str">
        <f>TEXT(Delivery_data[[#This Row],[Order date]], "DDDD")</f>
        <v>Sunday</v>
      </c>
      <c r="F1319" s="2">
        <v>0.55069444444444449</v>
      </c>
      <c r="G1319" t="s">
        <v>22</v>
      </c>
      <c r="H1319" t="str">
        <f>IF(Delivery_data[[#This Row],[Order Status]] = "In Progress", "Backlog", "Complete")</f>
        <v>Complete</v>
      </c>
      <c r="I1319" t="s">
        <v>187</v>
      </c>
      <c r="J1319" t="s">
        <v>1633</v>
      </c>
      <c r="K1319" t="s">
        <v>24</v>
      </c>
      <c r="L1319">
        <v>198</v>
      </c>
      <c r="M1319">
        <v>10</v>
      </c>
      <c r="N1319" t="s">
        <v>25</v>
      </c>
      <c r="O1319" t="s">
        <v>41</v>
      </c>
      <c r="P1319" t="s">
        <v>27</v>
      </c>
      <c r="Q1319" t="s">
        <v>46</v>
      </c>
      <c r="R1319" s="2">
        <v>0.49930555555555556</v>
      </c>
    </row>
    <row r="1320" spans="1:18" x14ac:dyDescent="0.25">
      <c r="A1320" t="s">
        <v>2357</v>
      </c>
      <c r="B1320" t="s">
        <v>854</v>
      </c>
      <c r="C1320" s="1">
        <v>45172</v>
      </c>
      <c r="D1320" s="1" t="str">
        <f>TEXT(Delivery_data[[#This Row],[Order date]], "MMMM")</f>
        <v>September</v>
      </c>
      <c r="E1320" s="1" t="str">
        <f>TEXT(Delivery_data[[#This Row],[Order date]], "DDDD")</f>
        <v>Sunday</v>
      </c>
      <c r="F1320" s="2">
        <v>0.63472222222222219</v>
      </c>
      <c r="G1320" t="s">
        <v>22</v>
      </c>
      <c r="H1320" t="str">
        <f>IF(Delivery_data[[#This Row],[Order Status]] = "In Progress", "Backlog", "Complete")</f>
        <v>Complete</v>
      </c>
      <c r="I1320" t="s">
        <v>187</v>
      </c>
      <c r="J1320" t="s">
        <v>1631</v>
      </c>
      <c r="K1320" t="s">
        <v>44</v>
      </c>
      <c r="L1320">
        <v>60</v>
      </c>
      <c r="M1320">
        <v>20</v>
      </c>
      <c r="N1320" t="s">
        <v>38</v>
      </c>
      <c r="O1320" t="s">
        <v>54</v>
      </c>
      <c r="P1320" t="s">
        <v>27</v>
      </c>
      <c r="Q1320" t="s">
        <v>46</v>
      </c>
      <c r="R1320" s="2">
        <v>0.46527777777777779</v>
      </c>
    </row>
    <row r="1321" spans="1:18" x14ac:dyDescent="0.25">
      <c r="A1321" t="s">
        <v>2379</v>
      </c>
      <c r="B1321" t="s">
        <v>438</v>
      </c>
      <c r="C1321" s="1">
        <v>45176</v>
      </c>
      <c r="D1321" s="1" t="str">
        <f>TEXT(Delivery_data[[#This Row],[Order date]], "MMMM")</f>
        <v>September</v>
      </c>
      <c r="E1321" s="1" t="str">
        <f>TEXT(Delivery_data[[#This Row],[Order date]], "DDDD")</f>
        <v>Thursday</v>
      </c>
      <c r="F1321" s="2">
        <v>0.3972222222222222</v>
      </c>
      <c r="G1321" t="s">
        <v>48</v>
      </c>
      <c r="H1321" t="str">
        <f>IF(Delivery_data[[#This Row],[Order Status]] = "In Progress", "Backlog", "Complete")</f>
        <v>Backlog</v>
      </c>
      <c r="I1321" t="s">
        <v>187</v>
      </c>
      <c r="J1321" t="s">
        <v>1631</v>
      </c>
      <c r="K1321" t="s">
        <v>44</v>
      </c>
      <c r="L1321">
        <v>149</v>
      </c>
      <c r="M1321">
        <v>19</v>
      </c>
      <c r="N1321" t="s">
        <v>25</v>
      </c>
      <c r="O1321" t="s">
        <v>50</v>
      </c>
      <c r="P1321" t="s">
        <v>45</v>
      </c>
      <c r="Q1321" t="s">
        <v>46</v>
      </c>
      <c r="R1321" s="2">
        <v>0.38124999999999998</v>
      </c>
    </row>
    <row r="1322" spans="1:18" x14ac:dyDescent="0.25">
      <c r="A1322" t="s">
        <v>2606</v>
      </c>
      <c r="B1322" t="s">
        <v>1090</v>
      </c>
      <c r="C1322" s="1">
        <v>45171</v>
      </c>
      <c r="D1322" s="1" t="str">
        <f>TEXT(Delivery_data[[#This Row],[Order date]], "MMMM")</f>
        <v>September</v>
      </c>
      <c r="E1322" s="1" t="str">
        <f>TEXT(Delivery_data[[#This Row],[Order date]], "DDDD")</f>
        <v>Saturday</v>
      </c>
      <c r="F1322" s="2">
        <v>0.38055555555555554</v>
      </c>
      <c r="G1322" t="s">
        <v>48</v>
      </c>
      <c r="H1322" t="str">
        <f>IF(Delivery_data[[#This Row],[Order Status]] = "In Progress", "Backlog", "Complete")</f>
        <v>Backlog</v>
      </c>
      <c r="I1322" t="s">
        <v>187</v>
      </c>
      <c r="J1322" t="s">
        <v>1637</v>
      </c>
      <c r="K1322" t="s">
        <v>31</v>
      </c>
      <c r="L1322">
        <v>90</v>
      </c>
      <c r="M1322">
        <v>24</v>
      </c>
      <c r="N1322" t="s">
        <v>32</v>
      </c>
      <c r="O1322" t="s">
        <v>26</v>
      </c>
      <c r="P1322" t="s">
        <v>27</v>
      </c>
      <c r="Q1322" t="s">
        <v>46</v>
      </c>
      <c r="R1322" s="2">
        <v>0.41041666666666665</v>
      </c>
    </row>
    <row r="1323" spans="1:18" x14ac:dyDescent="0.25">
      <c r="A1323" t="s">
        <v>2718</v>
      </c>
      <c r="B1323" t="s">
        <v>1199</v>
      </c>
      <c r="C1323" s="1">
        <v>45170</v>
      </c>
      <c r="D1323" s="1" t="str">
        <f>TEXT(Delivery_data[[#This Row],[Order date]], "MMMM")</f>
        <v>September</v>
      </c>
      <c r="E1323" s="1" t="str">
        <f>TEXT(Delivery_data[[#This Row],[Order date]], "DDDD")</f>
        <v>Friday</v>
      </c>
      <c r="F1323" s="2">
        <v>0.6166666666666667</v>
      </c>
      <c r="G1323" t="s">
        <v>22</v>
      </c>
      <c r="H1323" t="str">
        <f>IF(Delivery_data[[#This Row],[Order Status]] = "In Progress", "Backlog", "Complete")</f>
        <v>Complete</v>
      </c>
      <c r="I1323" t="s">
        <v>187</v>
      </c>
      <c r="J1323" t="s">
        <v>1637</v>
      </c>
      <c r="K1323" t="s">
        <v>31</v>
      </c>
      <c r="L1323">
        <v>190</v>
      </c>
      <c r="M1323">
        <v>11</v>
      </c>
      <c r="N1323" t="s">
        <v>32</v>
      </c>
      <c r="O1323" t="s">
        <v>54</v>
      </c>
      <c r="P1323" t="s">
        <v>45</v>
      </c>
      <c r="Q1323" t="s">
        <v>51</v>
      </c>
      <c r="R1323" s="2">
        <v>0.65972222222222221</v>
      </c>
    </row>
    <row r="1324" spans="1:18" x14ac:dyDescent="0.25">
      <c r="A1324" t="s">
        <v>2794</v>
      </c>
      <c r="B1324" t="s">
        <v>1271</v>
      </c>
      <c r="C1324" s="1">
        <v>45170</v>
      </c>
      <c r="D1324" s="1" t="str">
        <f>TEXT(Delivery_data[[#This Row],[Order date]], "MMMM")</f>
        <v>September</v>
      </c>
      <c r="E1324" s="1" t="str">
        <f>TEXT(Delivery_data[[#This Row],[Order date]], "DDDD")</f>
        <v>Friday</v>
      </c>
      <c r="F1324" s="2">
        <v>0.4909722222222222</v>
      </c>
      <c r="G1324" t="s">
        <v>22</v>
      </c>
      <c r="H1324" t="str">
        <f>IF(Delivery_data[[#This Row],[Order Status]] = "In Progress", "Backlog", "Complete")</f>
        <v>Complete</v>
      </c>
      <c r="I1324" t="s">
        <v>187</v>
      </c>
      <c r="J1324" t="s">
        <v>1633</v>
      </c>
      <c r="K1324" t="s">
        <v>37</v>
      </c>
      <c r="L1324">
        <v>118</v>
      </c>
      <c r="M1324">
        <v>11</v>
      </c>
      <c r="N1324" t="s">
        <v>32</v>
      </c>
      <c r="O1324" t="s">
        <v>41</v>
      </c>
      <c r="P1324" t="s">
        <v>27</v>
      </c>
      <c r="Q1324" t="s">
        <v>51</v>
      </c>
      <c r="R1324" s="2">
        <v>0.71944444444444444</v>
      </c>
    </row>
    <row r="1325" spans="1:18" x14ac:dyDescent="0.25">
      <c r="A1325" t="s">
        <v>2876</v>
      </c>
      <c r="B1325" t="s">
        <v>1350</v>
      </c>
      <c r="C1325" s="1">
        <v>45173</v>
      </c>
      <c r="D1325" s="1" t="str">
        <f>TEXT(Delivery_data[[#This Row],[Order date]], "MMMM")</f>
        <v>September</v>
      </c>
      <c r="E1325" s="1" t="str">
        <f>TEXT(Delivery_data[[#This Row],[Order date]], "DDDD")</f>
        <v>Monday</v>
      </c>
      <c r="F1325" s="2">
        <v>0.68402777777777779</v>
      </c>
      <c r="G1325" t="s">
        <v>22</v>
      </c>
      <c r="H1325" t="str">
        <f>IF(Delivery_data[[#This Row],[Order Status]] = "In Progress", "Backlog", "Complete")</f>
        <v>Complete</v>
      </c>
      <c r="I1325" t="s">
        <v>187</v>
      </c>
      <c r="J1325" t="s">
        <v>1631</v>
      </c>
      <c r="K1325" t="s">
        <v>24</v>
      </c>
      <c r="L1325">
        <v>193</v>
      </c>
      <c r="M1325">
        <v>24</v>
      </c>
      <c r="N1325" t="s">
        <v>25</v>
      </c>
      <c r="O1325" t="s">
        <v>41</v>
      </c>
      <c r="P1325" t="s">
        <v>27</v>
      </c>
      <c r="Q1325" t="s">
        <v>28</v>
      </c>
      <c r="R1325" s="2">
        <v>0.54236111111111107</v>
      </c>
    </row>
    <row r="1326" spans="1:18" x14ac:dyDescent="0.25">
      <c r="A1326" t="s">
        <v>2910</v>
      </c>
      <c r="B1326" t="s">
        <v>1383</v>
      </c>
      <c r="C1326" s="1">
        <v>45171</v>
      </c>
      <c r="D1326" s="1" t="str">
        <f>TEXT(Delivery_data[[#This Row],[Order date]], "MMMM")</f>
        <v>September</v>
      </c>
      <c r="E1326" s="1" t="str">
        <f>TEXT(Delivery_data[[#This Row],[Order date]], "DDDD")</f>
        <v>Saturday</v>
      </c>
      <c r="F1326" s="2">
        <v>0.69722222222222219</v>
      </c>
      <c r="G1326" t="s">
        <v>22</v>
      </c>
      <c r="H1326" t="str">
        <f>IF(Delivery_data[[#This Row],[Order Status]] = "In Progress", "Backlog", "Complete")</f>
        <v>Complete</v>
      </c>
      <c r="I1326" t="s">
        <v>187</v>
      </c>
      <c r="J1326" t="s">
        <v>1633</v>
      </c>
      <c r="K1326" t="s">
        <v>37</v>
      </c>
      <c r="L1326">
        <v>234</v>
      </c>
      <c r="M1326">
        <v>6</v>
      </c>
      <c r="N1326" t="s">
        <v>25</v>
      </c>
      <c r="O1326" t="s">
        <v>50</v>
      </c>
      <c r="P1326" t="s">
        <v>45</v>
      </c>
      <c r="Q1326" t="s">
        <v>51</v>
      </c>
      <c r="R1326" s="2">
        <v>0.44930555555555557</v>
      </c>
    </row>
    <row r="1327" spans="1:18" x14ac:dyDescent="0.25">
      <c r="A1327" t="s">
        <v>3122</v>
      </c>
      <c r="B1327" t="s">
        <v>1587</v>
      </c>
      <c r="C1327" s="1">
        <v>45174</v>
      </c>
      <c r="D1327" s="1" t="str">
        <f>TEXT(Delivery_data[[#This Row],[Order date]], "MMMM")</f>
        <v>September</v>
      </c>
      <c r="E1327" s="1" t="str">
        <f>TEXT(Delivery_data[[#This Row],[Order date]], "DDDD")</f>
        <v>Tuesday</v>
      </c>
      <c r="F1327" s="2">
        <v>0.39097222222222222</v>
      </c>
      <c r="G1327" t="s">
        <v>22</v>
      </c>
      <c r="H1327" t="str">
        <f>IF(Delivery_data[[#This Row],[Order Status]] = "In Progress", "Backlog", "Complete")</f>
        <v>Complete</v>
      </c>
      <c r="I1327" t="s">
        <v>187</v>
      </c>
      <c r="J1327" t="s">
        <v>1631</v>
      </c>
      <c r="K1327" t="s">
        <v>24</v>
      </c>
      <c r="L1327">
        <v>103</v>
      </c>
      <c r="M1327">
        <v>4</v>
      </c>
      <c r="N1327" t="s">
        <v>38</v>
      </c>
      <c r="O1327" t="s">
        <v>33</v>
      </c>
      <c r="P1327" t="s">
        <v>45</v>
      </c>
      <c r="Q1327" t="s">
        <v>46</v>
      </c>
      <c r="R1327" s="2">
        <v>0.50277777777777777</v>
      </c>
    </row>
    <row r="1328" spans="1:18" x14ac:dyDescent="0.25">
      <c r="A1328" t="s">
        <v>1653</v>
      </c>
      <c r="B1328" t="s">
        <v>80</v>
      </c>
      <c r="C1328" s="1">
        <v>45172</v>
      </c>
      <c r="D1328" s="1" t="str">
        <f>TEXT(Delivery_data[[#This Row],[Order date]], "MMMM")</f>
        <v>September</v>
      </c>
      <c r="E1328" s="1" t="str">
        <f>TEXT(Delivery_data[[#This Row],[Order date]], "DDDD")</f>
        <v>Sunday</v>
      </c>
      <c r="F1328" s="2">
        <v>0.55902777777777779</v>
      </c>
      <c r="G1328" t="s">
        <v>48</v>
      </c>
      <c r="H1328" t="str">
        <f>IF(Delivery_data[[#This Row],[Order Status]] = "In Progress", "Backlog", "Complete")</f>
        <v>Backlog</v>
      </c>
      <c r="I1328" t="s">
        <v>81</v>
      </c>
      <c r="J1328" t="s">
        <v>1631</v>
      </c>
      <c r="K1328" t="s">
        <v>24</v>
      </c>
      <c r="L1328">
        <v>94</v>
      </c>
      <c r="M1328">
        <v>24</v>
      </c>
      <c r="N1328" t="s">
        <v>38</v>
      </c>
      <c r="O1328" t="s">
        <v>41</v>
      </c>
      <c r="P1328" t="s">
        <v>45</v>
      </c>
      <c r="Q1328" t="s">
        <v>28</v>
      </c>
      <c r="R1328" s="2">
        <v>0.59166666666666667</v>
      </c>
    </row>
    <row r="1329" spans="1:18" x14ac:dyDescent="0.25">
      <c r="A1329" t="s">
        <v>1774</v>
      </c>
      <c r="B1329" t="s">
        <v>260</v>
      </c>
      <c r="C1329" s="1">
        <v>45175</v>
      </c>
      <c r="D1329" s="1" t="str">
        <f>TEXT(Delivery_data[[#This Row],[Order date]], "MMMM")</f>
        <v>September</v>
      </c>
      <c r="E1329" s="1" t="str">
        <f>TEXT(Delivery_data[[#This Row],[Order date]], "DDDD")</f>
        <v>Wednesday</v>
      </c>
      <c r="F1329" s="2">
        <v>0.41875000000000001</v>
      </c>
      <c r="G1329" t="s">
        <v>48</v>
      </c>
      <c r="H1329" t="str">
        <f>IF(Delivery_data[[#This Row],[Order Status]] = "In Progress", "Backlog", "Complete")</f>
        <v>Backlog</v>
      </c>
      <c r="I1329" t="s">
        <v>81</v>
      </c>
      <c r="J1329" t="s">
        <v>1637</v>
      </c>
      <c r="K1329" t="s">
        <v>61</v>
      </c>
      <c r="L1329">
        <v>138</v>
      </c>
      <c r="M1329">
        <v>21</v>
      </c>
      <c r="N1329" t="s">
        <v>38</v>
      </c>
      <c r="O1329" t="s">
        <v>33</v>
      </c>
      <c r="P1329" t="s">
        <v>34</v>
      </c>
      <c r="Q1329" t="s">
        <v>46</v>
      </c>
      <c r="R1329" s="2">
        <v>0.40972222222222221</v>
      </c>
    </row>
    <row r="1330" spans="1:18" x14ac:dyDescent="0.25">
      <c r="A1330" t="s">
        <v>1820</v>
      </c>
      <c r="B1330" t="s">
        <v>319</v>
      </c>
      <c r="C1330" s="1">
        <v>45174</v>
      </c>
      <c r="D1330" s="1" t="str">
        <f>TEXT(Delivery_data[[#This Row],[Order date]], "MMMM")</f>
        <v>September</v>
      </c>
      <c r="E1330" s="1" t="str">
        <f>TEXT(Delivery_data[[#This Row],[Order date]], "DDDD")</f>
        <v>Tuesday</v>
      </c>
      <c r="F1330" s="2">
        <v>0.43680555555555556</v>
      </c>
      <c r="G1330" t="s">
        <v>48</v>
      </c>
      <c r="H1330" t="str">
        <f>IF(Delivery_data[[#This Row],[Order Status]] = "In Progress", "Backlog", "Complete")</f>
        <v>Backlog</v>
      </c>
      <c r="I1330" t="s">
        <v>81</v>
      </c>
      <c r="J1330" t="s">
        <v>1633</v>
      </c>
      <c r="K1330" t="s">
        <v>24</v>
      </c>
      <c r="L1330">
        <v>70</v>
      </c>
      <c r="M1330">
        <v>12</v>
      </c>
      <c r="N1330" t="s">
        <v>25</v>
      </c>
      <c r="O1330" t="s">
        <v>33</v>
      </c>
      <c r="P1330" t="s">
        <v>27</v>
      </c>
      <c r="Q1330" t="s">
        <v>46</v>
      </c>
      <c r="R1330" s="2">
        <v>0.6645833333333333</v>
      </c>
    </row>
    <row r="1331" spans="1:18" x14ac:dyDescent="0.25">
      <c r="A1331" t="s">
        <v>1837</v>
      </c>
      <c r="B1331" t="s">
        <v>335</v>
      </c>
      <c r="C1331" s="1">
        <v>45175</v>
      </c>
      <c r="D1331" s="1" t="str">
        <f>TEXT(Delivery_data[[#This Row],[Order date]], "MMMM")</f>
        <v>September</v>
      </c>
      <c r="E1331" s="1" t="str">
        <f>TEXT(Delivery_data[[#This Row],[Order date]], "DDDD")</f>
        <v>Wednesday</v>
      </c>
      <c r="F1331" s="2">
        <v>0.62430555555555556</v>
      </c>
      <c r="G1331" t="s">
        <v>22</v>
      </c>
      <c r="H1331" t="str">
        <f>IF(Delivery_data[[#This Row],[Order Status]] = "In Progress", "Backlog", "Complete")</f>
        <v>Complete</v>
      </c>
      <c r="I1331" t="s">
        <v>81</v>
      </c>
      <c r="J1331" t="s">
        <v>1633</v>
      </c>
      <c r="K1331" t="s">
        <v>37</v>
      </c>
      <c r="L1331">
        <v>171</v>
      </c>
      <c r="M1331">
        <v>12</v>
      </c>
      <c r="N1331" t="s">
        <v>38</v>
      </c>
      <c r="O1331" t="s">
        <v>33</v>
      </c>
      <c r="P1331" t="s">
        <v>45</v>
      </c>
      <c r="Q1331" t="s">
        <v>46</v>
      </c>
      <c r="R1331" s="2">
        <v>0.4777777777777778</v>
      </c>
    </row>
    <row r="1332" spans="1:18" x14ac:dyDescent="0.25">
      <c r="A1332" t="s">
        <v>1940</v>
      </c>
      <c r="B1332" t="s">
        <v>443</v>
      </c>
      <c r="C1332" s="1">
        <v>45171</v>
      </c>
      <c r="D1332" s="1" t="str">
        <f>TEXT(Delivery_data[[#This Row],[Order date]], "MMMM")</f>
        <v>September</v>
      </c>
      <c r="E1332" s="1" t="str">
        <f>TEXT(Delivery_data[[#This Row],[Order date]], "DDDD")</f>
        <v>Saturday</v>
      </c>
      <c r="F1332" s="2">
        <v>0.45</v>
      </c>
      <c r="G1332" t="s">
        <v>22</v>
      </c>
      <c r="H1332" t="str">
        <f>IF(Delivery_data[[#This Row],[Order Status]] = "In Progress", "Backlog", "Complete")</f>
        <v>Complete</v>
      </c>
      <c r="I1332" t="s">
        <v>81</v>
      </c>
      <c r="J1332" t="s">
        <v>1637</v>
      </c>
      <c r="K1332" t="s">
        <v>44</v>
      </c>
      <c r="L1332">
        <v>62</v>
      </c>
      <c r="M1332">
        <v>1</v>
      </c>
      <c r="N1332" t="s">
        <v>38</v>
      </c>
      <c r="O1332" t="s">
        <v>50</v>
      </c>
      <c r="P1332" t="s">
        <v>45</v>
      </c>
      <c r="Q1332" t="s">
        <v>46</v>
      </c>
      <c r="R1332" s="2">
        <v>0.48472222222222222</v>
      </c>
    </row>
    <row r="1333" spans="1:18" x14ac:dyDescent="0.25">
      <c r="A1333" t="s">
        <v>2008</v>
      </c>
      <c r="B1333" t="s">
        <v>513</v>
      </c>
      <c r="C1333" s="1">
        <v>45170</v>
      </c>
      <c r="D1333" s="1" t="str">
        <f>TEXT(Delivery_data[[#This Row],[Order date]], "MMMM")</f>
        <v>September</v>
      </c>
      <c r="E1333" s="1" t="str">
        <f>TEXT(Delivery_data[[#This Row],[Order date]], "DDDD")</f>
        <v>Friday</v>
      </c>
      <c r="F1333" s="2">
        <v>0.69027777777777777</v>
      </c>
      <c r="G1333" t="s">
        <v>48</v>
      </c>
      <c r="H1333" t="str">
        <f>IF(Delivery_data[[#This Row],[Order Status]] = "In Progress", "Backlog", "Complete")</f>
        <v>Backlog</v>
      </c>
      <c r="I1333" t="s">
        <v>81</v>
      </c>
      <c r="J1333" t="s">
        <v>1637</v>
      </c>
      <c r="K1333" t="s">
        <v>24</v>
      </c>
      <c r="L1333">
        <v>108</v>
      </c>
      <c r="M1333">
        <v>5</v>
      </c>
      <c r="N1333" t="s">
        <v>32</v>
      </c>
      <c r="O1333" t="s">
        <v>54</v>
      </c>
      <c r="P1333" t="s">
        <v>34</v>
      </c>
      <c r="Q1333" t="s">
        <v>28</v>
      </c>
      <c r="R1333" s="2">
        <v>0.74722222222222223</v>
      </c>
    </row>
    <row r="1334" spans="1:18" x14ac:dyDescent="0.25">
      <c r="A1334" t="s">
        <v>2187</v>
      </c>
      <c r="B1334" t="s">
        <v>688</v>
      </c>
      <c r="C1334" s="1">
        <v>45170</v>
      </c>
      <c r="D1334" s="1" t="str">
        <f>TEXT(Delivery_data[[#This Row],[Order date]], "MMMM")</f>
        <v>September</v>
      </c>
      <c r="E1334" s="1" t="str">
        <f>TEXT(Delivery_data[[#This Row],[Order date]], "DDDD")</f>
        <v>Friday</v>
      </c>
      <c r="F1334" s="2">
        <v>0.39097222222222222</v>
      </c>
      <c r="G1334" t="s">
        <v>22</v>
      </c>
      <c r="H1334" t="str">
        <f>IF(Delivery_data[[#This Row],[Order Status]] = "In Progress", "Backlog", "Complete")</f>
        <v>Complete</v>
      </c>
      <c r="I1334" t="s">
        <v>81</v>
      </c>
      <c r="J1334" t="s">
        <v>1633</v>
      </c>
      <c r="K1334" t="s">
        <v>31</v>
      </c>
      <c r="L1334">
        <v>222</v>
      </c>
      <c r="M1334">
        <v>2</v>
      </c>
      <c r="N1334" t="s">
        <v>38</v>
      </c>
      <c r="O1334" t="s">
        <v>33</v>
      </c>
      <c r="P1334" t="s">
        <v>27</v>
      </c>
      <c r="Q1334" t="s">
        <v>46</v>
      </c>
      <c r="R1334" s="2">
        <v>0.52777777777777779</v>
      </c>
    </row>
    <row r="1335" spans="1:18" x14ac:dyDescent="0.25">
      <c r="A1335" t="s">
        <v>2317</v>
      </c>
      <c r="B1335" t="s">
        <v>815</v>
      </c>
      <c r="C1335" s="1">
        <v>45173</v>
      </c>
      <c r="D1335" s="1" t="str">
        <f>TEXT(Delivery_data[[#This Row],[Order date]], "MMMM")</f>
        <v>September</v>
      </c>
      <c r="E1335" s="1" t="str">
        <f>TEXT(Delivery_data[[#This Row],[Order date]], "DDDD")</f>
        <v>Monday</v>
      </c>
      <c r="F1335" s="2">
        <v>0.41805555555555557</v>
      </c>
      <c r="G1335" t="s">
        <v>48</v>
      </c>
      <c r="H1335" t="str">
        <f>IF(Delivery_data[[#This Row],[Order Status]] = "In Progress", "Backlog", "Complete")</f>
        <v>Backlog</v>
      </c>
      <c r="I1335" t="s">
        <v>81</v>
      </c>
      <c r="J1335" t="s">
        <v>1631</v>
      </c>
      <c r="K1335" t="s">
        <v>44</v>
      </c>
      <c r="L1335">
        <v>228</v>
      </c>
      <c r="M1335">
        <v>20</v>
      </c>
      <c r="N1335" t="s">
        <v>25</v>
      </c>
      <c r="O1335" t="s">
        <v>41</v>
      </c>
      <c r="P1335" t="s">
        <v>34</v>
      </c>
      <c r="Q1335" t="s">
        <v>46</v>
      </c>
      <c r="R1335" s="2">
        <v>0.64652777777777781</v>
      </c>
    </row>
    <row r="1336" spans="1:18" x14ac:dyDescent="0.25">
      <c r="A1336" t="s">
        <v>2376</v>
      </c>
      <c r="B1336" t="s">
        <v>873</v>
      </c>
      <c r="C1336" s="1">
        <v>45177</v>
      </c>
      <c r="D1336" s="1" t="str">
        <f>TEXT(Delivery_data[[#This Row],[Order date]], "MMMM")</f>
        <v>September</v>
      </c>
      <c r="E1336" s="1" t="str">
        <f>TEXT(Delivery_data[[#This Row],[Order date]], "DDDD")</f>
        <v>Friday</v>
      </c>
      <c r="F1336" s="2">
        <v>0.69166666666666665</v>
      </c>
      <c r="G1336" t="s">
        <v>48</v>
      </c>
      <c r="H1336" t="str">
        <f>IF(Delivery_data[[#This Row],[Order Status]] = "In Progress", "Backlog", "Complete")</f>
        <v>Backlog</v>
      </c>
      <c r="I1336" t="s">
        <v>81</v>
      </c>
      <c r="J1336" t="s">
        <v>1631</v>
      </c>
      <c r="K1336" t="s">
        <v>37</v>
      </c>
      <c r="L1336">
        <v>163</v>
      </c>
      <c r="M1336">
        <v>2</v>
      </c>
      <c r="N1336" t="s">
        <v>38</v>
      </c>
      <c r="O1336" t="s">
        <v>54</v>
      </c>
      <c r="P1336" t="s">
        <v>45</v>
      </c>
      <c r="Q1336" t="s">
        <v>51</v>
      </c>
      <c r="R1336" s="2">
        <v>0.62708333333333333</v>
      </c>
    </row>
    <row r="1337" spans="1:18" x14ac:dyDescent="0.25">
      <c r="A1337" t="s">
        <v>2411</v>
      </c>
      <c r="B1337" t="s">
        <v>905</v>
      </c>
      <c r="C1337" s="1">
        <v>45176</v>
      </c>
      <c r="D1337" s="1" t="str">
        <f>TEXT(Delivery_data[[#This Row],[Order date]], "MMMM")</f>
        <v>September</v>
      </c>
      <c r="E1337" s="1" t="str">
        <f>TEXT(Delivery_data[[#This Row],[Order date]], "DDDD")</f>
        <v>Thursday</v>
      </c>
      <c r="F1337" s="2">
        <v>0.67013888888888884</v>
      </c>
      <c r="G1337" t="s">
        <v>48</v>
      </c>
      <c r="H1337" t="str">
        <f>IF(Delivery_data[[#This Row],[Order Status]] = "In Progress", "Backlog", "Complete")</f>
        <v>Backlog</v>
      </c>
      <c r="I1337" t="s">
        <v>81</v>
      </c>
      <c r="J1337" t="s">
        <v>1631</v>
      </c>
      <c r="K1337" t="s">
        <v>31</v>
      </c>
      <c r="L1337">
        <v>98</v>
      </c>
      <c r="M1337">
        <v>1</v>
      </c>
      <c r="N1337" t="s">
        <v>25</v>
      </c>
      <c r="O1337" t="s">
        <v>50</v>
      </c>
      <c r="P1337" t="s">
        <v>45</v>
      </c>
      <c r="Q1337" t="s">
        <v>28</v>
      </c>
      <c r="R1337" s="2">
        <v>0.7006944444444444</v>
      </c>
    </row>
    <row r="1338" spans="1:18" x14ac:dyDescent="0.25">
      <c r="A1338" t="s">
        <v>2454</v>
      </c>
      <c r="B1338" t="s">
        <v>946</v>
      </c>
      <c r="C1338" s="1">
        <v>45177</v>
      </c>
      <c r="D1338" s="1" t="str">
        <f>TEXT(Delivery_data[[#This Row],[Order date]], "MMMM")</f>
        <v>September</v>
      </c>
      <c r="E1338" s="1" t="str">
        <f>TEXT(Delivery_data[[#This Row],[Order date]], "DDDD")</f>
        <v>Friday</v>
      </c>
      <c r="F1338" s="2">
        <v>0.69930555555555551</v>
      </c>
      <c r="G1338" t="s">
        <v>48</v>
      </c>
      <c r="H1338" t="str">
        <f>IF(Delivery_data[[#This Row],[Order Status]] = "In Progress", "Backlog", "Complete")</f>
        <v>Backlog</v>
      </c>
      <c r="I1338" t="s">
        <v>81</v>
      </c>
      <c r="J1338" t="s">
        <v>1631</v>
      </c>
      <c r="K1338" t="s">
        <v>31</v>
      </c>
      <c r="L1338">
        <v>113</v>
      </c>
      <c r="M1338">
        <v>8</v>
      </c>
      <c r="N1338" t="s">
        <v>32</v>
      </c>
      <c r="O1338" t="s">
        <v>26</v>
      </c>
      <c r="P1338" t="s">
        <v>34</v>
      </c>
      <c r="Q1338" t="s">
        <v>46</v>
      </c>
      <c r="R1338" s="2">
        <v>0.42986111111111114</v>
      </c>
    </row>
    <row r="1339" spans="1:18" x14ac:dyDescent="0.25">
      <c r="A1339" t="s">
        <v>2641</v>
      </c>
      <c r="B1339" t="s">
        <v>1124</v>
      </c>
      <c r="C1339" s="1">
        <v>45175</v>
      </c>
      <c r="D1339" s="1" t="str">
        <f>TEXT(Delivery_data[[#This Row],[Order date]], "MMMM")</f>
        <v>September</v>
      </c>
      <c r="E1339" s="1" t="str">
        <f>TEXT(Delivery_data[[#This Row],[Order date]], "DDDD")</f>
        <v>Wednesday</v>
      </c>
      <c r="F1339" s="2">
        <v>0.53749999999999998</v>
      </c>
      <c r="G1339" t="s">
        <v>48</v>
      </c>
      <c r="H1339" t="str">
        <f>IF(Delivery_data[[#This Row],[Order Status]] = "In Progress", "Backlog", "Complete")</f>
        <v>Backlog</v>
      </c>
      <c r="I1339" t="s">
        <v>81</v>
      </c>
      <c r="J1339" t="s">
        <v>1637</v>
      </c>
      <c r="K1339" t="s">
        <v>31</v>
      </c>
      <c r="L1339">
        <v>88</v>
      </c>
      <c r="M1339">
        <v>1</v>
      </c>
      <c r="N1339" t="s">
        <v>38</v>
      </c>
      <c r="O1339" t="s">
        <v>54</v>
      </c>
      <c r="P1339" t="s">
        <v>27</v>
      </c>
      <c r="Q1339" t="s">
        <v>46</v>
      </c>
      <c r="R1339" s="2">
        <v>0.58333333333333337</v>
      </c>
    </row>
    <row r="1340" spans="1:18" x14ac:dyDescent="0.25">
      <c r="A1340" t="s">
        <v>2873</v>
      </c>
      <c r="B1340" t="s">
        <v>1347</v>
      </c>
      <c r="C1340" s="1">
        <v>45175</v>
      </c>
      <c r="D1340" s="1" t="str">
        <f>TEXT(Delivery_data[[#This Row],[Order date]], "MMMM")</f>
        <v>September</v>
      </c>
      <c r="E1340" s="1" t="str">
        <f>TEXT(Delivery_data[[#This Row],[Order date]], "DDDD")</f>
        <v>Wednesday</v>
      </c>
      <c r="F1340" s="2">
        <v>0.33333333333333331</v>
      </c>
      <c r="G1340" t="s">
        <v>48</v>
      </c>
      <c r="H1340" t="str">
        <f>IF(Delivery_data[[#This Row],[Order Status]] = "In Progress", "Backlog", "Complete")</f>
        <v>Backlog</v>
      </c>
      <c r="I1340" t="s">
        <v>81</v>
      </c>
      <c r="J1340" t="s">
        <v>1631</v>
      </c>
      <c r="K1340" t="s">
        <v>24</v>
      </c>
      <c r="L1340">
        <v>161</v>
      </c>
      <c r="M1340">
        <v>7</v>
      </c>
      <c r="N1340" t="s">
        <v>25</v>
      </c>
      <c r="O1340" t="s">
        <v>50</v>
      </c>
      <c r="P1340" t="s">
        <v>45</v>
      </c>
      <c r="Q1340" t="s">
        <v>28</v>
      </c>
      <c r="R1340" s="2">
        <v>0.3840277777777778</v>
      </c>
    </row>
    <row r="1341" spans="1:18" x14ac:dyDescent="0.25">
      <c r="A1341" t="s">
        <v>2921</v>
      </c>
      <c r="B1341" t="s">
        <v>1394</v>
      </c>
      <c r="C1341" s="1">
        <v>45172</v>
      </c>
      <c r="D1341" s="1" t="str">
        <f>TEXT(Delivery_data[[#This Row],[Order date]], "MMMM")</f>
        <v>September</v>
      </c>
      <c r="E1341" s="1" t="str">
        <f>TEXT(Delivery_data[[#This Row],[Order date]], "DDDD")</f>
        <v>Sunday</v>
      </c>
      <c r="F1341" s="2">
        <v>0.47152777777777777</v>
      </c>
      <c r="G1341" t="s">
        <v>48</v>
      </c>
      <c r="H1341" t="str">
        <f>IF(Delivery_data[[#This Row],[Order Status]] = "In Progress", "Backlog", "Complete")</f>
        <v>Backlog</v>
      </c>
      <c r="I1341" t="s">
        <v>81</v>
      </c>
      <c r="J1341" t="s">
        <v>1631</v>
      </c>
      <c r="K1341" t="s">
        <v>61</v>
      </c>
      <c r="L1341">
        <v>170</v>
      </c>
      <c r="M1341">
        <v>24</v>
      </c>
      <c r="N1341" t="s">
        <v>25</v>
      </c>
      <c r="O1341" t="s">
        <v>54</v>
      </c>
      <c r="P1341" t="s">
        <v>45</v>
      </c>
      <c r="Q1341" t="s">
        <v>51</v>
      </c>
      <c r="R1341" s="2">
        <v>0.42222222222222222</v>
      </c>
    </row>
    <row r="1342" spans="1:18" x14ac:dyDescent="0.25">
      <c r="A1342" t="s">
        <v>3035</v>
      </c>
      <c r="B1342" t="s">
        <v>1505</v>
      </c>
      <c r="C1342" s="1">
        <v>45170</v>
      </c>
      <c r="D1342" s="1" t="str">
        <f>TEXT(Delivery_data[[#This Row],[Order date]], "MMMM")</f>
        <v>September</v>
      </c>
      <c r="E1342" s="1" t="str">
        <f>TEXT(Delivery_data[[#This Row],[Order date]], "DDDD")</f>
        <v>Friday</v>
      </c>
      <c r="F1342" s="2">
        <v>0.62430555555555556</v>
      </c>
      <c r="G1342" t="s">
        <v>22</v>
      </c>
      <c r="H1342" t="str">
        <f>IF(Delivery_data[[#This Row],[Order Status]] = "In Progress", "Backlog", "Complete")</f>
        <v>Complete</v>
      </c>
      <c r="I1342" t="s">
        <v>81</v>
      </c>
      <c r="J1342" t="s">
        <v>1637</v>
      </c>
      <c r="K1342" t="s">
        <v>24</v>
      </c>
      <c r="L1342">
        <v>130</v>
      </c>
      <c r="M1342">
        <v>6</v>
      </c>
      <c r="N1342" t="s">
        <v>25</v>
      </c>
      <c r="O1342" t="s">
        <v>33</v>
      </c>
      <c r="P1342" t="s">
        <v>34</v>
      </c>
      <c r="Q1342" t="s">
        <v>46</v>
      </c>
      <c r="R1342" s="2">
        <v>0.74236111111111114</v>
      </c>
    </row>
    <row r="1343" spans="1:18" x14ac:dyDescent="0.25">
      <c r="A1343" t="s">
        <v>3112</v>
      </c>
      <c r="B1343" t="s">
        <v>1578</v>
      </c>
      <c r="C1343" s="1">
        <v>45171</v>
      </c>
      <c r="D1343" s="1" t="str">
        <f>TEXT(Delivery_data[[#This Row],[Order date]], "MMMM")</f>
        <v>September</v>
      </c>
      <c r="E1343" s="1" t="str">
        <f>TEXT(Delivery_data[[#This Row],[Order date]], "DDDD")</f>
        <v>Saturday</v>
      </c>
      <c r="F1343" s="2">
        <v>0.47569444444444442</v>
      </c>
      <c r="G1343" t="s">
        <v>22</v>
      </c>
      <c r="H1343" t="str">
        <f>IF(Delivery_data[[#This Row],[Order Status]] = "In Progress", "Backlog", "Complete")</f>
        <v>Complete</v>
      </c>
      <c r="I1343" t="s">
        <v>81</v>
      </c>
      <c r="J1343" t="s">
        <v>1633</v>
      </c>
      <c r="K1343" t="s">
        <v>31</v>
      </c>
      <c r="L1343">
        <v>155</v>
      </c>
      <c r="M1343">
        <v>9</v>
      </c>
      <c r="N1343" t="s">
        <v>38</v>
      </c>
      <c r="O1343" t="s">
        <v>26</v>
      </c>
      <c r="P1343" t="s">
        <v>45</v>
      </c>
      <c r="Q1343" t="s">
        <v>28</v>
      </c>
      <c r="R1343" s="2">
        <v>0.3611111111111111</v>
      </c>
    </row>
    <row r="1344" spans="1:18" x14ac:dyDescent="0.25">
      <c r="A1344" t="s">
        <v>1661</v>
      </c>
      <c r="B1344" t="s">
        <v>95</v>
      </c>
      <c r="C1344" s="1">
        <v>45176</v>
      </c>
      <c r="D1344" s="1" t="str">
        <f>TEXT(Delivery_data[[#This Row],[Order date]], "MMMM")</f>
        <v>September</v>
      </c>
      <c r="E1344" s="1" t="str">
        <f>TEXT(Delivery_data[[#This Row],[Order date]], "DDDD")</f>
        <v>Thursday</v>
      </c>
      <c r="F1344" s="2">
        <v>0.69791666666666663</v>
      </c>
      <c r="G1344" t="s">
        <v>48</v>
      </c>
      <c r="H1344" t="str">
        <f>IF(Delivery_data[[#This Row],[Order Status]] = "In Progress", "Backlog", "Complete")</f>
        <v>Backlog</v>
      </c>
      <c r="I1344" t="s">
        <v>96</v>
      </c>
      <c r="J1344" t="s">
        <v>1637</v>
      </c>
      <c r="K1344" t="s">
        <v>24</v>
      </c>
      <c r="L1344">
        <v>196</v>
      </c>
      <c r="M1344">
        <v>13</v>
      </c>
      <c r="N1344" t="s">
        <v>38</v>
      </c>
      <c r="O1344" t="s">
        <v>26</v>
      </c>
      <c r="P1344" t="s">
        <v>34</v>
      </c>
      <c r="Q1344" t="s">
        <v>46</v>
      </c>
      <c r="R1344" s="2">
        <v>0.4236111111111111</v>
      </c>
    </row>
    <row r="1345" spans="1:18" x14ac:dyDescent="0.25">
      <c r="A1345" t="s">
        <v>2101</v>
      </c>
      <c r="B1345" t="s">
        <v>606</v>
      </c>
      <c r="C1345" s="1">
        <v>45176</v>
      </c>
      <c r="D1345" s="1" t="str">
        <f>TEXT(Delivery_data[[#This Row],[Order date]], "MMMM")</f>
        <v>September</v>
      </c>
      <c r="E1345" s="1" t="str">
        <f>TEXT(Delivery_data[[#This Row],[Order date]], "DDDD")</f>
        <v>Thursday</v>
      </c>
      <c r="F1345" s="2">
        <v>0.34166666666666667</v>
      </c>
      <c r="G1345" t="s">
        <v>22</v>
      </c>
      <c r="H1345" t="str">
        <f>IF(Delivery_data[[#This Row],[Order Status]] = "In Progress", "Backlog", "Complete")</f>
        <v>Complete</v>
      </c>
      <c r="I1345" t="s">
        <v>96</v>
      </c>
      <c r="J1345" t="s">
        <v>1631</v>
      </c>
      <c r="K1345" t="s">
        <v>24</v>
      </c>
      <c r="L1345">
        <v>70</v>
      </c>
      <c r="M1345">
        <v>8</v>
      </c>
      <c r="N1345" t="s">
        <v>38</v>
      </c>
      <c r="O1345" t="s">
        <v>54</v>
      </c>
      <c r="P1345" t="s">
        <v>27</v>
      </c>
      <c r="Q1345" t="s">
        <v>46</v>
      </c>
      <c r="R1345" s="2">
        <v>0.38680555555555557</v>
      </c>
    </row>
    <row r="1346" spans="1:18" x14ac:dyDescent="0.25">
      <c r="A1346" t="s">
        <v>2404</v>
      </c>
      <c r="B1346" t="s">
        <v>899</v>
      </c>
      <c r="C1346" s="1">
        <v>45173</v>
      </c>
      <c r="D1346" s="1" t="str">
        <f>TEXT(Delivery_data[[#This Row],[Order date]], "MMMM")</f>
        <v>September</v>
      </c>
      <c r="E1346" s="1" t="str">
        <f>TEXT(Delivery_data[[#This Row],[Order date]], "DDDD")</f>
        <v>Monday</v>
      </c>
      <c r="F1346" s="2">
        <v>0.41805555555555557</v>
      </c>
      <c r="G1346" t="s">
        <v>22</v>
      </c>
      <c r="H1346" t="str">
        <f>IF(Delivery_data[[#This Row],[Order Status]] = "In Progress", "Backlog", "Complete")</f>
        <v>Complete</v>
      </c>
      <c r="I1346" t="s">
        <v>96</v>
      </c>
      <c r="J1346" t="s">
        <v>1631</v>
      </c>
      <c r="K1346" t="s">
        <v>37</v>
      </c>
      <c r="L1346">
        <v>114</v>
      </c>
      <c r="M1346">
        <v>3</v>
      </c>
      <c r="N1346" t="s">
        <v>38</v>
      </c>
      <c r="O1346" t="s">
        <v>54</v>
      </c>
      <c r="P1346" t="s">
        <v>27</v>
      </c>
      <c r="Q1346" t="s">
        <v>51</v>
      </c>
      <c r="R1346" s="2">
        <v>0.40972222222222221</v>
      </c>
    </row>
    <row r="1347" spans="1:18" x14ac:dyDescent="0.25">
      <c r="A1347" t="s">
        <v>2536</v>
      </c>
      <c r="B1347" t="s">
        <v>1024</v>
      </c>
      <c r="C1347" s="1">
        <v>45172</v>
      </c>
      <c r="D1347" s="1" t="str">
        <f>TEXT(Delivery_data[[#This Row],[Order date]], "MMMM")</f>
        <v>September</v>
      </c>
      <c r="E1347" s="1" t="str">
        <f>TEXT(Delivery_data[[#This Row],[Order date]], "DDDD")</f>
        <v>Sunday</v>
      </c>
      <c r="F1347" s="2">
        <v>0.57291666666666663</v>
      </c>
      <c r="G1347" t="s">
        <v>22</v>
      </c>
      <c r="H1347" t="str">
        <f>IF(Delivery_data[[#This Row],[Order Status]] = "In Progress", "Backlog", "Complete")</f>
        <v>Complete</v>
      </c>
      <c r="I1347" t="s">
        <v>96</v>
      </c>
      <c r="J1347" t="s">
        <v>1633</v>
      </c>
      <c r="K1347" t="s">
        <v>24</v>
      </c>
      <c r="L1347">
        <v>229</v>
      </c>
      <c r="M1347">
        <v>10</v>
      </c>
      <c r="N1347" t="s">
        <v>32</v>
      </c>
      <c r="O1347" t="s">
        <v>26</v>
      </c>
      <c r="P1347" t="s">
        <v>27</v>
      </c>
      <c r="Q1347" t="s">
        <v>51</v>
      </c>
      <c r="R1347" s="2">
        <v>0.44861111111111113</v>
      </c>
    </row>
    <row r="1348" spans="1:18" x14ac:dyDescent="0.25">
      <c r="A1348" t="s">
        <v>2696</v>
      </c>
      <c r="B1348" t="s">
        <v>1177</v>
      </c>
      <c r="C1348" s="1">
        <v>45176</v>
      </c>
      <c r="D1348" s="1" t="str">
        <f>TEXT(Delivery_data[[#This Row],[Order date]], "MMMM")</f>
        <v>September</v>
      </c>
      <c r="E1348" s="1" t="str">
        <f>TEXT(Delivery_data[[#This Row],[Order date]], "DDDD")</f>
        <v>Thursday</v>
      </c>
      <c r="F1348" s="2">
        <v>0.625</v>
      </c>
      <c r="G1348" t="s">
        <v>22</v>
      </c>
      <c r="H1348" t="str">
        <f>IF(Delivery_data[[#This Row],[Order Status]] = "In Progress", "Backlog", "Complete")</f>
        <v>Complete</v>
      </c>
      <c r="I1348" t="s">
        <v>96</v>
      </c>
      <c r="J1348" t="s">
        <v>1633</v>
      </c>
      <c r="K1348" t="s">
        <v>31</v>
      </c>
      <c r="L1348">
        <v>170</v>
      </c>
      <c r="M1348">
        <v>28</v>
      </c>
      <c r="N1348" t="s">
        <v>38</v>
      </c>
      <c r="O1348" t="s">
        <v>54</v>
      </c>
      <c r="P1348" t="s">
        <v>34</v>
      </c>
      <c r="Q1348" t="s">
        <v>46</v>
      </c>
      <c r="R1348" s="2">
        <v>0.70902777777777781</v>
      </c>
    </row>
    <row r="1349" spans="1:18" x14ac:dyDescent="0.25">
      <c r="A1349" t="s">
        <v>2881</v>
      </c>
      <c r="B1349" t="s">
        <v>1354</v>
      </c>
      <c r="C1349" s="1">
        <v>45172</v>
      </c>
      <c r="D1349" s="1" t="str">
        <f>TEXT(Delivery_data[[#This Row],[Order date]], "MMMM")</f>
        <v>September</v>
      </c>
      <c r="E1349" s="1" t="str">
        <f>TEXT(Delivery_data[[#This Row],[Order date]], "DDDD")</f>
        <v>Sunday</v>
      </c>
      <c r="F1349" s="2">
        <v>0.56597222222222221</v>
      </c>
      <c r="G1349" t="s">
        <v>22</v>
      </c>
      <c r="H1349" t="str">
        <f>IF(Delivery_data[[#This Row],[Order Status]] = "In Progress", "Backlog", "Complete")</f>
        <v>Complete</v>
      </c>
      <c r="I1349" t="s">
        <v>96</v>
      </c>
      <c r="J1349" t="s">
        <v>1637</v>
      </c>
      <c r="K1349" t="s">
        <v>31</v>
      </c>
      <c r="L1349">
        <v>154</v>
      </c>
      <c r="M1349">
        <v>12</v>
      </c>
      <c r="N1349" t="s">
        <v>32</v>
      </c>
      <c r="O1349" t="s">
        <v>41</v>
      </c>
      <c r="P1349" t="s">
        <v>45</v>
      </c>
      <c r="Q1349" t="s">
        <v>46</v>
      </c>
      <c r="R1349" s="2">
        <v>0.62916666666666665</v>
      </c>
    </row>
    <row r="1350" spans="1:18" x14ac:dyDescent="0.25">
      <c r="A1350" t="s">
        <v>2908</v>
      </c>
      <c r="B1350" t="s">
        <v>1381</v>
      </c>
      <c r="C1350" s="1">
        <v>45177</v>
      </c>
      <c r="D1350" s="1" t="str">
        <f>TEXT(Delivery_data[[#This Row],[Order date]], "MMMM")</f>
        <v>September</v>
      </c>
      <c r="E1350" s="1" t="str">
        <f>TEXT(Delivery_data[[#This Row],[Order date]], "DDDD")</f>
        <v>Friday</v>
      </c>
      <c r="F1350" s="2">
        <v>0.43680555555555556</v>
      </c>
      <c r="G1350" t="s">
        <v>48</v>
      </c>
      <c r="H1350" t="str">
        <f>IF(Delivery_data[[#This Row],[Order Status]] = "In Progress", "Backlog", "Complete")</f>
        <v>Backlog</v>
      </c>
      <c r="I1350" t="s">
        <v>96</v>
      </c>
      <c r="J1350" t="s">
        <v>1637</v>
      </c>
      <c r="K1350" t="s">
        <v>61</v>
      </c>
      <c r="L1350">
        <v>97</v>
      </c>
      <c r="M1350">
        <v>22</v>
      </c>
      <c r="N1350" t="s">
        <v>38</v>
      </c>
      <c r="O1350" t="s">
        <v>54</v>
      </c>
      <c r="P1350" t="s">
        <v>45</v>
      </c>
      <c r="Q1350" t="s">
        <v>28</v>
      </c>
      <c r="R1350" s="2">
        <v>0.43472222222222223</v>
      </c>
    </row>
    <row r="1351" spans="1:18" x14ac:dyDescent="0.25">
      <c r="A1351" t="s">
        <v>2947</v>
      </c>
      <c r="B1351" t="s">
        <v>1420</v>
      </c>
      <c r="C1351" s="1">
        <v>45172</v>
      </c>
      <c r="D1351" s="1" t="str">
        <f>TEXT(Delivery_data[[#This Row],[Order date]], "MMMM")</f>
        <v>September</v>
      </c>
      <c r="E1351" s="1" t="str">
        <f>TEXT(Delivery_data[[#This Row],[Order date]], "DDDD")</f>
        <v>Sunday</v>
      </c>
      <c r="F1351" s="2">
        <v>0.43402777777777779</v>
      </c>
      <c r="G1351" t="s">
        <v>48</v>
      </c>
      <c r="H1351" t="str">
        <f>IF(Delivery_data[[#This Row],[Order Status]] = "In Progress", "Backlog", "Complete")</f>
        <v>Backlog</v>
      </c>
      <c r="I1351" t="s">
        <v>96</v>
      </c>
      <c r="J1351" t="s">
        <v>1633</v>
      </c>
      <c r="K1351" t="s">
        <v>24</v>
      </c>
      <c r="L1351">
        <v>170</v>
      </c>
      <c r="M1351">
        <v>12</v>
      </c>
      <c r="N1351" t="s">
        <v>38</v>
      </c>
      <c r="O1351" t="s">
        <v>54</v>
      </c>
      <c r="P1351" t="s">
        <v>45</v>
      </c>
      <c r="Q1351" t="s">
        <v>46</v>
      </c>
      <c r="R1351" s="2">
        <v>0.64930555555555558</v>
      </c>
    </row>
    <row r="1352" spans="1:18" x14ac:dyDescent="0.25">
      <c r="A1352" t="s">
        <v>1654</v>
      </c>
      <c r="B1352" t="s">
        <v>82</v>
      </c>
      <c r="C1352" s="1">
        <v>45175</v>
      </c>
      <c r="D1352" s="1" t="str">
        <f>TEXT(Delivery_data[[#This Row],[Order date]], "MMMM")</f>
        <v>September</v>
      </c>
      <c r="E1352" s="1" t="str">
        <f>TEXT(Delivery_data[[#This Row],[Order date]], "DDDD")</f>
        <v>Wednesday</v>
      </c>
      <c r="F1352" s="2">
        <v>0.50347222222222221</v>
      </c>
      <c r="G1352" t="s">
        <v>22</v>
      </c>
      <c r="H1352" t="str">
        <f>IF(Delivery_data[[#This Row],[Order Status]] = "In Progress", "Backlog", "Complete")</f>
        <v>Complete</v>
      </c>
      <c r="I1352" t="s">
        <v>83</v>
      </c>
      <c r="J1352" t="s">
        <v>1631</v>
      </c>
      <c r="K1352" t="s">
        <v>61</v>
      </c>
      <c r="L1352">
        <v>232</v>
      </c>
      <c r="M1352">
        <v>21</v>
      </c>
      <c r="N1352" t="s">
        <v>38</v>
      </c>
      <c r="O1352" t="s">
        <v>54</v>
      </c>
      <c r="P1352" t="s">
        <v>27</v>
      </c>
      <c r="Q1352" t="s">
        <v>46</v>
      </c>
      <c r="R1352" s="2">
        <v>0.57708333333333328</v>
      </c>
    </row>
    <row r="1353" spans="1:18" x14ac:dyDescent="0.25">
      <c r="A1353" t="s">
        <v>1740</v>
      </c>
      <c r="B1353" t="s">
        <v>218</v>
      </c>
      <c r="C1353" s="1">
        <v>45177</v>
      </c>
      <c r="D1353" s="1" t="str">
        <f>TEXT(Delivery_data[[#This Row],[Order date]], "MMMM")</f>
        <v>September</v>
      </c>
      <c r="E1353" s="1" t="str">
        <f>TEXT(Delivery_data[[#This Row],[Order date]], "DDDD")</f>
        <v>Friday</v>
      </c>
      <c r="F1353" s="2">
        <v>0.5625</v>
      </c>
      <c r="G1353" t="s">
        <v>48</v>
      </c>
      <c r="H1353" t="str">
        <f>IF(Delivery_data[[#This Row],[Order Status]] = "In Progress", "Backlog", "Complete")</f>
        <v>Backlog</v>
      </c>
      <c r="I1353" t="s">
        <v>83</v>
      </c>
      <c r="J1353" t="s">
        <v>1637</v>
      </c>
      <c r="K1353" t="s">
        <v>31</v>
      </c>
      <c r="L1353">
        <v>203</v>
      </c>
      <c r="M1353">
        <v>24</v>
      </c>
      <c r="N1353" t="s">
        <v>25</v>
      </c>
      <c r="O1353" t="s">
        <v>26</v>
      </c>
      <c r="P1353" t="s">
        <v>34</v>
      </c>
      <c r="Q1353" t="s">
        <v>51</v>
      </c>
      <c r="R1353" s="2">
        <v>0.41319444444444442</v>
      </c>
    </row>
    <row r="1354" spans="1:18" x14ac:dyDescent="0.25">
      <c r="A1354" t="s">
        <v>1840</v>
      </c>
      <c r="B1354" t="s">
        <v>339</v>
      </c>
      <c r="C1354" s="1">
        <v>45170</v>
      </c>
      <c r="D1354" s="1" t="str">
        <f>TEXT(Delivery_data[[#This Row],[Order date]], "MMMM")</f>
        <v>September</v>
      </c>
      <c r="E1354" s="1" t="str">
        <f>TEXT(Delivery_data[[#This Row],[Order date]], "DDDD")</f>
        <v>Friday</v>
      </c>
      <c r="F1354" s="2">
        <v>0.49583333333333335</v>
      </c>
      <c r="G1354" t="s">
        <v>22</v>
      </c>
      <c r="H1354" t="str">
        <f>IF(Delivery_data[[#This Row],[Order Status]] = "In Progress", "Backlog", "Complete")</f>
        <v>Complete</v>
      </c>
      <c r="I1354" t="s">
        <v>83</v>
      </c>
      <c r="J1354" t="s">
        <v>1631</v>
      </c>
      <c r="K1354" t="s">
        <v>44</v>
      </c>
      <c r="L1354">
        <v>135</v>
      </c>
      <c r="M1354">
        <v>21</v>
      </c>
      <c r="N1354" t="s">
        <v>25</v>
      </c>
      <c r="O1354" t="s">
        <v>26</v>
      </c>
      <c r="P1354" t="s">
        <v>34</v>
      </c>
      <c r="Q1354" t="s">
        <v>51</v>
      </c>
      <c r="R1354" s="2">
        <v>0.5708333333333333</v>
      </c>
    </row>
    <row r="1355" spans="1:18" x14ac:dyDescent="0.25">
      <c r="A1355" t="s">
        <v>1845</v>
      </c>
      <c r="B1355" t="s">
        <v>344</v>
      </c>
      <c r="C1355" s="1">
        <v>45177</v>
      </c>
      <c r="D1355" s="1" t="str">
        <f>TEXT(Delivery_data[[#This Row],[Order date]], "MMMM")</f>
        <v>September</v>
      </c>
      <c r="E1355" s="1" t="str">
        <f>TEXT(Delivery_data[[#This Row],[Order date]], "DDDD")</f>
        <v>Friday</v>
      </c>
      <c r="F1355" s="2">
        <v>0.63472222222222219</v>
      </c>
      <c r="G1355" t="s">
        <v>48</v>
      </c>
      <c r="H1355" t="str">
        <f>IF(Delivery_data[[#This Row],[Order Status]] = "In Progress", "Backlog", "Complete")</f>
        <v>Backlog</v>
      </c>
      <c r="I1355" t="s">
        <v>83</v>
      </c>
      <c r="J1355" t="s">
        <v>1637</v>
      </c>
      <c r="K1355" t="s">
        <v>44</v>
      </c>
      <c r="L1355">
        <v>129</v>
      </c>
      <c r="M1355">
        <v>5</v>
      </c>
      <c r="N1355" t="s">
        <v>32</v>
      </c>
      <c r="O1355" t="s">
        <v>54</v>
      </c>
      <c r="P1355" t="s">
        <v>27</v>
      </c>
      <c r="Q1355" t="s">
        <v>28</v>
      </c>
      <c r="R1355" s="2">
        <v>0.37152777777777779</v>
      </c>
    </row>
    <row r="1356" spans="1:18" x14ac:dyDescent="0.25">
      <c r="A1356" t="s">
        <v>1997</v>
      </c>
      <c r="B1356" t="s">
        <v>502</v>
      </c>
      <c r="C1356" s="1">
        <v>45170</v>
      </c>
      <c r="D1356" s="1" t="str">
        <f>TEXT(Delivery_data[[#This Row],[Order date]], "MMMM")</f>
        <v>September</v>
      </c>
      <c r="E1356" s="1" t="str">
        <f>TEXT(Delivery_data[[#This Row],[Order date]], "DDDD")</f>
        <v>Friday</v>
      </c>
      <c r="F1356" s="2">
        <v>0.59791666666666665</v>
      </c>
      <c r="G1356" t="s">
        <v>48</v>
      </c>
      <c r="H1356" t="str">
        <f>IF(Delivery_data[[#This Row],[Order Status]] = "In Progress", "Backlog", "Complete")</f>
        <v>Backlog</v>
      </c>
      <c r="I1356" t="s">
        <v>83</v>
      </c>
      <c r="J1356" t="s">
        <v>1633</v>
      </c>
      <c r="K1356" t="s">
        <v>44</v>
      </c>
      <c r="L1356">
        <v>85</v>
      </c>
      <c r="M1356">
        <v>9</v>
      </c>
      <c r="N1356" t="s">
        <v>25</v>
      </c>
      <c r="O1356" t="s">
        <v>50</v>
      </c>
      <c r="P1356" t="s">
        <v>27</v>
      </c>
      <c r="Q1356" t="s">
        <v>28</v>
      </c>
      <c r="R1356" s="2">
        <v>0.59791666666666665</v>
      </c>
    </row>
    <row r="1357" spans="1:18" x14ac:dyDescent="0.25">
      <c r="A1357" t="s">
        <v>2336</v>
      </c>
      <c r="B1357" t="s">
        <v>834</v>
      </c>
      <c r="C1357" s="1">
        <v>45170</v>
      </c>
      <c r="D1357" s="1" t="str">
        <f>TEXT(Delivery_data[[#This Row],[Order date]], "MMMM")</f>
        <v>September</v>
      </c>
      <c r="E1357" s="1" t="str">
        <f>TEXT(Delivery_data[[#This Row],[Order date]], "DDDD")</f>
        <v>Friday</v>
      </c>
      <c r="F1357" s="2">
        <v>0.45902777777777776</v>
      </c>
      <c r="G1357" t="s">
        <v>22</v>
      </c>
      <c r="H1357" t="str">
        <f>IF(Delivery_data[[#This Row],[Order Status]] = "In Progress", "Backlog", "Complete")</f>
        <v>Complete</v>
      </c>
      <c r="I1357" t="s">
        <v>83</v>
      </c>
      <c r="J1357" t="s">
        <v>1637</v>
      </c>
      <c r="K1357" t="s">
        <v>44</v>
      </c>
      <c r="L1357">
        <v>108</v>
      </c>
      <c r="M1357">
        <v>26</v>
      </c>
      <c r="N1357" t="s">
        <v>38</v>
      </c>
      <c r="O1357" t="s">
        <v>50</v>
      </c>
      <c r="P1357" t="s">
        <v>45</v>
      </c>
      <c r="Q1357" t="s">
        <v>28</v>
      </c>
      <c r="R1357" s="2">
        <v>0.62291666666666667</v>
      </c>
    </row>
    <row r="1358" spans="1:18" x14ac:dyDescent="0.25">
      <c r="A1358" t="s">
        <v>2353</v>
      </c>
      <c r="B1358" t="s">
        <v>711</v>
      </c>
      <c r="C1358" s="1">
        <v>45176</v>
      </c>
      <c r="D1358" s="1" t="str">
        <f>TEXT(Delivery_data[[#This Row],[Order date]], "MMMM")</f>
        <v>September</v>
      </c>
      <c r="E1358" s="1" t="str">
        <f>TEXT(Delivery_data[[#This Row],[Order date]], "DDDD")</f>
        <v>Thursday</v>
      </c>
      <c r="F1358" s="2">
        <v>0.3611111111111111</v>
      </c>
      <c r="G1358" t="s">
        <v>22</v>
      </c>
      <c r="H1358" t="str">
        <f>IF(Delivery_data[[#This Row],[Order Status]] = "In Progress", "Backlog", "Complete")</f>
        <v>Complete</v>
      </c>
      <c r="I1358" t="s">
        <v>83</v>
      </c>
      <c r="J1358" t="s">
        <v>1633</v>
      </c>
      <c r="K1358" t="s">
        <v>31</v>
      </c>
      <c r="L1358">
        <v>90</v>
      </c>
      <c r="M1358">
        <v>24</v>
      </c>
      <c r="N1358" t="s">
        <v>32</v>
      </c>
      <c r="O1358" t="s">
        <v>41</v>
      </c>
      <c r="P1358" t="s">
        <v>27</v>
      </c>
      <c r="Q1358" t="s">
        <v>51</v>
      </c>
      <c r="R1358" s="2">
        <v>0.34930555555555554</v>
      </c>
    </row>
    <row r="1359" spans="1:18" x14ac:dyDescent="0.25">
      <c r="A1359" t="s">
        <v>2533</v>
      </c>
      <c r="B1359" t="s">
        <v>1021</v>
      </c>
      <c r="C1359" s="1">
        <v>45170</v>
      </c>
      <c r="D1359" s="1" t="str">
        <f>TEXT(Delivery_data[[#This Row],[Order date]], "MMMM")</f>
        <v>September</v>
      </c>
      <c r="E1359" s="1" t="str">
        <f>TEXT(Delivery_data[[#This Row],[Order date]], "DDDD")</f>
        <v>Friday</v>
      </c>
      <c r="F1359" s="2">
        <v>0.63194444444444442</v>
      </c>
      <c r="G1359" t="s">
        <v>48</v>
      </c>
      <c r="H1359" t="str">
        <f>IF(Delivery_data[[#This Row],[Order Status]] = "In Progress", "Backlog", "Complete")</f>
        <v>Backlog</v>
      </c>
      <c r="I1359" t="s">
        <v>83</v>
      </c>
      <c r="J1359" t="s">
        <v>1637</v>
      </c>
      <c r="K1359" t="s">
        <v>24</v>
      </c>
      <c r="L1359">
        <v>214</v>
      </c>
      <c r="M1359">
        <v>16</v>
      </c>
      <c r="N1359" t="s">
        <v>38</v>
      </c>
      <c r="O1359" t="s">
        <v>26</v>
      </c>
      <c r="P1359" t="s">
        <v>34</v>
      </c>
      <c r="Q1359" t="s">
        <v>51</v>
      </c>
      <c r="R1359" s="2">
        <v>0.72013888888888888</v>
      </c>
    </row>
    <row r="1360" spans="1:18" x14ac:dyDescent="0.25">
      <c r="A1360" t="s">
        <v>2615</v>
      </c>
      <c r="B1360" t="s">
        <v>1099</v>
      </c>
      <c r="C1360" s="1">
        <v>45176</v>
      </c>
      <c r="D1360" s="1" t="str">
        <f>TEXT(Delivery_data[[#This Row],[Order date]], "MMMM")</f>
        <v>September</v>
      </c>
      <c r="E1360" s="1" t="str">
        <f>TEXT(Delivery_data[[#This Row],[Order date]], "DDDD")</f>
        <v>Thursday</v>
      </c>
      <c r="F1360" s="2">
        <v>0.43611111111111112</v>
      </c>
      <c r="G1360" t="s">
        <v>22</v>
      </c>
      <c r="H1360" t="str">
        <f>IF(Delivery_data[[#This Row],[Order Status]] = "In Progress", "Backlog", "Complete")</f>
        <v>Complete</v>
      </c>
      <c r="I1360" t="s">
        <v>83</v>
      </c>
      <c r="J1360" t="s">
        <v>1633</v>
      </c>
      <c r="K1360" t="s">
        <v>31</v>
      </c>
      <c r="L1360">
        <v>203</v>
      </c>
      <c r="M1360">
        <v>24</v>
      </c>
      <c r="N1360" t="s">
        <v>32</v>
      </c>
      <c r="O1360" t="s">
        <v>33</v>
      </c>
      <c r="P1360" t="s">
        <v>45</v>
      </c>
      <c r="Q1360" t="s">
        <v>28</v>
      </c>
      <c r="R1360" s="2">
        <v>0.46111111111111114</v>
      </c>
    </row>
    <row r="1361" spans="1:18" x14ac:dyDescent="0.25">
      <c r="A1361" t="s">
        <v>2673</v>
      </c>
      <c r="B1361" t="s">
        <v>1156</v>
      </c>
      <c r="C1361" s="1">
        <v>45177</v>
      </c>
      <c r="D1361" s="1" t="str">
        <f>TEXT(Delivery_data[[#This Row],[Order date]], "MMMM")</f>
        <v>September</v>
      </c>
      <c r="E1361" s="1" t="str">
        <f>TEXT(Delivery_data[[#This Row],[Order date]], "DDDD")</f>
        <v>Friday</v>
      </c>
      <c r="F1361" s="2">
        <v>0.44305555555555554</v>
      </c>
      <c r="G1361" t="s">
        <v>48</v>
      </c>
      <c r="H1361" t="str">
        <f>IF(Delivery_data[[#This Row],[Order Status]] = "In Progress", "Backlog", "Complete")</f>
        <v>Backlog</v>
      </c>
      <c r="I1361" t="s">
        <v>83</v>
      </c>
      <c r="J1361" t="s">
        <v>1631</v>
      </c>
      <c r="K1361" t="s">
        <v>37</v>
      </c>
      <c r="L1361">
        <v>218</v>
      </c>
      <c r="M1361">
        <v>28</v>
      </c>
      <c r="N1361" t="s">
        <v>32</v>
      </c>
      <c r="O1361" t="s">
        <v>54</v>
      </c>
      <c r="P1361" t="s">
        <v>34</v>
      </c>
      <c r="Q1361" t="s">
        <v>46</v>
      </c>
      <c r="R1361" s="2">
        <v>0.67152777777777772</v>
      </c>
    </row>
    <row r="1362" spans="1:18" x14ac:dyDescent="0.25">
      <c r="A1362" t="s">
        <v>2766</v>
      </c>
      <c r="B1362" t="s">
        <v>1244</v>
      </c>
      <c r="C1362" s="1">
        <v>45171</v>
      </c>
      <c r="D1362" s="1" t="str">
        <f>TEXT(Delivery_data[[#This Row],[Order date]], "MMMM")</f>
        <v>September</v>
      </c>
      <c r="E1362" s="1" t="str">
        <f>TEXT(Delivery_data[[#This Row],[Order date]], "DDDD")</f>
        <v>Saturday</v>
      </c>
      <c r="F1362" s="2">
        <v>0.43125000000000002</v>
      </c>
      <c r="G1362" t="s">
        <v>48</v>
      </c>
      <c r="H1362" t="str">
        <f>IF(Delivery_data[[#This Row],[Order Status]] = "In Progress", "Backlog", "Complete")</f>
        <v>Backlog</v>
      </c>
      <c r="I1362" t="s">
        <v>83</v>
      </c>
      <c r="J1362" t="s">
        <v>1633</v>
      </c>
      <c r="K1362" t="s">
        <v>37</v>
      </c>
      <c r="L1362">
        <v>64</v>
      </c>
      <c r="M1362">
        <v>18</v>
      </c>
      <c r="N1362" t="s">
        <v>38</v>
      </c>
      <c r="O1362" t="s">
        <v>41</v>
      </c>
      <c r="P1362" t="s">
        <v>45</v>
      </c>
      <c r="Q1362" t="s">
        <v>51</v>
      </c>
      <c r="R1362" s="2">
        <v>0.52222222222222225</v>
      </c>
    </row>
    <row r="1363" spans="1:18" x14ac:dyDescent="0.25">
      <c r="A1363" t="s">
        <v>3075</v>
      </c>
      <c r="B1363" t="s">
        <v>1543</v>
      </c>
      <c r="C1363" s="1">
        <v>45173</v>
      </c>
      <c r="D1363" s="1" t="str">
        <f>TEXT(Delivery_data[[#This Row],[Order date]], "MMMM")</f>
        <v>September</v>
      </c>
      <c r="E1363" s="1" t="str">
        <f>TEXT(Delivery_data[[#This Row],[Order date]], "DDDD")</f>
        <v>Monday</v>
      </c>
      <c r="F1363" s="2">
        <v>0.42986111111111114</v>
      </c>
      <c r="G1363" t="s">
        <v>48</v>
      </c>
      <c r="H1363" t="str">
        <f>IF(Delivery_data[[#This Row],[Order Status]] = "In Progress", "Backlog", "Complete")</f>
        <v>Backlog</v>
      </c>
      <c r="I1363" t="s">
        <v>83</v>
      </c>
      <c r="J1363" t="s">
        <v>1631</v>
      </c>
      <c r="K1363" t="s">
        <v>31</v>
      </c>
      <c r="L1363">
        <v>80</v>
      </c>
      <c r="M1363">
        <v>7</v>
      </c>
      <c r="N1363" t="s">
        <v>25</v>
      </c>
      <c r="O1363" t="s">
        <v>41</v>
      </c>
      <c r="P1363" t="s">
        <v>27</v>
      </c>
      <c r="Q1363" t="s">
        <v>28</v>
      </c>
      <c r="R1363" s="2">
        <v>0.70416666666666672</v>
      </c>
    </row>
    <row r="1364" spans="1:18" x14ac:dyDescent="0.25">
      <c r="A1364" t="s">
        <v>3113</v>
      </c>
      <c r="B1364" t="s">
        <v>1579</v>
      </c>
      <c r="C1364" s="1">
        <v>45177</v>
      </c>
      <c r="D1364" s="1" t="str">
        <f>TEXT(Delivery_data[[#This Row],[Order date]], "MMMM")</f>
        <v>September</v>
      </c>
      <c r="E1364" s="1" t="str">
        <f>TEXT(Delivery_data[[#This Row],[Order date]], "DDDD")</f>
        <v>Friday</v>
      </c>
      <c r="F1364" s="2">
        <v>0.58263888888888893</v>
      </c>
      <c r="G1364" t="s">
        <v>48</v>
      </c>
      <c r="H1364" t="str">
        <f>IF(Delivery_data[[#This Row],[Order Status]] = "In Progress", "Backlog", "Complete")</f>
        <v>Backlog</v>
      </c>
      <c r="I1364" t="s">
        <v>83</v>
      </c>
      <c r="J1364" t="s">
        <v>1633</v>
      </c>
      <c r="K1364" t="s">
        <v>61</v>
      </c>
      <c r="L1364">
        <v>224</v>
      </c>
      <c r="M1364">
        <v>14</v>
      </c>
      <c r="N1364" t="s">
        <v>25</v>
      </c>
      <c r="O1364" t="s">
        <v>50</v>
      </c>
      <c r="P1364" t="s">
        <v>27</v>
      </c>
      <c r="Q1364" t="s">
        <v>51</v>
      </c>
      <c r="R1364" s="2">
        <v>0.37013888888888891</v>
      </c>
    </row>
    <row r="1365" spans="1:18" x14ac:dyDescent="0.25">
      <c r="A1365" t="s">
        <v>1798</v>
      </c>
      <c r="B1365" t="s">
        <v>292</v>
      </c>
      <c r="C1365" s="1">
        <v>45174</v>
      </c>
      <c r="D1365" s="1" t="str">
        <f>TEXT(Delivery_data[[#This Row],[Order date]], "MMMM")</f>
        <v>September</v>
      </c>
      <c r="E1365" s="1" t="str">
        <f>TEXT(Delivery_data[[#This Row],[Order date]], "DDDD")</f>
        <v>Tuesday</v>
      </c>
      <c r="F1365" s="2">
        <v>0.33680555555555558</v>
      </c>
      <c r="G1365" t="s">
        <v>22</v>
      </c>
      <c r="H1365" t="str">
        <f>IF(Delivery_data[[#This Row],[Order Status]] = "In Progress", "Backlog", "Complete")</f>
        <v>Complete</v>
      </c>
      <c r="I1365" t="s">
        <v>293</v>
      </c>
      <c r="J1365" t="s">
        <v>1633</v>
      </c>
      <c r="K1365" t="s">
        <v>44</v>
      </c>
      <c r="L1365">
        <v>155</v>
      </c>
      <c r="M1365">
        <v>13</v>
      </c>
      <c r="N1365" t="s">
        <v>38</v>
      </c>
      <c r="O1365" t="s">
        <v>41</v>
      </c>
      <c r="P1365" t="s">
        <v>34</v>
      </c>
      <c r="Q1365" t="s">
        <v>28</v>
      </c>
      <c r="R1365" s="2">
        <v>0.42083333333333334</v>
      </c>
    </row>
    <row r="1366" spans="1:18" x14ac:dyDescent="0.25">
      <c r="A1366" t="s">
        <v>1861</v>
      </c>
      <c r="B1366" t="s">
        <v>322</v>
      </c>
      <c r="C1366" s="1">
        <v>45172</v>
      </c>
      <c r="D1366" s="1" t="str">
        <f>TEXT(Delivery_data[[#This Row],[Order date]], "MMMM")</f>
        <v>September</v>
      </c>
      <c r="E1366" s="1" t="str">
        <f>TEXT(Delivery_data[[#This Row],[Order date]], "DDDD")</f>
        <v>Sunday</v>
      </c>
      <c r="F1366" s="2">
        <v>0.62013888888888891</v>
      </c>
      <c r="G1366" t="s">
        <v>48</v>
      </c>
      <c r="H1366" t="str">
        <f>IF(Delivery_data[[#This Row],[Order Status]] = "In Progress", "Backlog", "Complete")</f>
        <v>Backlog</v>
      </c>
      <c r="I1366" t="s">
        <v>293</v>
      </c>
      <c r="J1366" t="s">
        <v>1633</v>
      </c>
      <c r="K1366" t="s">
        <v>31</v>
      </c>
      <c r="L1366">
        <v>75</v>
      </c>
      <c r="M1366">
        <v>1</v>
      </c>
      <c r="N1366" t="s">
        <v>38</v>
      </c>
      <c r="O1366" t="s">
        <v>50</v>
      </c>
      <c r="P1366" t="s">
        <v>34</v>
      </c>
      <c r="Q1366" t="s">
        <v>51</v>
      </c>
      <c r="R1366" s="2">
        <v>0.3840277777777778</v>
      </c>
    </row>
    <row r="1367" spans="1:18" x14ac:dyDescent="0.25">
      <c r="A1367" t="s">
        <v>2184</v>
      </c>
      <c r="B1367" t="s">
        <v>685</v>
      </c>
      <c r="C1367" s="1">
        <v>45173</v>
      </c>
      <c r="D1367" s="1" t="str">
        <f>TEXT(Delivery_data[[#This Row],[Order date]], "MMMM")</f>
        <v>September</v>
      </c>
      <c r="E1367" s="1" t="str">
        <f>TEXT(Delivery_data[[#This Row],[Order date]], "DDDD")</f>
        <v>Monday</v>
      </c>
      <c r="F1367" s="2">
        <v>0.35625000000000001</v>
      </c>
      <c r="G1367" t="s">
        <v>22</v>
      </c>
      <c r="H1367" t="str">
        <f>IF(Delivery_data[[#This Row],[Order Status]] = "In Progress", "Backlog", "Complete")</f>
        <v>Complete</v>
      </c>
      <c r="I1367" t="s">
        <v>293</v>
      </c>
      <c r="J1367" t="s">
        <v>1637</v>
      </c>
      <c r="K1367" t="s">
        <v>31</v>
      </c>
      <c r="L1367">
        <v>101</v>
      </c>
      <c r="M1367">
        <v>8</v>
      </c>
      <c r="N1367" t="s">
        <v>32</v>
      </c>
      <c r="O1367" t="s">
        <v>50</v>
      </c>
      <c r="P1367" t="s">
        <v>45</v>
      </c>
      <c r="Q1367" t="s">
        <v>28</v>
      </c>
      <c r="R1367" s="2">
        <v>0.5756944444444444</v>
      </c>
    </row>
    <row r="1368" spans="1:18" x14ac:dyDescent="0.25">
      <c r="A1368" t="s">
        <v>2213</v>
      </c>
      <c r="B1368" t="s">
        <v>714</v>
      </c>
      <c r="C1368" s="1">
        <v>45176</v>
      </c>
      <c r="D1368" s="1" t="str">
        <f>TEXT(Delivery_data[[#This Row],[Order date]], "MMMM")</f>
        <v>September</v>
      </c>
      <c r="E1368" s="1" t="str">
        <f>TEXT(Delivery_data[[#This Row],[Order date]], "DDDD")</f>
        <v>Thursday</v>
      </c>
      <c r="F1368" s="2">
        <v>0.34722222222222221</v>
      </c>
      <c r="G1368" t="s">
        <v>22</v>
      </c>
      <c r="H1368" t="str">
        <f>IF(Delivery_data[[#This Row],[Order Status]] = "In Progress", "Backlog", "Complete")</f>
        <v>Complete</v>
      </c>
      <c r="I1368" t="s">
        <v>293</v>
      </c>
      <c r="J1368" t="s">
        <v>1637</v>
      </c>
      <c r="K1368" t="s">
        <v>37</v>
      </c>
      <c r="L1368">
        <v>76</v>
      </c>
      <c r="M1368">
        <v>10</v>
      </c>
      <c r="N1368" t="s">
        <v>32</v>
      </c>
      <c r="O1368" t="s">
        <v>41</v>
      </c>
      <c r="P1368" t="s">
        <v>27</v>
      </c>
      <c r="Q1368" t="s">
        <v>28</v>
      </c>
      <c r="R1368" s="2">
        <v>0.61041666666666672</v>
      </c>
    </row>
    <row r="1369" spans="1:18" x14ac:dyDescent="0.25">
      <c r="A1369" t="s">
        <v>2258</v>
      </c>
      <c r="B1369" t="s">
        <v>758</v>
      </c>
      <c r="C1369" s="1">
        <v>45176</v>
      </c>
      <c r="D1369" s="1" t="str">
        <f>TEXT(Delivery_data[[#This Row],[Order date]], "MMMM")</f>
        <v>September</v>
      </c>
      <c r="E1369" s="1" t="str">
        <f>TEXT(Delivery_data[[#This Row],[Order date]], "DDDD")</f>
        <v>Thursday</v>
      </c>
      <c r="F1369" s="2">
        <v>0.5756944444444444</v>
      </c>
      <c r="G1369" t="s">
        <v>48</v>
      </c>
      <c r="H1369" t="str">
        <f>IF(Delivery_data[[#This Row],[Order Status]] = "In Progress", "Backlog", "Complete")</f>
        <v>Backlog</v>
      </c>
      <c r="I1369" t="s">
        <v>293</v>
      </c>
      <c r="J1369" t="s">
        <v>1631</v>
      </c>
      <c r="K1369" t="s">
        <v>44</v>
      </c>
      <c r="L1369">
        <v>189</v>
      </c>
      <c r="M1369">
        <v>26</v>
      </c>
      <c r="N1369" t="s">
        <v>38</v>
      </c>
      <c r="O1369" t="s">
        <v>50</v>
      </c>
      <c r="P1369" t="s">
        <v>27</v>
      </c>
      <c r="Q1369" t="s">
        <v>51</v>
      </c>
      <c r="R1369" s="2">
        <v>0.46805555555555556</v>
      </c>
    </row>
    <row r="1370" spans="1:18" x14ac:dyDescent="0.25">
      <c r="A1370" t="s">
        <v>2342</v>
      </c>
      <c r="B1370" t="s">
        <v>840</v>
      </c>
      <c r="C1370" s="1">
        <v>45175</v>
      </c>
      <c r="D1370" s="1" t="str">
        <f>TEXT(Delivery_data[[#This Row],[Order date]], "MMMM")</f>
        <v>September</v>
      </c>
      <c r="E1370" s="1" t="str">
        <f>TEXT(Delivery_data[[#This Row],[Order date]], "DDDD")</f>
        <v>Wednesday</v>
      </c>
      <c r="F1370" s="2">
        <v>0.47499999999999998</v>
      </c>
      <c r="G1370" t="s">
        <v>22</v>
      </c>
      <c r="H1370" t="str">
        <f>IF(Delivery_data[[#This Row],[Order Status]] = "In Progress", "Backlog", "Complete")</f>
        <v>Complete</v>
      </c>
      <c r="I1370" t="s">
        <v>293</v>
      </c>
      <c r="J1370" t="s">
        <v>1633</v>
      </c>
      <c r="K1370" t="s">
        <v>37</v>
      </c>
      <c r="L1370">
        <v>194</v>
      </c>
      <c r="M1370">
        <v>17</v>
      </c>
      <c r="N1370" t="s">
        <v>32</v>
      </c>
      <c r="O1370" t="s">
        <v>41</v>
      </c>
      <c r="P1370" t="s">
        <v>27</v>
      </c>
      <c r="Q1370" t="s">
        <v>28</v>
      </c>
      <c r="R1370" s="2">
        <v>0.73055555555555551</v>
      </c>
    </row>
    <row r="1371" spans="1:18" x14ac:dyDescent="0.25">
      <c r="A1371" t="s">
        <v>2462</v>
      </c>
      <c r="B1371" t="s">
        <v>954</v>
      </c>
      <c r="C1371" s="1">
        <v>45170</v>
      </c>
      <c r="D1371" s="1" t="str">
        <f>TEXT(Delivery_data[[#This Row],[Order date]], "MMMM")</f>
        <v>September</v>
      </c>
      <c r="E1371" s="1" t="str">
        <f>TEXT(Delivery_data[[#This Row],[Order date]], "DDDD")</f>
        <v>Friday</v>
      </c>
      <c r="F1371" s="2">
        <v>0.5708333333333333</v>
      </c>
      <c r="G1371" t="s">
        <v>48</v>
      </c>
      <c r="H1371" t="str">
        <f>IF(Delivery_data[[#This Row],[Order Status]] = "In Progress", "Backlog", "Complete")</f>
        <v>Backlog</v>
      </c>
      <c r="I1371" t="s">
        <v>293</v>
      </c>
      <c r="J1371" t="s">
        <v>1631</v>
      </c>
      <c r="K1371" t="s">
        <v>31</v>
      </c>
      <c r="L1371">
        <v>80</v>
      </c>
      <c r="M1371">
        <v>8</v>
      </c>
      <c r="N1371" t="s">
        <v>25</v>
      </c>
      <c r="O1371" t="s">
        <v>41</v>
      </c>
      <c r="P1371" t="s">
        <v>34</v>
      </c>
      <c r="Q1371" t="s">
        <v>28</v>
      </c>
      <c r="R1371" s="2">
        <v>0.67083333333333328</v>
      </c>
    </row>
    <row r="1372" spans="1:18" x14ac:dyDescent="0.25">
      <c r="A1372" t="s">
        <v>2686</v>
      </c>
      <c r="B1372" t="s">
        <v>697</v>
      </c>
      <c r="C1372" s="1">
        <v>45174</v>
      </c>
      <c r="D1372" s="1" t="str">
        <f>TEXT(Delivery_data[[#This Row],[Order date]], "MMMM")</f>
        <v>September</v>
      </c>
      <c r="E1372" s="1" t="str">
        <f>TEXT(Delivery_data[[#This Row],[Order date]], "DDDD")</f>
        <v>Tuesday</v>
      </c>
      <c r="F1372" s="2">
        <v>0.62083333333333335</v>
      </c>
      <c r="G1372" t="s">
        <v>48</v>
      </c>
      <c r="H1372" t="str">
        <f>IF(Delivery_data[[#This Row],[Order Status]] = "In Progress", "Backlog", "Complete")</f>
        <v>Backlog</v>
      </c>
      <c r="I1372" t="s">
        <v>293</v>
      </c>
      <c r="J1372" t="s">
        <v>1633</v>
      </c>
      <c r="K1372" t="s">
        <v>61</v>
      </c>
      <c r="L1372">
        <v>142</v>
      </c>
      <c r="M1372">
        <v>22</v>
      </c>
      <c r="N1372" t="s">
        <v>32</v>
      </c>
      <c r="O1372" t="s">
        <v>26</v>
      </c>
      <c r="P1372" t="s">
        <v>45</v>
      </c>
      <c r="Q1372" t="s">
        <v>46</v>
      </c>
      <c r="R1372" s="2">
        <v>0.37638888888888888</v>
      </c>
    </row>
    <row r="1373" spans="1:18" x14ac:dyDescent="0.25">
      <c r="A1373" t="s">
        <v>2739</v>
      </c>
      <c r="B1373" t="s">
        <v>1219</v>
      </c>
      <c r="C1373" s="1">
        <v>45176</v>
      </c>
      <c r="D1373" s="1" t="str">
        <f>TEXT(Delivery_data[[#This Row],[Order date]], "MMMM")</f>
        <v>September</v>
      </c>
      <c r="E1373" s="1" t="str">
        <f>TEXT(Delivery_data[[#This Row],[Order date]], "DDDD")</f>
        <v>Thursday</v>
      </c>
      <c r="F1373" s="2">
        <v>0.40416666666666667</v>
      </c>
      <c r="G1373" t="s">
        <v>48</v>
      </c>
      <c r="H1373" t="str">
        <f>IF(Delivery_data[[#This Row],[Order Status]] = "In Progress", "Backlog", "Complete")</f>
        <v>Backlog</v>
      </c>
      <c r="I1373" t="s">
        <v>293</v>
      </c>
      <c r="J1373" t="s">
        <v>1633</v>
      </c>
      <c r="K1373" t="s">
        <v>24</v>
      </c>
      <c r="L1373">
        <v>98</v>
      </c>
      <c r="M1373">
        <v>26</v>
      </c>
      <c r="N1373" t="s">
        <v>38</v>
      </c>
      <c r="O1373" t="s">
        <v>26</v>
      </c>
      <c r="P1373" t="s">
        <v>45</v>
      </c>
      <c r="Q1373" t="s">
        <v>51</v>
      </c>
      <c r="R1373" s="2">
        <v>0.58125000000000004</v>
      </c>
    </row>
    <row r="1374" spans="1:18" x14ac:dyDescent="0.25">
      <c r="A1374" t="s">
        <v>2785</v>
      </c>
      <c r="B1374" t="s">
        <v>1262</v>
      </c>
      <c r="C1374" s="1">
        <v>45172</v>
      </c>
      <c r="D1374" s="1" t="str">
        <f>TEXT(Delivery_data[[#This Row],[Order date]], "MMMM")</f>
        <v>September</v>
      </c>
      <c r="E1374" s="1" t="str">
        <f>TEXT(Delivery_data[[#This Row],[Order date]], "DDDD")</f>
        <v>Sunday</v>
      </c>
      <c r="F1374" s="2">
        <v>0.42430555555555555</v>
      </c>
      <c r="G1374" t="s">
        <v>22</v>
      </c>
      <c r="H1374" t="str">
        <f>IF(Delivery_data[[#This Row],[Order Status]] = "In Progress", "Backlog", "Complete")</f>
        <v>Complete</v>
      </c>
      <c r="I1374" t="s">
        <v>293</v>
      </c>
      <c r="J1374" t="s">
        <v>1633</v>
      </c>
      <c r="K1374" t="s">
        <v>37</v>
      </c>
      <c r="L1374">
        <v>181</v>
      </c>
      <c r="M1374">
        <v>16</v>
      </c>
      <c r="N1374" t="s">
        <v>38</v>
      </c>
      <c r="O1374" t="s">
        <v>26</v>
      </c>
      <c r="P1374" t="s">
        <v>45</v>
      </c>
      <c r="Q1374" t="s">
        <v>28</v>
      </c>
      <c r="R1374" s="2">
        <v>0.61319444444444449</v>
      </c>
    </row>
    <row r="1375" spans="1:18" x14ac:dyDescent="0.25">
      <c r="A1375" t="s">
        <v>2831</v>
      </c>
      <c r="B1375" t="s">
        <v>1307</v>
      </c>
      <c r="C1375" s="1">
        <v>45170</v>
      </c>
      <c r="D1375" s="1" t="str">
        <f>TEXT(Delivery_data[[#This Row],[Order date]], "MMMM")</f>
        <v>September</v>
      </c>
      <c r="E1375" s="1" t="str">
        <f>TEXT(Delivery_data[[#This Row],[Order date]], "DDDD")</f>
        <v>Friday</v>
      </c>
      <c r="F1375" s="2">
        <v>0.48680555555555555</v>
      </c>
      <c r="G1375" t="s">
        <v>48</v>
      </c>
      <c r="H1375" t="str">
        <f>IF(Delivery_data[[#This Row],[Order Status]] = "In Progress", "Backlog", "Complete")</f>
        <v>Backlog</v>
      </c>
      <c r="I1375" t="s">
        <v>293</v>
      </c>
      <c r="J1375" t="s">
        <v>1637</v>
      </c>
      <c r="K1375" t="s">
        <v>37</v>
      </c>
      <c r="L1375">
        <v>68</v>
      </c>
      <c r="M1375">
        <v>4</v>
      </c>
      <c r="N1375" t="s">
        <v>32</v>
      </c>
      <c r="O1375" t="s">
        <v>26</v>
      </c>
      <c r="P1375" t="s">
        <v>45</v>
      </c>
      <c r="Q1375" t="s">
        <v>46</v>
      </c>
      <c r="R1375" s="2">
        <v>0.4826388888888889</v>
      </c>
    </row>
    <row r="1376" spans="1:18" x14ac:dyDescent="0.25">
      <c r="A1376" t="s">
        <v>2944</v>
      </c>
      <c r="B1376" t="s">
        <v>1417</v>
      </c>
      <c r="C1376" s="1">
        <v>45176</v>
      </c>
      <c r="D1376" s="1" t="str">
        <f>TEXT(Delivery_data[[#This Row],[Order date]], "MMMM")</f>
        <v>September</v>
      </c>
      <c r="E1376" s="1" t="str">
        <f>TEXT(Delivery_data[[#This Row],[Order date]], "DDDD")</f>
        <v>Thursday</v>
      </c>
      <c r="F1376" s="2">
        <v>0.70208333333333328</v>
      </c>
      <c r="G1376" t="s">
        <v>22</v>
      </c>
      <c r="H1376" t="str">
        <f>IF(Delivery_data[[#This Row],[Order Status]] = "In Progress", "Backlog", "Complete")</f>
        <v>Complete</v>
      </c>
      <c r="I1376" t="s">
        <v>293</v>
      </c>
      <c r="J1376" t="s">
        <v>1631</v>
      </c>
      <c r="K1376" t="s">
        <v>37</v>
      </c>
      <c r="L1376">
        <v>130</v>
      </c>
      <c r="M1376">
        <v>28</v>
      </c>
      <c r="N1376" t="s">
        <v>32</v>
      </c>
      <c r="O1376" t="s">
        <v>26</v>
      </c>
      <c r="P1376" t="s">
        <v>27</v>
      </c>
      <c r="Q1376" t="s">
        <v>46</v>
      </c>
      <c r="R1376" s="2">
        <v>0.42083333333333334</v>
      </c>
    </row>
    <row r="1377" spans="1:18" x14ac:dyDescent="0.25">
      <c r="A1377" t="s">
        <v>2950</v>
      </c>
      <c r="B1377" t="s">
        <v>1423</v>
      </c>
      <c r="C1377" s="1">
        <v>45172</v>
      </c>
      <c r="D1377" s="1" t="str">
        <f>TEXT(Delivery_data[[#This Row],[Order date]], "MMMM")</f>
        <v>September</v>
      </c>
      <c r="E1377" s="1" t="str">
        <f>TEXT(Delivery_data[[#This Row],[Order date]], "DDDD")</f>
        <v>Sunday</v>
      </c>
      <c r="F1377" s="2">
        <v>0.37013888888888891</v>
      </c>
      <c r="G1377" t="s">
        <v>22</v>
      </c>
      <c r="H1377" t="str">
        <f>IF(Delivery_data[[#This Row],[Order Status]] = "In Progress", "Backlog", "Complete")</f>
        <v>Complete</v>
      </c>
      <c r="I1377" t="s">
        <v>293</v>
      </c>
      <c r="J1377" t="s">
        <v>1633</v>
      </c>
      <c r="K1377" t="s">
        <v>37</v>
      </c>
      <c r="L1377">
        <v>94</v>
      </c>
      <c r="M1377">
        <v>18</v>
      </c>
      <c r="N1377" t="s">
        <v>38</v>
      </c>
      <c r="O1377" t="s">
        <v>54</v>
      </c>
      <c r="P1377" t="s">
        <v>45</v>
      </c>
      <c r="Q1377" t="s">
        <v>46</v>
      </c>
      <c r="R1377" s="2">
        <v>0.41736111111111113</v>
      </c>
    </row>
    <row r="1378" spans="1:18" x14ac:dyDescent="0.25">
      <c r="A1378" t="s">
        <v>1764</v>
      </c>
      <c r="B1378" t="s">
        <v>249</v>
      </c>
      <c r="C1378" s="1">
        <v>45171</v>
      </c>
      <c r="D1378" s="1" t="str">
        <f>TEXT(Delivery_data[[#This Row],[Order date]], "MMMM")</f>
        <v>September</v>
      </c>
      <c r="E1378" s="1" t="str">
        <f>TEXT(Delivery_data[[#This Row],[Order date]], "DDDD")</f>
        <v>Saturday</v>
      </c>
      <c r="F1378" s="2">
        <v>0.5180555555555556</v>
      </c>
      <c r="G1378" t="s">
        <v>22</v>
      </c>
      <c r="H1378" t="str">
        <f>IF(Delivery_data[[#This Row],[Order Status]] = "In Progress", "Backlog", "Complete")</f>
        <v>Complete</v>
      </c>
      <c r="I1378" t="s">
        <v>250</v>
      </c>
      <c r="J1378" t="s">
        <v>1637</v>
      </c>
      <c r="K1378" t="s">
        <v>61</v>
      </c>
      <c r="L1378">
        <v>69</v>
      </c>
      <c r="M1378">
        <v>23</v>
      </c>
      <c r="N1378" t="s">
        <v>25</v>
      </c>
      <c r="O1378" t="s">
        <v>26</v>
      </c>
      <c r="P1378" t="s">
        <v>27</v>
      </c>
      <c r="Q1378" t="s">
        <v>46</v>
      </c>
      <c r="R1378" s="2">
        <v>0.61805555555555558</v>
      </c>
    </row>
    <row r="1379" spans="1:18" x14ac:dyDescent="0.25">
      <c r="A1379" t="s">
        <v>1827</v>
      </c>
      <c r="B1379" t="s">
        <v>325</v>
      </c>
      <c r="C1379" s="1">
        <v>45174</v>
      </c>
      <c r="D1379" s="1" t="str">
        <f>TEXT(Delivery_data[[#This Row],[Order date]], "MMMM")</f>
        <v>September</v>
      </c>
      <c r="E1379" s="1" t="str">
        <f>TEXT(Delivery_data[[#This Row],[Order date]], "DDDD")</f>
        <v>Tuesday</v>
      </c>
      <c r="F1379" s="2">
        <v>0.42291666666666666</v>
      </c>
      <c r="G1379" t="s">
        <v>22</v>
      </c>
      <c r="H1379" t="str">
        <f>IF(Delivery_data[[#This Row],[Order Status]] = "In Progress", "Backlog", "Complete")</f>
        <v>Complete</v>
      </c>
      <c r="I1379" t="s">
        <v>250</v>
      </c>
      <c r="J1379" t="s">
        <v>1631</v>
      </c>
      <c r="K1379" t="s">
        <v>24</v>
      </c>
      <c r="L1379">
        <v>146</v>
      </c>
      <c r="M1379">
        <v>12</v>
      </c>
      <c r="N1379" t="s">
        <v>25</v>
      </c>
      <c r="O1379" t="s">
        <v>33</v>
      </c>
      <c r="P1379" t="s">
        <v>27</v>
      </c>
      <c r="Q1379" t="s">
        <v>51</v>
      </c>
      <c r="R1379" s="2">
        <v>0.63402777777777775</v>
      </c>
    </row>
    <row r="1380" spans="1:18" x14ac:dyDescent="0.25">
      <c r="A1380" t="s">
        <v>1938</v>
      </c>
      <c r="B1380" t="s">
        <v>441</v>
      </c>
      <c r="C1380" s="1">
        <v>45176</v>
      </c>
      <c r="D1380" s="1" t="str">
        <f>TEXT(Delivery_data[[#This Row],[Order date]], "MMMM")</f>
        <v>September</v>
      </c>
      <c r="E1380" s="1" t="str">
        <f>TEXT(Delivery_data[[#This Row],[Order date]], "DDDD")</f>
        <v>Thursday</v>
      </c>
      <c r="F1380" s="2">
        <v>0.70763888888888893</v>
      </c>
      <c r="G1380" t="s">
        <v>48</v>
      </c>
      <c r="H1380" t="str">
        <f>IF(Delivery_data[[#This Row],[Order Status]] = "In Progress", "Backlog", "Complete")</f>
        <v>Backlog</v>
      </c>
      <c r="I1380" t="s">
        <v>250</v>
      </c>
      <c r="J1380" t="s">
        <v>1631</v>
      </c>
      <c r="K1380" t="s">
        <v>31</v>
      </c>
      <c r="L1380">
        <v>171</v>
      </c>
      <c r="M1380">
        <v>15</v>
      </c>
      <c r="N1380" t="s">
        <v>32</v>
      </c>
      <c r="O1380" t="s">
        <v>54</v>
      </c>
      <c r="P1380" t="s">
        <v>27</v>
      </c>
      <c r="Q1380" t="s">
        <v>28</v>
      </c>
      <c r="R1380" s="2">
        <v>0.6645833333333333</v>
      </c>
    </row>
    <row r="1381" spans="1:18" x14ac:dyDescent="0.25">
      <c r="A1381" t="s">
        <v>2071</v>
      </c>
      <c r="B1381" t="s">
        <v>576</v>
      </c>
      <c r="C1381" s="1">
        <v>45173</v>
      </c>
      <c r="D1381" s="1" t="str">
        <f>TEXT(Delivery_data[[#This Row],[Order date]], "MMMM")</f>
        <v>September</v>
      </c>
      <c r="E1381" s="1" t="str">
        <f>TEXT(Delivery_data[[#This Row],[Order date]], "DDDD")</f>
        <v>Monday</v>
      </c>
      <c r="F1381" s="2">
        <v>0.67222222222222228</v>
      </c>
      <c r="G1381" t="s">
        <v>22</v>
      </c>
      <c r="H1381" t="str">
        <f>IF(Delivery_data[[#This Row],[Order Status]] = "In Progress", "Backlog", "Complete")</f>
        <v>Complete</v>
      </c>
      <c r="I1381" t="s">
        <v>250</v>
      </c>
      <c r="J1381" t="s">
        <v>1637</v>
      </c>
      <c r="K1381" t="s">
        <v>37</v>
      </c>
      <c r="L1381">
        <v>200</v>
      </c>
      <c r="M1381">
        <v>20</v>
      </c>
      <c r="N1381" t="s">
        <v>32</v>
      </c>
      <c r="O1381" t="s">
        <v>33</v>
      </c>
      <c r="P1381" t="s">
        <v>45</v>
      </c>
      <c r="Q1381" t="s">
        <v>46</v>
      </c>
      <c r="R1381" s="2">
        <v>0.66666666666666663</v>
      </c>
    </row>
    <row r="1382" spans="1:18" x14ac:dyDescent="0.25">
      <c r="A1382" t="s">
        <v>2151</v>
      </c>
      <c r="B1382" t="s">
        <v>654</v>
      </c>
      <c r="C1382" s="1">
        <v>45177</v>
      </c>
      <c r="D1382" s="1" t="str">
        <f>TEXT(Delivery_data[[#This Row],[Order date]], "MMMM")</f>
        <v>September</v>
      </c>
      <c r="E1382" s="1" t="str">
        <f>TEXT(Delivery_data[[#This Row],[Order date]], "DDDD")</f>
        <v>Friday</v>
      </c>
      <c r="F1382" s="2">
        <v>0.70347222222222228</v>
      </c>
      <c r="G1382" t="s">
        <v>48</v>
      </c>
      <c r="H1382" t="str">
        <f>IF(Delivery_data[[#This Row],[Order Status]] = "In Progress", "Backlog", "Complete")</f>
        <v>Backlog</v>
      </c>
      <c r="I1382" t="s">
        <v>250</v>
      </c>
      <c r="J1382" t="s">
        <v>1637</v>
      </c>
      <c r="K1382" t="s">
        <v>61</v>
      </c>
      <c r="L1382">
        <v>172</v>
      </c>
      <c r="M1382">
        <v>27</v>
      </c>
      <c r="N1382" t="s">
        <v>32</v>
      </c>
      <c r="O1382" t="s">
        <v>50</v>
      </c>
      <c r="P1382" t="s">
        <v>27</v>
      </c>
      <c r="Q1382" t="s">
        <v>28</v>
      </c>
      <c r="R1382" s="2">
        <v>0.52638888888888891</v>
      </c>
    </row>
    <row r="1383" spans="1:18" x14ac:dyDescent="0.25">
      <c r="A1383" t="s">
        <v>2288</v>
      </c>
      <c r="B1383" t="s">
        <v>787</v>
      </c>
      <c r="C1383" s="1">
        <v>45170</v>
      </c>
      <c r="D1383" s="1" t="str">
        <f>TEXT(Delivery_data[[#This Row],[Order date]], "MMMM")</f>
        <v>September</v>
      </c>
      <c r="E1383" s="1" t="str">
        <f>TEXT(Delivery_data[[#This Row],[Order date]], "DDDD")</f>
        <v>Friday</v>
      </c>
      <c r="F1383" s="2">
        <v>0.40138888888888891</v>
      </c>
      <c r="G1383" t="s">
        <v>48</v>
      </c>
      <c r="H1383" t="str">
        <f>IF(Delivery_data[[#This Row],[Order Status]] = "In Progress", "Backlog", "Complete")</f>
        <v>Backlog</v>
      </c>
      <c r="I1383" t="s">
        <v>250</v>
      </c>
      <c r="J1383" t="s">
        <v>1633</v>
      </c>
      <c r="K1383" t="s">
        <v>31</v>
      </c>
      <c r="L1383">
        <v>152</v>
      </c>
      <c r="M1383">
        <v>20</v>
      </c>
      <c r="N1383" t="s">
        <v>32</v>
      </c>
      <c r="O1383" t="s">
        <v>26</v>
      </c>
      <c r="P1383" t="s">
        <v>34</v>
      </c>
      <c r="Q1383" t="s">
        <v>28</v>
      </c>
      <c r="R1383" s="2">
        <v>0.55138888888888893</v>
      </c>
    </row>
    <row r="1384" spans="1:18" x14ac:dyDescent="0.25">
      <c r="A1384" t="s">
        <v>2350</v>
      </c>
      <c r="B1384" t="s">
        <v>848</v>
      </c>
      <c r="C1384" s="1">
        <v>45170</v>
      </c>
      <c r="D1384" s="1" t="str">
        <f>TEXT(Delivery_data[[#This Row],[Order date]], "MMMM")</f>
        <v>September</v>
      </c>
      <c r="E1384" s="1" t="str">
        <f>TEXT(Delivery_data[[#This Row],[Order date]], "DDDD")</f>
        <v>Friday</v>
      </c>
      <c r="F1384" s="2">
        <v>0.375</v>
      </c>
      <c r="G1384" t="s">
        <v>22</v>
      </c>
      <c r="H1384" t="str">
        <f>IF(Delivery_data[[#This Row],[Order Status]] = "In Progress", "Backlog", "Complete")</f>
        <v>Complete</v>
      </c>
      <c r="I1384" t="s">
        <v>250</v>
      </c>
      <c r="J1384" t="s">
        <v>1631</v>
      </c>
      <c r="K1384" t="s">
        <v>24</v>
      </c>
      <c r="L1384">
        <v>90</v>
      </c>
      <c r="M1384">
        <v>9</v>
      </c>
      <c r="N1384" t="s">
        <v>25</v>
      </c>
      <c r="O1384" t="s">
        <v>50</v>
      </c>
      <c r="P1384" t="s">
        <v>34</v>
      </c>
      <c r="Q1384" t="s">
        <v>28</v>
      </c>
      <c r="R1384" s="2">
        <v>0.48472222222222222</v>
      </c>
    </row>
    <row r="1385" spans="1:18" x14ac:dyDescent="0.25">
      <c r="A1385" t="s">
        <v>2445</v>
      </c>
      <c r="B1385" t="s">
        <v>937</v>
      </c>
      <c r="C1385" s="1">
        <v>45173</v>
      </c>
      <c r="D1385" s="1" t="str">
        <f>TEXT(Delivery_data[[#This Row],[Order date]], "MMMM")</f>
        <v>September</v>
      </c>
      <c r="E1385" s="1" t="str">
        <f>TEXT(Delivery_data[[#This Row],[Order date]], "DDDD")</f>
        <v>Monday</v>
      </c>
      <c r="F1385" s="2">
        <v>0.43680555555555556</v>
      </c>
      <c r="G1385" t="s">
        <v>22</v>
      </c>
      <c r="H1385" t="str">
        <f>IF(Delivery_data[[#This Row],[Order Status]] = "In Progress", "Backlog", "Complete")</f>
        <v>Complete</v>
      </c>
      <c r="I1385" t="s">
        <v>250</v>
      </c>
      <c r="J1385" t="s">
        <v>1633</v>
      </c>
      <c r="K1385" t="s">
        <v>61</v>
      </c>
      <c r="L1385">
        <v>128</v>
      </c>
      <c r="M1385">
        <v>0</v>
      </c>
      <c r="N1385" t="s">
        <v>38</v>
      </c>
      <c r="O1385" t="s">
        <v>54</v>
      </c>
      <c r="P1385" t="s">
        <v>34</v>
      </c>
      <c r="Q1385" t="s">
        <v>28</v>
      </c>
      <c r="R1385" s="2">
        <v>0.40972222222222221</v>
      </c>
    </row>
    <row r="1386" spans="1:18" x14ac:dyDescent="0.25">
      <c r="A1386" t="s">
        <v>2478</v>
      </c>
      <c r="B1386" t="s">
        <v>969</v>
      </c>
      <c r="C1386" s="1">
        <v>45171</v>
      </c>
      <c r="D1386" s="1" t="str">
        <f>TEXT(Delivery_data[[#This Row],[Order date]], "MMMM")</f>
        <v>September</v>
      </c>
      <c r="E1386" s="1" t="str">
        <f>TEXT(Delivery_data[[#This Row],[Order date]], "DDDD")</f>
        <v>Saturday</v>
      </c>
      <c r="F1386" s="2">
        <v>0.50555555555555554</v>
      </c>
      <c r="G1386" t="s">
        <v>48</v>
      </c>
      <c r="H1386" t="str">
        <f>IF(Delivery_data[[#This Row],[Order Status]] = "In Progress", "Backlog", "Complete")</f>
        <v>Backlog</v>
      </c>
      <c r="I1386" t="s">
        <v>250</v>
      </c>
      <c r="J1386" t="s">
        <v>1631</v>
      </c>
      <c r="K1386" t="s">
        <v>24</v>
      </c>
      <c r="L1386">
        <v>168</v>
      </c>
      <c r="M1386">
        <v>12</v>
      </c>
      <c r="N1386" t="s">
        <v>32</v>
      </c>
      <c r="O1386" t="s">
        <v>54</v>
      </c>
      <c r="P1386" t="s">
        <v>27</v>
      </c>
      <c r="Q1386" t="s">
        <v>51</v>
      </c>
      <c r="R1386" s="2">
        <v>0.40138888888888891</v>
      </c>
    </row>
    <row r="1387" spans="1:18" x14ac:dyDescent="0.25">
      <c r="A1387" t="s">
        <v>2499</v>
      </c>
      <c r="B1387" t="s">
        <v>988</v>
      </c>
      <c r="C1387" s="1">
        <v>45177</v>
      </c>
      <c r="D1387" s="1" t="str">
        <f>TEXT(Delivery_data[[#This Row],[Order date]], "MMMM")</f>
        <v>September</v>
      </c>
      <c r="E1387" s="1" t="str">
        <f>TEXT(Delivery_data[[#This Row],[Order date]], "DDDD")</f>
        <v>Friday</v>
      </c>
      <c r="F1387" s="2">
        <v>0.48749999999999999</v>
      </c>
      <c r="G1387" t="s">
        <v>48</v>
      </c>
      <c r="H1387" t="str">
        <f>IF(Delivery_data[[#This Row],[Order Status]] = "In Progress", "Backlog", "Complete")</f>
        <v>Backlog</v>
      </c>
      <c r="I1387" t="s">
        <v>250</v>
      </c>
      <c r="J1387" t="s">
        <v>1637</v>
      </c>
      <c r="K1387" t="s">
        <v>31</v>
      </c>
      <c r="L1387">
        <v>186</v>
      </c>
      <c r="M1387">
        <v>15</v>
      </c>
      <c r="N1387" t="s">
        <v>25</v>
      </c>
      <c r="O1387" t="s">
        <v>41</v>
      </c>
      <c r="P1387" t="s">
        <v>27</v>
      </c>
      <c r="Q1387" t="s">
        <v>51</v>
      </c>
      <c r="R1387" s="2">
        <v>0.43194444444444446</v>
      </c>
    </row>
    <row r="1388" spans="1:18" x14ac:dyDescent="0.25">
      <c r="A1388" t="s">
        <v>2580</v>
      </c>
      <c r="B1388" t="s">
        <v>1064</v>
      </c>
      <c r="C1388" s="1">
        <v>45177</v>
      </c>
      <c r="D1388" s="1" t="str">
        <f>TEXT(Delivery_data[[#This Row],[Order date]], "MMMM")</f>
        <v>September</v>
      </c>
      <c r="E1388" s="1" t="str">
        <f>TEXT(Delivery_data[[#This Row],[Order date]], "DDDD")</f>
        <v>Friday</v>
      </c>
      <c r="F1388" s="2">
        <v>0.61319444444444449</v>
      </c>
      <c r="G1388" t="s">
        <v>48</v>
      </c>
      <c r="H1388" t="str">
        <f>IF(Delivery_data[[#This Row],[Order Status]] = "In Progress", "Backlog", "Complete")</f>
        <v>Backlog</v>
      </c>
      <c r="I1388" t="s">
        <v>250</v>
      </c>
      <c r="J1388" t="s">
        <v>1637</v>
      </c>
      <c r="K1388" t="s">
        <v>37</v>
      </c>
      <c r="L1388">
        <v>120</v>
      </c>
      <c r="M1388">
        <v>16</v>
      </c>
      <c r="N1388" t="s">
        <v>38</v>
      </c>
      <c r="O1388" t="s">
        <v>33</v>
      </c>
      <c r="P1388" t="s">
        <v>45</v>
      </c>
      <c r="Q1388" t="s">
        <v>46</v>
      </c>
      <c r="R1388" s="2">
        <v>0.46597222222222223</v>
      </c>
    </row>
    <row r="1389" spans="1:18" x14ac:dyDescent="0.25">
      <c r="A1389" t="s">
        <v>2640</v>
      </c>
      <c r="B1389" t="s">
        <v>1123</v>
      </c>
      <c r="C1389" s="1">
        <v>45170</v>
      </c>
      <c r="D1389" s="1" t="str">
        <f>TEXT(Delivery_data[[#This Row],[Order date]], "MMMM")</f>
        <v>September</v>
      </c>
      <c r="E1389" s="1" t="str">
        <f>TEXT(Delivery_data[[#This Row],[Order date]], "DDDD")</f>
        <v>Friday</v>
      </c>
      <c r="F1389" s="2">
        <v>0.61388888888888893</v>
      </c>
      <c r="G1389" t="s">
        <v>48</v>
      </c>
      <c r="H1389" t="str">
        <f>IF(Delivery_data[[#This Row],[Order Status]] = "In Progress", "Backlog", "Complete")</f>
        <v>Backlog</v>
      </c>
      <c r="I1389" t="s">
        <v>250</v>
      </c>
      <c r="J1389" t="s">
        <v>1637</v>
      </c>
      <c r="K1389" t="s">
        <v>37</v>
      </c>
      <c r="L1389">
        <v>79</v>
      </c>
      <c r="M1389">
        <v>12</v>
      </c>
      <c r="N1389" t="s">
        <v>25</v>
      </c>
      <c r="O1389" t="s">
        <v>50</v>
      </c>
      <c r="P1389" t="s">
        <v>27</v>
      </c>
      <c r="Q1389" t="s">
        <v>51</v>
      </c>
      <c r="R1389" s="2">
        <v>0.42986111111111114</v>
      </c>
    </row>
    <row r="1390" spans="1:18" x14ac:dyDescent="0.25">
      <c r="A1390" t="s">
        <v>2668</v>
      </c>
      <c r="B1390" t="s">
        <v>1151</v>
      </c>
      <c r="C1390" s="1">
        <v>45174</v>
      </c>
      <c r="D1390" s="1" t="str">
        <f>TEXT(Delivery_data[[#This Row],[Order date]], "MMMM")</f>
        <v>September</v>
      </c>
      <c r="E1390" s="1" t="str">
        <f>TEXT(Delivery_data[[#This Row],[Order date]], "DDDD")</f>
        <v>Tuesday</v>
      </c>
      <c r="F1390" s="2">
        <v>0.50972222222222219</v>
      </c>
      <c r="G1390" t="s">
        <v>48</v>
      </c>
      <c r="H1390" t="str">
        <f>IF(Delivery_data[[#This Row],[Order Status]] = "In Progress", "Backlog", "Complete")</f>
        <v>Backlog</v>
      </c>
      <c r="I1390" t="s">
        <v>250</v>
      </c>
      <c r="J1390" t="s">
        <v>1631</v>
      </c>
      <c r="K1390" t="s">
        <v>24</v>
      </c>
      <c r="L1390">
        <v>173</v>
      </c>
      <c r="M1390">
        <v>2</v>
      </c>
      <c r="N1390" t="s">
        <v>25</v>
      </c>
      <c r="O1390" t="s">
        <v>41</v>
      </c>
      <c r="P1390" t="s">
        <v>27</v>
      </c>
      <c r="Q1390" t="s">
        <v>28</v>
      </c>
      <c r="R1390" s="2">
        <v>0.34513888888888888</v>
      </c>
    </row>
    <row r="1391" spans="1:18" x14ac:dyDescent="0.25">
      <c r="A1391" t="s">
        <v>2743</v>
      </c>
      <c r="B1391" t="s">
        <v>1223</v>
      </c>
      <c r="C1391" s="1">
        <v>45175</v>
      </c>
      <c r="D1391" s="1" t="str">
        <f>TEXT(Delivery_data[[#This Row],[Order date]], "MMMM")</f>
        <v>September</v>
      </c>
      <c r="E1391" s="1" t="str">
        <f>TEXT(Delivery_data[[#This Row],[Order date]], "DDDD")</f>
        <v>Wednesday</v>
      </c>
      <c r="F1391" s="2">
        <v>0.57499999999999996</v>
      </c>
      <c r="G1391" t="s">
        <v>22</v>
      </c>
      <c r="H1391" t="str">
        <f>IF(Delivery_data[[#This Row],[Order Status]] = "In Progress", "Backlog", "Complete")</f>
        <v>Complete</v>
      </c>
      <c r="I1391" t="s">
        <v>250</v>
      </c>
      <c r="J1391" t="s">
        <v>1631</v>
      </c>
      <c r="K1391" t="s">
        <v>37</v>
      </c>
      <c r="L1391">
        <v>75</v>
      </c>
      <c r="M1391">
        <v>3</v>
      </c>
      <c r="N1391" t="s">
        <v>25</v>
      </c>
      <c r="O1391" t="s">
        <v>54</v>
      </c>
      <c r="P1391" t="s">
        <v>45</v>
      </c>
      <c r="Q1391" t="s">
        <v>51</v>
      </c>
      <c r="R1391" s="2">
        <v>0.38611111111111113</v>
      </c>
    </row>
    <row r="1392" spans="1:18" x14ac:dyDescent="0.25">
      <c r="A1392" t="s">
        <v>2830</v>
      </c>
      <c r="B1392" t="s">
        <v>1306</v>
      </c>
      <c r="C1392" s="1">
        <v>45171</v>
      </c>
      <c r="D1392" s="1" t="str">
        <f>TEXT(Delivery_data[[#This Row],[Order date]], "MMMM")</f>
        <v>September</v>
      </c>
      <c r="E1392" s="1" t="str">
        <f>TEXT(Delivery_data[[#This Row],[Order date]], "DDDD")</f>
        <v>Saturday</v>
      </c>
      <c r="F1392" s="2">
        <v>0.46736111111111112</v>
      </c>
      <c r="G1392" t="s">
        <v>22</v>
      </c>
      <c r="H1392" t="str">
        <f>IF(Delivery_data[[#This Row],[Order Status]] = "In Progress", "Backlog", "Complete")</f>
        <v>Complete</v>
      </c>
      <c r="I1392" t="s">
        <v>250</v>
      </c>
      <c r="J1392" t="s">
        <v>1631</v>
      </c>
      <c r="K1392" t="s">
        <v>24</v>
      </c>
      <c r="L1392">
        <v>225</v>
      </c>
      <c r="M1392">
        <v>11</v>
      </c>
      <c r="N1392" t="s">
        <v>32</v>
      </c>
      <c r="O1392" t="s">
        <v>26</v>
      </c>
      <c r="P1392" t="s">
        <v>34</v>
      </c>
      <c r="Q1392" t="s">
        <v>46</v>
      </c>
      <c r="R1392" s="2">
        <v>0.37152777777777779</v>
      </c>
    </row>
    <row r="1393" spans="1:18" x14ac:dyDescent="0.25">
      <c r="A1393" t="s">
        <v>2941</v>
      </c>
      <c r="B1393" t="s">
        <v>1414</v>
      </c>
      <c r="C1393" s="1">
        <v>45170</v>
      </c>
      <c r="D1393" s="1" t="str">
        <f>TEXT(Delivery_data[[#This Row],[Order date]], "MMMM")</f>
        <v>September</v>
      </c>
      <c r="E1393" s="1" t="str">
        <f>TEXT(Delivery_data[[#This Row],[Order date]], "DDDD")</f>
        <v>Friday</v>
      </c>
      <c r="F1393" s="2">
        <v>0.59583333333333333</v>
      </c>
      <c r="G1393" t="s">
        <v>22</v>
      </c>
      <c r="H1393" t="str">
        <f>IF(Delivery_data[[#This Row],[Order Status]] = "In Progress", "Backlog", "Complete")</f>
        <v>Complete</v>
      </c>
      <c r="I1393" t="s">
        <v>250</v>
      </c>
      <c r="J1393" t="s">
        <v>1633</v>
      </c>
      <c r="K1393" t="s">
        <v>44</v>
      </c>
      <c r="L1393">
        <v>225</v>
      </c>
      <c r="M1393">
        <v>9</v>
      </c>
      <c r="N1393" t="s">
        <v>25</v>
      </c>
      <c r="O1393" t="s">
        <v>26</v>
      </c>
      <c r="P1393" t="s">
        <v>45</v>
      </c>
      <c r="Q1393" t="s">
        <v>51</v>
      </c>
      <c r="R1393" s="2">
        <v>0.39166666666666666</v>
      </c>
    </row>
    <row r="1394" spans="1:18" x14ac:dyDescent="0.25">
      <c r="A1394" t="s">
        <v>3057</v>
      </c>
      <c r="B1394" t="s">
        <v>1525</v>
      </c>
      <c r="C1394" s="1">
        <v>45175</v>
      </c>
      <c r="D1394" s="1" t="str">
        <f>TEXT(Delivery_data[[#This Row],[Order date]], "MMMM")</f>
        <v>September</v>
      </c>
      <c r="E1394" s="1" t="str">
        <f>TEXT(Delivery_data[[#This Row],[Order date]], "DDDD")</f>
        <v>Wednesday</v>
      </c>
      <c r="F1394" s="2">
        <v>0.5395833333333333</v>
      </c>
      <c r="G1394" t="s">
        <v>48</v>
      </c>
      <c r="H1394" t="str">
        <f>IF(Delivery_data[[#This Row],[Order Status]] = "In Progress", "Backlog", "Complete")</f>
        <v>Backlog</v>
      </c>
      <c r="I1394" t="s">
        <v>250</v>
      </c>
      <c r="J1394" t="s">
        <v>1633</v>
      </c>
      <c r="K1394" t="s">
        <v>24</v>
      </c>
      <c r="L1394">
        <v>99</v>
      </c>
      <c r="M1394">
        <v>17</v>
      </c>
      <c r="N1394" t="s">
        <v>25</v>
      </c>
      <c r="O1394" t="s">
        <v>50</v>
      </c>
      <c r="P1394" t="s">
        <v>45</v>
      </c>
      <c r="Q1394" t="s">
        <v>46</v>
      </c>
      <c r="R1394" s="2">
        <v>0.6</v>
      </c>
    </row>
    <row r="1395" spans="1:18" x14ac:dyDescent="0.25">
      <c r="A1395" t="s">
        <v>3130</v>
      </c>
      <c r="B1395" t="s">
        <v>1593</v>
      </c>
      <c r="C1395" s="1">
        <v>45172</v>
      </c>
      <c r="D1395" s="1" t="str">
        <f>TEXT(Delivery_data[[#This Row],[Order date]], "MMMM")</f>
        <v>September</v>
      </c>
      <c r="E1395" s="1" t="str">
        <f>TEXT(Delivery_data[[#This Row],[Order date]], "DDDD")</f>
        <v>Sunday</v>
      </c>
      <c r="F1395" s="2">
        <v>0.36249999999999999</v>
      </c>
      <c r="G1395" t="s">
        <v>48</v>
      </c>
      <c r="H1395" t="str">
        <f>IF(Delivery_data[[#This Row],[Order Status]] = "In Progress", "Backlog", "Complete")</f>
        <v>Backlog</v>
      </c>
      <c r="I1395" t="s">
        <v>250</v>
      </c>
      <c r="J1395" t="s">
        <v>1637</v>
      </c>
      <c r="K1395" t="s">
        <v>31</v>
      </c>
      <c r="L1395">
        <v>82</v>
      </c>
      <c r="M1395">
        <v>16</v>
      </c>
      <c r="N1395" t="s">
        <v>32</v>
      </c>
      <c r="O1395" t="s">
        <v>33</v>
      </c>
      <c r="P1395" t="s">
        <v>34</v>
      </c>
      <c r="Q1395" t="s">
        <v>51</v>
      </c>
      <c r="R1395" s="2">
        <v>0.37222222222222223</v>
      </c>
    </row>
    <row r="1396" spans="1:18" x14ac:dyDescent="0.25">
      <c r="A1396" t="s">
        <v>1786</v>
      </c>
      <c r="B1396" t="s">
        <v>276</v>
      </c>
      <c r="C1396" s="1">
        <v>45173</v>
      </c>
      <c r="D1396" s="1" t="str">
        <f>TEXT(Delivery_data[[#This Row],[Order date]], "MMMM")</f>
        <v>September</v>
      </c>
      <c r="E1396" s="1" t="str">
        <f>TEXT(Delivery_data[[#This Row],[Order date]], "DDDD")</f>
        <v>Monday</v>
      </c>
      <c r="F1396" s="2">
        <v>0.57152777777777775</v>
      </c>
      <c r="G1396" t="s">
        <v>48</v>
      </c>
      <c r="H1396" t="str">
        <f>IF(Delivery_data[[#This Row],[Order Status]] = "In Progress", "Backlog", "Complete")</f>
        <v>Backlog</v>
      </c>
      <c r="I1396" t="s">
        <v>277</v>
      </c>
      <c r="J1396" t="s">
        <v>1637</v>
      </c>
      <c r="K1396" t="s">
        <v>24</v>
      </c>
      <c r="L1396">
        <v>215</v>
      </c>
      <c r="M1396">
        <v>12</v>
      </c>
      <c r="N1396" t="s">
        <v>38</v>
      </c>
      <c r="O1396" t="s">
        <v>54</v>
      </c>
      <c r="P1396" t="s">
        <v>27</v>
      </c>
      <c r="Q1396" t="s">
        <v>46</v>
      </c>
      <c r="R1396" s="2">
        <v>0.5854166666666667</v>
      </c>
    </row>
    <row r="1397" spans="1:18" x14ac:dyDescent="0.25">
      <c r="A1397" t="s">
        <v>1874</v>
      </c>
      <c r="B1397" t="s">
        <v>373</v>
      </c>
      <c r="C1397" s="1">
        <v>45172</v>
      </c>
      <c r="D1397" s="1" t="str">
        <f>TEXT(Delivery_data[[#This Row],[Order date]], "MMMM")</f>
        <v>September</v>
      </c>
      <c r="E1397" s="1" t="str">
        <f>TEXT(Delivery_data[[#This Row],[Order date]], "DDDD")</f>
        <v>Sunday</v>
      </c>
      <c r="F1397" s="2">
        <v>0.62916666666666665</v>
      </c>
      <c r="G1397" t="s">
        <v>48</v>
      </c>
      <c r="H1397" t="str">
        <f>IF(Delivery_data[[#This Row],[Order Status]] = "In Progress", "Backlog", "Complete")</f>
        <v>Backlog</v>
      </c>
      <c r="I1397" t="s">
        <v>277</v>
      </c>
      <c r="J1397" t="s">
        <v>1633</v>
      </c>
      <c r="K1397" t="s">
        <v>44</v>
      </c>
      <c r="L1397">
        <v>186</v>
      </c>
      <c r="M1397">
        <v>24</v>
      </c>
      <c r="N1397" t="s">
        <v>38</v>
      </c>
      <c r="O1397" t="s">
        <v>26</v>
      </c>
      <c r="P1397" t="s">
        <v>45</v>
      </c>
      <c r="Q1397" t="s">
        <v>46</v>
      </c>
      <c r="R1397" s="2">
        <v>0.5625</v>
      </c>
    </row>
    <row r="1398" spans="1:18" x14ac:dyDescent="0.25">
      <c r="A1398" t="s">
        <v>2039</v>
      </c>
      <c r="B1398" t="s">
        <v>544</v>
      </c>
      <c r="C1398" s="1">
        <v>45176</v>
      </c>
      <c r="D1398" s="1" t="str">
        <f>TEXT(Delivery_data[[#This Row],[Order date]], "MMMM")</f>
        <v>September</v>
      </c>
      <c r="E1398" s="1" t="str">
        <f>TEXT(Delivery_data[[#This Row],[Order date]], "DDDD")</f>
        <v>Thursday</v>
      </c>
      <c r="F1398" s="2">
        <v>0.60486111111111107</v>
      </c>
      <c r="G1398" t="s">
        <v>48</v>
      </c>
      <c r="H1398" t="str">
        <f>IF(Delivery_data[[#This Row],[Order Status]] = "In Progress", "Backlog", "Complete")</f>
        <v>Backlog</v>
      </c>
      <c r="I1398" t="s">
        <v>277</v>
      </c>
      <c r="J1398" t="s">
        <v>1631</v>
      </c>
      <c r="K1398" t="s">
        <v>24</v>
      </c>
      <c r="L1398">
        <v>141</v>
      </c>
      <c r="M1398">
        <v>29</v>
      </c>
      <c r="N1398" t="s">
        <v>25</v>
      </c>
      <c r="O1398" t="s">
        <v>41</v>
      </c>
      <c r="P1398" t="s">
        <v>34</v>
      </c>
      <c r="Q1398" t="s">
        <v>51</v>
      </c>
      <c r="R1398" s="2">
        <v>0.41041666666666665</v>
      </c>
    </row>
    <row r="1399" spans="1:18" x14ac:dyDescent="0.25">
      <c r="A1399" t="s">
        <v>2041</v>
      </c>
      <c r="B1399" t="s">
        <v>546</v>
      </c>
      <c r="C1399" s="1">
        <v>45170</v>
      </c>
      <c r="D1399" s="1" t="str">
        <f>TEXT(Delivery_data[[#This Row],[Order date]], "MMMM")</f>
        <v>September</v>
      </c>
      <c r="E1399" s="1" t="str">
        <f>TEXT(Delivery_data[[#This Row],[Order date]], "DDDD")</f>
        <v>Friday</v>
      </c>
      <c r="F1399" s="2">
        <v>0.50694444444444442</v>
      </c>
      <c r="G1399" t="s">
        <v>48</v>
      </c>
      <c r="H1399" t="str">
        <f>IF(Delivery_data[[#This Row],[Order Status]] = "In Progress", "Backlog", "Complete")</f>
        <v>Backlog</v>
      </c>
      <c r="I1399" t="s">
        <v>277</v>
      </c>
      <c r="J1399" t="s">
        <v>1633</v>
      </c>
      <c r="K1399" t="s">
        <v>44</v>
      </c>
      <c r="L1399">
        <v>190</v>
      </c>
      <c r="M1399">
        <v>23</v>
      </c>
      <c r="N1399" t="s">
        <v>32</v>
      </c>
      <c r="O1399" t="s">
        <v>33</v>
      </c>
      <c r="P1399" t="s">
        <v>45</v>
      </c>
      <c r="Q1399" t="s">
        <v>51</v>
      </c>
      <c r="R1399" s="2">
        <v>0.53819444444444442</v>
      </c>
    </row>
    <row r="1400" spans="1:18" x14ac:dyDescent="0.25">
      <c r="A1400" t="s">
        <v>2103</v>
      </c>
      <c r="B1400" t="s">
        <v>608</v>
      </c>
      <c r="C1400" s="1">
        <v>45170</v>
      </c>
      <c r="D1400" s="1" t="str">
        <f>TEXT(Delivery_data[[#This Row],[Order date]], "MMMM")</f>
        <v>September</v>
      </c>
      <c r="E1400" s="1" t="str">
        <f>TEXT(Delivery_data[[#This Row],[Order date]], "DDDD")</f>
        <v>Friday</v>
      </c>
      <c r="F1400" s="2">
        <v>0.64027777777777772</v>
      </c>
      <c r="G1400" t="s">
        <v>22</v>
      </c>
      <c r="H1400" t="str">
        <f>IF(Delivery_data[[#This Row],[Order Status]] = "In Progress", "Backlog", "Complete")</f>
        <v>Complete</v>
      </c>
      <c r="I1400" t="s">
        <v>277</v>
      </c>
      <c r="J1400" t="s">
        <v>1631</v>
      </c>
      <c r="K1400" t="s">
        <v>24</v>
      </c>
      <c r="L1400">
        <v>204</v>
      </c>
      <c r="M1400">
        <v>8</v>
      </c>
      <c r="N1400" t="s">
        <v>32</v>
      </c>
      <c r="O1400" t="s">
        <v>33</v>
      </c>
      <c r="P1400" t="s">
        <v>45</v>
      </c>
      <c r="Q1400" t="s">
        <v>28</v>
      </c>
      <c r="R1400" s="2">
        <v>0.67152777777777772</v>
      </c>
    </row>
    <row r="1401" spans="1:18" x14ac:dyDescent="0.25">
      <c r="A1401" t="s">
        <v>2158</v>
      </c>
      <c r="B1401" t="s">
        <v>660</v>
      </c>
      <c r="C1401" s="1">
        <v>45170</v>
      </c>
      <c r="D1401" s="1" t="str">
        <f>TEXT(Delivery_data[[#This Row],[Order date]], "MMMM")</f>
        <v>September</v>
      </c>
      <c r="E1401" s="1" t="str">
        <f>TEXT(Delivery_data[[#This Row],[Order date]], "DDDD")</f>
        <v>Friday</v>
      </c>
      <c r="F1401" s="2">
        <v>0.40069444444444446</v>
      </c>
      <c r="G1401" t="s">
        <v>48</v>
      </c>
      <c r="H1401" t="str">
        <f>IF(Delivery_data[[#This Row],[Order Status]] = "In Progress", "Backlog", "Complete")</f>
        <v>Backlog</v>
      </c>
      <c r="I1401" t="s">
        <v>277</v>
      </c>
      <c r="J1401" t="s">
        <v>1637</v>
      </c>
      <c r="K1401" t="s">
        <v>31</v>
      </c>
      <c r="L1401">
        <v>230</v>
      </c>
      <c r="M1401">
        <v>11</v>
      </c>
      <c r="N1401" t="s">
        <v>38</v>
      </c>
      <c r="O1401" t="s">
        <v>54</v>
      </c>
      <c r="P1401" t="s">
        <v>27</v>
      </c>
      <c r="Q1401" t="s">
        <v>28</v>
      </c>
      <c r="R1401" s="2">
        <v>0.4777777777777778</v>
      </c>
    </row>
    <row r="1402" spans="1:18" x14ac:dyDescent="0.25">
      <c r="A1402" t="s">
        <v>2191</v>
      </c>
      <c r="B1402" t="s">
        <v>692</v>
      </c>
      <c r="C1402" s="1">
        <v>45173</v>
      </c>
      <c r="D1402" s="1" t="str">
        <f>TEXT(Delivery_data[[#This Row],[Order date]], "MMMM")</f>
        <v>September</v>
      </c>
      <c r="E1402" s="1" t="str">
        <f>TEXT(Delivery_data[[#This Row],[Order date]], "DDDD")</f>
        <v>Monday</v>
      </c>
      <c r="F1402" s="2">
        <v>0.58402777777777781</v>
      </c>
      <c r="G1402" t="s">
        <v>48</v>
      </c>
      <c r="H1402" t="str">
        <f>IF(Delivery_data[[#This Row],[Order Status]] = "In Progress", "Backlog", "Complete")</f>
        <v>Backlog</v>
      </c>
      <c r="I1402" t="s">
        <v>277</v>
      </c>
      <c r="J1402" t="s">
        <v>1637</v>
      </c>
      <c r="K1402" t="s">
        <v>31</v>
      </c>
      <c r="L1402">
        <v>195</v>
      </c>
      <c r="M1402">
        <v>23</v>
      </c>
      <c r="N1402" t="s">
        <v>38</v>
      </c>
      <c r="O1402" t="s">
        <v>41</v>
      </c>
      <c r="P1402" t="s">
        <v>34</v>
      </c>
      <c r="Q1402" t="s">
        <v>46</v>
      </c>
      <c r="R1402" s="2">
        <v>0.59930555555555554</v>
      </c>
    </row>
    <row r="1403" spans="1:18" x14ac:dyDescent="0.25">
      <c r="A1403" t="s">
        <v>2255</v>
      </c>
      <c r="B1403" t="s">
        <v>755</v>
      </c>
      <c r="C1403" s="1">
        <v>45173</v>
      </c>
      <c r="D1403" s="1" t="str">
        <f>TEXT(Delivery_data[[#This Row],[Order date]], "MMMM")</f>
        <v>September</v>
      </c>
      <c r="E1403" s="1" t="str">
        <f>TEXT(Delivery_data[[#This Row],[Order date]], "DDDD")</f>
        <v>Monday</v>
      </c>
      <c r="F1403" s="2">
        <v>0.67013888888888884</v>
      </c>
      <c r="G1403" t="s">
        <v>48</v>
      </c>
      <c r="H1403" t="str">
        <f>IF(Delivery_data[[#This Row],[Order Status]] = "In Progress", "Backlog", "Complete")</f>
        <v>Backlog</v>
      </c>
      <c r="I1403" t="s">
        <v>277</v>
      </c>
      <c r="J1403" t="s">
        <v>1637</v>
      </c>
      <c r="K1403" t="s">
        <v>31</v>
      </c>
      <c r="L1403">
        <v>117</v>
      </c>
      <c r="M1403">
        <v>20</v>
      </c>
      <c r="N1403" t="s">
        <v>38</v>
      </c>
      <c r="O1403" t="s">
        <v>54</v>
      </c>
      <c r="P1403" t="s">
        <v>45</v>
      </c>
      <c r="Q1403" t="s">
        <v>46</v>
      </c>
      <c r="R1403" s="2">
        <v>0.48055555555555557</v>
      </c>
    </row>
    <row r="1404" spans="1:18" x14ac:dyDescent="0.25">
      <c r="A1404" t="s">
        <v>2264</v>
      </c>
      <c r="B1404" t="s">
        <v>764</v>
      </c>
      <c r="C1404" s="1">
        <v>45170</v>
      </c>
      <c r="D1404" s="1" t="str">
        <f>TEXT(Delivery_data[[#This Row],[Order date]], "MMMM")</f>
        <v>September</v>
      </c>
      <c r="E1404" s="1" t="str">
        <f>TEXT(Delivery_data[[#This Row],[Order date]], "DDDD")</f>
        <v>Friday</v>
      </c>
      <c r="F1404" s="2">
        <v>0.60624999999999996</v>
      </c>
      <c r="G1404" t="s">
        <v>22</v>
      </c>
      <c r="H1404" t="str">
        <f>IF(Delivery_data[[#This Row],[Order Status]] = "In Progress", "Backlog", "Complete")</f>
        <v>Complete</v>
      </c>
      <c r="I1404" t="s">
        <v>277</v>
      </c>
      <c r="J1404" t="s">
        <v>1633</v>
      </c>
      <c r="K1404" t="s">
        <v>31</v>
      </c>
      <c r="L1404">
        <v>77</v>
      </c>
      <c r="M1404">
        <v>5</v>
      </c>
      <c r="N1404" t="s">
        <v>38</v>
      </c>
      <c r="O1404" t="s">
        <v>50</v>
      </c>
      <c r="P1404" t="s">
        <v>34</v>
      </c>
      <c r="Q1404" t="s">
        <v>46</v>
      </c>
      <c r="R1404" s="2">
        <v>0.39166666666666666</v>
      </c>
    </row>
    <row r="1405" spans="1:18" x14ac:dyDescent="0.25">
      <c r="A1405" t="s">
        <v>2473</v>
      </c>
      <c r="B1405" t="s">
        <v>965</v>
      </c>
      <c r="C1405" s="1">
        <v>45175</v>
      </c>
      <c r="D1405" s="1" t="str">
        <f>TEXT(Delivery_data[[#This Row],[Order date]], "MMMM")</f>
        <v>September</v>
      </c>
      <c r="E1405" s="1" t="str">
        <f>TEXT(Delivery_data[[#This Row],[Order date]], "DDDD")</f>
        <v>Wednesday</v>
      </c>
      <c r="F1405" s="2">
        <v>0.55000000000000004</v>
      </c>
      <c r="G1405" t="s">
        <v>22</v>
      </c>
      <c r="H1405" t="str">
        <f>IF(Delivery_data[[#This Row],[Order Status]] = "In Progress", "Backlog", "Complete")</f>
        <v>Complete</v>
      </c>
      <c r="I1405" t="s">
        <v>277</v>
      </c>
      <c r="J1405" t="s">
        <v>1633</v>
      </c>
      <c r="K1405" t="s">
        <v>24</v>
      </c>
      <c r="L1405">
        <v>124</v>
      </c>
      <c r="M1405">
        <v>23</v>
      </c>
      <c r="N1405" t="s">
        <v>25</v>
      </c>
      <c r="O1405" t="s">
        <v>54</v>
      </c>
      <c r="P1405" t="s">
        <v>27</v>
      </c>
      <c r="Q1405" t="s">
        <v>28</v>
      </c>
      <c r="R1405" s="2">
        <v>0.61111111111111116</v>
      </c>
    </row>
    <row r="1406" spans="1:18" x14ac:dyDescent="0.25">
      <c r="A1406" t="s">
        <v>2503</v>
      </c>
      <c r="B1406" t="s">
        <v>992</v>
      </c>
      <c r="C1406" s="1">
        <v>45171</v>
      </c>
      <c r="D1406" s="1" t="str">
        <f>TEXT(Delivery_data[[#This Row],[Order date]], "MMMM")</f>
        <v>September</v>
      </c>
      <c r="E1406" s="1" t="str">
        <f>TEXT(Delivery_data[[#This Row],[Order date]], "DDDD")</f>
        <v>Saturday</v>
      </c>
      <c r="F1406" s="2">
        <v>0.42291666666666666</v>
      </c>
      <c r="G1406" t="s">
        <v>48</v>
      </c>
      <c r="H1406" t="str">
        <f>IF(Delivery_data[[#This Row],[Order Status]] = "In Progress", "Backlog", "Complete")</f>
        <v>Backlog</v>
      </c>
      <c r="I1406" t="s">
        <v>277</v>
      </c>
      <c r="J1406" t="s">
        <v>1633</v>
      </c>
      <c r="K1406" t="s">
        <v>44</v>
      </c>
      <c r="L1406">
        <v>202</v>
      </c>
      <c r="M1406">
        <v>16</v>
      </c>
      <c r="N1406" t="s">
        <v>38</v>
      </c>
      <c r="O1406" t="s">
        <v>33</v>
      </c>
      <c r="P1406" t="s">
        <v>45</v>
      </c>
      <c r="Q1406" t="s">
        <v>51</v>
      </c>
      <c r="R1406" s="2">
        <v>0.69930555555555551</v>
      </c>
    </row>
    <row r="1407" spans="1:18" x14ac:dyDescent="0.25">
      <c r="A1407" t="s">
        <v>2687</v>
      </c>
      <c r="B1407" t="s">
        <v>1168</v>
      </c>
      <c r="C1407" s="1">
        <v>45171</v>
      </c>
      <c r="D1407" s="1" t="str">
        <f>TEXT(Delivery_data[[#This Row],[Order date]], "MMMM")</f>
        <v>September</v>
      </c>
      <c r="E1407" s="1" t="str">
        <f>TEXT(Delivery_data[[#This Row],[Order date]], "DDDD")</f>
        <v>Saturday</v>
      </c>
      <c r="F1407" s="2">
        <v>0.62430555555555556</v>
      </c>
      <c r="G1407" t="s">
        <v>48</v>
      </c>
      <c r="H1407" t="str">
        <f>IF(Delivery_data[[#This Row],[Order Status]] = "In Progress", "Backlog", "Complete")</f>
        <v>Backlog</v>
      </c>
      <c r="I1407" t="s">
        <v>277</v>
      </c>
      <c r="J1407" t="s">
        <v>1631</v>
      </c>
      <c r="K1407" t="s">
        <v>37</v>
      </c>
      <c r="L1407">
        <v>92</v>
      </c>
      <c r="M1407">
        <v>29</v>
      </c>
      <c r="N1407" t="s">
        <v>32</v>
      </c>
      <c r="O1407" t="s">
        <v>50</v>
      </c>
      <c r="P1407" t="s">
        <v>27</v>
      </c>
      <c r="Q1407" t="s">
        <v>51</v>
      </c>
      <c r="R1407" s="2">
        <v>0.67638888888888893</v>
      </c>
    </row>
    <row r="1408" spans="1:18" x14ac:dyDescent="0.25">
      <c r="A1408" t="s">
        <v>3016</v>
      </c>
      <c r="B1408" t="s">
        <v>1487</v>
      </c>
      <c r="C1408" s="1">
        <v>45170</v>
      </c>
      <c r="D1408" s="1" t="str">
        <f>TEXT(Delivery_data[[#This Row],[Order date]], "MMMM")</f>
        <v>September</v>
      </c>
      <c r="E1408" s="1" t="str">
        <f>TEXT(Delivery_data[[#This Row],[Order date]], "DDDD")</f>
        <v>Friday</v>
      </c>
      <c r="F1408" s="2">
        <v>0.62777777777777777</v>
      </c>
      <c r="G1408" t="s">
        <v>22</v>
      </c>
      <c r="H1408" t="str">
        <f>IF(Delivery_data[[#This Row],[Order Status]] = "In Progress", "Backlog", "Complete")</f>
        <v>Complete</v>
      </c>
      <c r="I1408" t="s">
        <v>277</v>
      </c>
      <c r="J1408" t="s">
        <v>1637</v>
      </c>
      <c r="K1408" t="s">
        <v>61</v>
      </c>
      <c r="L1408">
        <v>206</v>
      </c>
      <c r="M1408">
        <v>13</v>
      </c>
      <c r="N1408" t="s">
        <v>25</v>
      </c>
      <c r="O1408" t="s">
        <v>26</v>
      </c>
      <c r="P1408" t="s">
        <v>45</v>
      </c>
      <c r="Q1408" t="s">
        <v>28</v>
      </c>
      <c r="R1408" s="2">
        <v>0.5229166666666667</v>
      </c>
    </row>
    <row r="1409" spans="1:18" x14ac:dyDescent="0.25">
      <c r="A1409" t="s">
        <v>3117</v>
      </c>
      <c r="B1409" t="s">
        <v>1583</v>
      </c>
      <c r="C1409" s="1">
        <v>45176</v>
      </c>
      <c r="D1409" s="1" t="str">
        <f>TEXT(Delivery_data[[#This Row],[Order date]], "MMMM")</f>
        <v>September</v>
      </c>
      <c r="E1409" s="1" t="str">
        <f>TEXT(Delivery_data[[#This Row],[Order date]], "DDDD")</f>
        <v>Thursday</v>
      </c>
      <c r="F1409" s="2">
        <v>0.69861111111111107</v>
      </c>
      <c r="G1409" t="s">
        <v>48</v>
      </c>
      <c r="H1409" t="str">
        <f>IF(Delivery_data[[#This Row],[Order Status]] = "In Progress", "Backlog", "Complete")</f>
        <v>Backlog</v>
      </c>
      <c r="I1409" t="s">
        <v>277</v>
      </c>
      <c r="J1409" t="s">
        <v>1633</v>
      </c>
      <c r="K1409" t="s">
        <v>61</v>
      </c>
      <c r="L1409">
        <v>222</v>
      </c>
      <c r="M1409">
        <v>4</v>
      </c>
      <c r="N1409" t="s">
        <v>25</v>
      </c>
      <c r="O1409" t="s">
        <v>50</v>
      </c>
      <c r="P1409" t="s">
        <v>27</v>
      </c>
      <c r="Q1409" t="s">
        <v>51</v>
      </c>
      <c r="R1409" s="2">
        <v>0.66249999999999998</v>
      </c>
    </row>
    <row r="1410" spans="1:18" x14ac:dyDescent="0.25">
      <c r="A1410" t="s">
        <v>1875</v>
      </c>
      <c r="B1410" t="s">
        <v>374</v>
      </c>
      <c r="C1410" s="1">
        <v>45171</v>
      </c>
      <c r="D1410" s="1" t="str">
        <f>TEXT(Delivery_data[[#This Row],[Order date]], "MMMM")</f>
        <v>September</v>
      </c>
      <c r="E1410" s="1" t="str">
        <f>TEXT(Delivery_data[[#This Row],[Order date]], "DDDD")</f>
        <v>Saturday</v>
      </c>
      <c r="F1410" s="2">
        <v>0.37152777777777779</v>
      </c>
      <c r="G1410" t="s">
        <v>48</v>
      </c>
      <c r="H1410" t="str">
        <f>IF(Delivery_data[[#This Row],[Order Status]] = "In Progress", "Backlog", "Complete")</f>
        <v>Backlog</v>
      </c>
      <c r="I1410" t="s">
        <v>375</v>
      </c>
      <c r="J1410" t="s">
        <v>1631</v>
      </c>
      <c r="K1410" t="s">
        <v>44</v>
      </c>
      <c r="L1410">
        <v>180</v>
      </c>
      <c r="M1410">
        <v>2</v>
      </c>
      <c r="N1410" t="s">
        <v>38</v>
      </c>
      <c r="O1410" t="s">
        <v>33</v>
      </c>
      <c r="P1410" t="s">
        <v>34</v>
      </c>
      <c r="Q1410" t="s">
        <v>28</v>
      </c>
      <c r="R1410" s="2">
        <v>0.36388888888888887</v>
      </c>
    </row>
    <row r="1411" spans="1:18" x14ac:dyDescent="0.25">
      <c r="A1411" t="s">
        <v>2046</v>
      </c>
      <c r="B1411" t="s">
        <v>551</v>
      </c>
      <c r="C1411" s="1">
        <v>45173</v>
      </c>
      <c r="D1411" s="1" t="str">
        <f>TEXT(Delivery_data[[#This Row],[Order date]], "MMMM")</f>
        <v>September</v>
      </c>
      <c r="E1411" s="1" t="str">
        <f>TEXT(Delivery_data[[#This Row],[Order date]], "DDDD")</f>
        <v>Monday</v>
      </c>
      <c r="F1411" s="2">
        <v>0.55138888888888893</v>
      </c>
      <c r="G1411" t="s">
        <v>22</v>
      </c>
      <c r="H1411" t="str">
        <f>IF(Delivery_data[[#This Row],[Order Status]] = "In Progress", "Backlog", "Complete")</f>
        <v>Complete</v>
      </c>
      <c r="I1411" t="s">
        <v>375</v>
      </c>
      <c r="J1411" t="s">
        <v>1631</v>
      </c>
      <c r="K1411" t="s">
        <v>37</v>
      </c>
      <c r="L1411">
        <v>89</v>
      </c>
      <c r="M1411">
        <v>1</v>
      </c>
      <c r="N1411" t="s">
        <v>38</v>
      </c>
      <c r="O1411" t="s">
        <v>50</v>
      </c>
      <c r="P1411" t="s">
        <v>27</v>
      </c>
      <c r="Q1411" t="s">
        <v>28</v>
      </c>
      <c r="R1411" s="2">
        <v>0.7055555555555556</v>
      </c>
    </row>
    <row r="1412" spans="1:18" x14ac:dyDescent="0.25">
      <c r="A1412" t="s">
        <v>2150</v>
      </c>
      <c r="B1412" t="s">
        <v>653</v>
      </c>
      <c r="C1412" s="1">
        <v>45170</v>
      </c>
      <c r="D1412" s="1" t="str">
        <f>TEXT(Delivery_data[[#This Row],[Order date]], "MMMM")</f>
        <v>September</v>
      </c>
      <c r="E1412" s="1" t="str">
        <f>TEXT(Delivery_data[[#This Row],[Order date]], "DDDD")</f>
        <v>Friday</v>
      </c>
      <c r="F1412" s="2">
        <v>0.37638888888888888</v>
      </c>
      <c r="G1412" t="s">
        <v>48</v>
      </c>
      <c r="H1412" t="str">
        <f>IF(Delivery_data[[#This Row],[Order Status]] = "In Progress", "Backlog", "Complete")</f>
        <v>Backlog</v>
      </c>
      <c r="I1412" t="s">
        <v>375</v>
      </c>
      <c r="J1412" t="s">
        <v>1633</v>
      </c>
      <c r="K1412" t="s">
        <v>44</v>
      </c>
      <c r="L1412">
        <v>226</v>
      </c>
      <c r="M1412">
        <v>14</v>
      </c>
      <c r="N1412" t="s">
        <v>32</v>
      </c>
      <c r="O1412" t="s">
        <v>50</v>
      </c>
      <c r="P1412" t="s">
        <v>27</v>
      </c>
      <c r="Q1412" t="s">
        <v>46</v>
      </c>
      <c r="R1412" s="2">
        <v>0.54374999999999996</v>
      </c>
    </row>
    <row r="1413" spans="1:18" x14ac:dyDescent="0.25">
      <c r="A1413" t="s">
        <v>2240</v>
      </c>
      <c r="B1413" t="s">
        <v>740</v>
      </c>
      <c r="C1413" s="1">
        <v>45172</v>
      </c>
      <c r="D1413" s="1" t="str">
        <f>TEXT(Delivery_data[[#This Row],[Order date]], "MMMM")</f>
        <v>September</v>
      </c>
      <c r="E1413" s="1" t="str">
        <f>TEXT(Delivery_data[[#This Row],[Order date]], "DDDD")</f>
        <v>Sunday</v>
      </c>
      <c r="F1413" s="2">
        <v>0.36944444444444446</v>
      </c>
      <c r="G1413" t="s">
        <v>48</v>
      </c>
      <c r="H1413" t="str">
        <f>IF(Delivery_data[[#This Row],[Order Status]] = "In Progress", "Backlog", "Complete")</f>
        <v>Backlog</v>
      </c>
      <c r="I1413" t="s">
        <v>375</v>
      </c>
      <c r="J1413" t="s">
        <v>1637</v>
      </c>
      <c r="K1413" t="s">
        <v>37</v>
      </c>
      <c r="L1413">
        <v>119</v>
      </c>
      <c r="M1413">
        <v>2</v>
      </c>
      <c r="N1413" t="s">
        <v>25</v>
      </c>
      <c r="O1413" t="s">
        <v>26</v>
      </c>
      <c r="P1413" t="s">
        <v>34</v>
      </c>
      <c r="Q1413" t="s">
        <v>28</v>
      </c>
      <c r="R1413" s="2">
        <v>0.62777777777777777</v>
      </c>
    </row>
    <row r="1414" spans="1:18" x14ac:dyDescent="0.25">
      <c r="A1414" t="s">
        <v>2249</v>
      </c>
      <c r="B1414" t="s">
        <v>749</v>
      </c>
      <c r="C1414" s="1">
        <v>45173</v>
      </c>
      <c r="D1414" s="1" t="str">
        <f>TEXT(Delivery_data[[#This Row],[Order date]], "MMMM")</f>
        <v>September</v>
      </c>
      <c r="E1414" s="1" t="str">
        <f>TEXT(Delivery_data[[#This Row],[Order date]], "DDDD")</f>
        <v>Monday</v>
      </c>
      <c r="F1414" s="2">
        <v>0.69166666666666665</v>
      </c>
      <c r="G1414" t="s">
        <v>48</v>
      </c>
      <c r="H1414" t="str">
        <f>IF(Delivery_data[[#This Row],[Order Status]] = "In Progress", "Backlog", "Complete")</f>
        <v>Backlog</v>
      </c>
      <c r="I1414" t="s">
        <v>375</v>
      </c>
      <c r="J1414" t="s">
        <v>1637</v>
      </c>
      <c r="K1414" t="s">
        <v>61</v>
      </c>
      <c r="L1414">
        <v>174</v>
      </c>
      <c r="M1414">
        <v>27</v>
      </c>
      <c r="N1414" t="s">
        <v>38</v>
      </c>
      <c r="O1414" t="s">
        <v>50</v>
      </c>
      <c r="P1414" t="s">
        <v>34</v>
      </c>
      <c r="Q1414" t="s">
        <v>46</v>
      </c>
      <c r="R1414" s="2">
        <v>0.66388888888888886</v>
      </c>
    </row>
    <row r="1415" spans="1:18" x14ac:dyDescent="0.25">
      <c r="A1415" t="s">
        <v>2257</v>
      </c>
      <c r="B1415" t="s">
        <v>757</v>
      </c>
      <c r="C1415" s="1">
        <v>45172</v>
      </c>
      <c r="D1415" s="1" t="str">
        <f>TEXT(Delivery_data[[#This Row],[Order date]], "MMMM")</f>
        <v>September</v>
      </c>
      <c r="E1415" s="1" t="str">
        <f>TEXT(Delivery_data[[#This Row],[Order date]], "DDDD")</f>
        <v>Sunday</v>
      </c>
      <c r="F1415" s="2">
        <v>0.54305555555555551</v>
      </c>
      <c r="G1415" t="s">
        <v>48</v>
      </c>
      <c r="H1415" t="str">
        <f>IF(Delivery_data[[#This Row],[Order Status]] = "In Progress", "Backlog", "Complete")</f>
        <v>Backlog</v>
      </c>
      <c r="I1415" t="s">
        <v>375</v>
      </c>
      <c r="J1415" t="s">
        <v>1637</v>
      </c>
      <c r="K1415" t="s">
        <v>44</v>
      </c>
      <c r="L1415">
        <v>192</v>
      </c>
      <c r="M1415">
        <v>3</v>
      </c>
      <c r="N1415" t="s">
        <v>25</v>
      </c>
      <c r="O1415" t="s">
        <v>41</v>
      </c>
      <c r="P1415" t="s">
        <v>45</v>
      </c>
      <c r="Q1415" t="s">
        <v>28</v>
      </c>
      <c r="R1415" s="2">
        <v>0.34305555555555556</v>
      </c>
    </row>
    <row r="1416" spans="1:18" x14ac:dyDescent="0.25">
      <c r="A1416" t="s">
        <v>2451</v>
      </c>
      <c r="B1416" t="s">
        <v>943</v>
      </c>
      <c r="C1416" s="1">
        <v>45175</v>
      </c>
      <c r="D1416" s="1" t="str">
        <f>TEXT(Delivery_data[[#This Row],[Order date]], "MMMM")</f>
        <v>September</v>
      </c>
      <c r="E1416" s="1" t="str">
        <f>TEXT(Delivery_data[[#This Row],[Order date]], "DDDD")</f>
        <v>Wednesday</v>
      </c>
      <c r="F1416" s="2">
        <v>0.57013888888888886</v>
      </c>
      <c r="G1416" t="s">
        <v>48</v>
      </c>
      <c r="H1416" t="str">
        <f>IF(Delivery_data[[#This Row],[Order Status]] = "In Progress", "Backlog", "Complete")</f>
        <v>Backlog</v>
      </c>
      <c r="I1416" t="s">
        <v>375</v>
      </c>
      <c r="J1416" t="s">
        <v>1637</v>
      </c>
      <c r="K1416" t="s">
        <v>24</v>
      </c>
      <c r="L1416">
        <v>162</v>
      </c>
      <c r="M1416">
        <v>27</v>
      </c>
      <c r="N1416" t="s">
        <v>25</v>
      </c>
      <c r="O1416" t="s">
        <v>26</v>
      </c>
      <c r="P1416" t="s">
        <v>27</v>
      </c>
      <c r="Q1416" t="s">
        <v>46</v>
      </c>
      <c r="R1416" s="2">
        <v>0.43680555555555556</v>
      </c>
    </row>
    <row r="1417" spans="1:18" x14ac:dyDescent="0.25">
      <c r="A1417" t="s">
        <v>2466</v>
      </c>
      <c r="B1417" t="s">
        <v>958</v>
      </c>
      <c r="C1417" s="1">
        <v>45171</v>
      </c>
      <c r="D1417" s="1" t="str">
        <f>TEXT(Delivery_data[[#This Row],[Order date]], "MMMM")</f>
        <v>September</v>
      </c>
      <c r="E1417" s="1" t="str">
        <f>TEXT(Delivery_data[[#This Row],[Order date]], "DDDD")</f>
        <v>Saturday</v>
      </c>
      <c r="F1417" s="2">
        <v>0.46111111111111114</v>
      </c>
      <c r="G1417" t="s">
        <v>48</v>
      </c>
      <c r="H1417" t="str">
        <f>IF(Delivery_data[[#This Row],[Order Status]] = "In Progress", "Backlog", "Complete")</f>
        <v>Backlog</v>
      </c>
      <c r="I1417" t="s">
        <v>375</v>
      </c>
      <c r="J1417" t="s">
        <v>1637</v>
      </c>
      <c r="K1417" t="s">
        <v>61</v>
      </c>
      <c r="L1417">
        <v>61</v>
      </c>
      <c r="M1417">
        <v>16</v>
      </c>
      <c r="N1417" t="s">
        <v>25</v>
      </c>
      <c r="O1417" t="s">
        <v>50</v>
      </c>
      <c r="P1417" t="s">
        <v>45</v>
      </c>
      <c r="Q1417" t="s">
        <v>28</v>
      </c>
      <c r="R1417" s="2">
        <v>0.6743055555555556</v>
      </c>
    </row>
    <row r="1418" spans="1:18" x14ac:dyDescent="0.25">
      <c r="A1418" t="s">
        <v>2582</v>
      </c>
      <c r="B1418" t="s">
        <v>1066</v>
      </c>
      <c r="C1418" s="1">
        <v>45175</v>
      </c>
      <c r="D1418" s="1" t="str">
        <f>TEXT(Delivery_data[[#This Row],[Order date]], "MMMM")</f>
        <v>September</v>
      </c>
      <c r="E1418" s="1" t="str">
        <f>TEXT(Delivery_data[[#This Row],[Order date]], "DDDD")</f>
        <v>Wednesday</v>
      </c>
      <c r="F1418" s="2">
        <v>0.35486111111111113</v>
      </c>
      <c r="G1418" t="s">
        <v>22</v>
      </c>
      <c r="H1418" t="str">
        <f>IF(Delivery_data[[#This Row],[Order Status]] = "In Progress", "Backlog", "Complete")</f>
        <v>Complete</v>
      </c>
      <c r="I1418" t="s">
        <v>375</v>
      </c>
      <c r="J1418" t="s">
        <v>1631</v>
      </c>
      <c r="K1418" t="s">
        <v>61</v>
      </c>
      <c r="L1418">
        <v>65</v>
      </c>
      <c r="M1418">
        <v>20</v>
      </c>
      <c r="N1418" t="s">
        <v>38</v>
      </c>
      <c r="O1418" t="s">
        <v>54</v>
      </c>
      <c r="P1418" t="s">
        <v>27</v>
      </c>
      <c r="Q1418" t="s">
        <v>51</v>
      </c>
      <c r="R1418" s="2">
        <v>0.4597222222222222</v>
      </c>
    </row>
    <row r="1419" spans="1:18" x14ac:dyDescent="0.25">
      <c r="A1419" t="s">
        <v>2595</v>
      </c>
      <c r="B1419" t="s">
        <v>1079</v>
      </c>
      <c r="C1419" s="1">
        <v>45176</v>
      </c>
      <c r="D1419" s="1" t="str">
        <f>TEXT(Delivery_data[[#This Row],[Order date]], "MMMM")</f>
        <v>September</v>
      </c>
      <c r="E1419" s="1" t="str">
        <f>TEXT(Delivery_data[[#This Row],[Order date]], "DDDD")</f>
        <v>Thursday</v>
      </c>
      <c r="F1419" s="2">
        <v>0.54513888888888884</v>
      </c>
      <c r="G1419" t="s">
        <v>48</v>
      </c>
      <c r="H1419" t="str">
        <f>IF(Delivery_data[[#This Row],[Order Status]] = "In Progress", "Backlog", "Complete")</f>
        <v>Backlog</v>
      </c>
      <c r="I1419" t="s">
        <v>375</v>
      </c>
      <c r="J1419" t="s">
        <v>1637</v>
      </c>
      <c r="K1419" t="s">
        <v>44</v>
      </c>
      <c r="L1419">
        <v>230</v>
      </c>
      <c r="M1419">
        <v>21</v>
      </c>
      <c r="N1419" t="s">
        <v>38</v>
      </c>
      <c r="O1419" t="s">
        <v>50</v>
      </c>
      <c r="P1419" t="s">
        <v>27</v>
      </c>
      <c r="Q1419" t="s">
        <v>51</v>
      </c>
      <c r="R1419" s="2">
        <v>0.59027777777777779</v>
      </c>
    </row>
    <row r="1420" spans="1:18" x14ac:dyDescent="0.25">
      <c r="A1420" t="s">
        <v>2887</v>
      </c>
      <c r="B1420" t="s">
        <v>1360</v>
      </c>
      <c r="C1420" s="1">
        <v>45173</v>
      </c>
      <c r="D1420" s="1" t="str">
        <f>TEXT(Delivery_data[[#This Row],[Order date]], "MMMM")</f>
        <v>September</v>
      </c>
      <c r="E1420" s="1" t="str">
        <f>TEXT(Delivery_data[[#This Row],[Order date]], "DDDD")</f>
        <v>Monday</v>
      </c>
      <c r="F1420" s="2">
        <v>0.46597222222222223</v>
      </c>
      <c r="G1420" t="s">
        <v>22</v>
      </c>
      <c r="H1420" t="str">
        <f>IF(Delivery_data[[#This Row],[Order Status]] = "In Progress", "Backlog", "Complete")</f>
        <v>Complete</v>
      </c>
      <c r="I1420" t="s">
        <v>375</v>
      </c>
      <c r="J1420" t="s">
        <v>1637</v>
      </c>
      <c r="K1420" t="s">
        <v>31</v>
      </c>
      <c r="L1420">
        <v>166</v>
      </c>
      <c r="M1420">
        <v>29</v>
      </c>
      <c r="N1420" t="s">
        <v>25</v>
      </c>
      <c r="O1420" t="s">
        <v>54</v>
      </c>
      <c r="P1420" t="s">
        <v>34</v>
      </c>
      <c r="Q1420" t="s">
        <v>28</v>
      </c>
      <c r="R1420" s="2">
        <v>0.38680555555555557</v>
      </c>
    </row>
    <row r="1421" spans="1:18" x14ac:dyDescent="0.25">
      <c r="A1421" t="s">
        <v>2927</v>
      </c>
      <c r="B1421" t="s">
        <v>1400</v>
      </c>
      <c r="C1421" s="1">
        <v>45176</v>
      </c>
      <c r="D1421" s="1" t="str">
        <f>TEXT(Delivery_data[[#This Row],[Order date]], "MMMM")</f>
        <v>September</v>
      </c>
      <c r="E1421" s="1" t="str">
        <f>TEXT(Delivery_data[[#This Row],[Order date]], "DDDD")</f>
        <v>Thursday</v>
      </c>
      <c r="F1421" s="2">
        <v>0.63124999999999998</v>
      </c>
      <c r="G1421" t="s">
        <v>48</v>
      </c>
      <c r="H1421" t="str">
        <f>IF(Delivery_data[[#This Row],[Order Status]] = "In Progress", "Backlog", "Complete")</f>
        <v>Backlog</v>
      </c>
      <c r="I1421" t="s">
        <v>375</v>
      </c>
      <c r="J1421" t="s">
        <v>1631</v>
      </c>
      <c r="K1421" t="s">
        <v>31</v>
      </c>
      <c r="L1421">
        <v>160</v>
      </c>
      <c r="M1421">
        <v>28</v>
      </c>
      <c r="N1421" t="s">
        <v>32</v>
      </c>
      <c r="O1421" t="s">
        <v>33</v>
      </c>
      <c r="P1421" t="s">
        <v>45</v>
      </c>
      <c r="Q1421" t="s">
        <v>28</v>
      </c>
      <c r="R1421" s="2">
        <v>0.42708333333333331</v>
      </c>
    </row>
    <row r="1422" spans="1:18" x14ac:dyDescent="0.25">
      <c r="A1422" t="s">
        <v>3024</v>
      </c>
      <c r="B1422" t="s">
        <v>1494</v>
      </c>
      <c r="C1422" s="1">
        <v>45174</v>
      </c>
      <c r="D1422" s="1" t="str">
        <f>TEXT(Delivery_data[[#This Row],[Order date]], "MMMM")</f>
        <v>September</v>
      </c>
      <c r="E1422" s="1" t="str">
        <f>TEXT(Delivery_data[[#This Row],[Order date]], "DDDD")</f>
        <v>Tuesday</v>
      </c>
      <c r="F1422" s="2">
        <v>0.51944444444444449</v>
      </c>
      <c r="G1422" t="s">
        <v>48</v>
      </c>
      <c r="H1422" t="str">
        <f>IF(Delivery_data[[#This Row],[Order Status]] = "In Progress", "Backlog", "Complete")</f>
        <v>Backlog</v>
      </c>
      <c r="I1422" t="s">
        <v>375</v>
      </c>
      <c r="J1422" t="s">
        <v>1637</v>
      </c>
      <c r="K1422" t="s">
        <v>44</v>
      </c>
      <c r="L1422">
        <v>133</v>
      </c>
      <c r="M1422">
        <v>3</v>
      </c>
      <c r="N1422" t="s">
        <v>25</v>
      </c>
      <c r="O1422" t="s">
        <v>33</v>
      </c>
      <c r="P1422" t="s">
        <v>27</v>
      </c>
      <c r="Q1422" t="s">
        <v>46</v>
      </c>
      <c r="R1422" s="2">
        <v>0.41666666666666669</v>
      </c>
    </row>
    <row r="1423" spans="1:18" x14ac:dyDescent="0.25">
      <c r="A1423" t="s">
        <v>1745</v>
      </c>
      <c r="B1423" t="s">
        <v>224</v>
      </c>
      <c r="C1423" s="1">
        <v>45171</v>
      </c>
      <c r="D1423" s="1" t="str">
        <f>TEXT(Delivery_data[[#This Row],[Order date]], "MMMM")</f>
        <v>September</v>
      </c>
      <c r="E1423" s="1" t="str">
        <f>TEXT(Delivery_data[[#This Row],[Order date]], "DDDD")</f>
        <v>Saturday</v>
      </c>
      <c r="F1423" s="2">
        <v>0.54791666666666672</v>
      </c>
      <c r="G1423" t="s">
        <v>22</v>
      </c>
      <c r="H1423" t="str">
        <f>IF(Delivery_data[[#This Row],[Order Status]] = "In Progress", "Backlog", "Complete")</f>
        <v>Complete</v>
      </c>
      <c r="I1423" t="s">
        <v>225</v>
      </c>
      <c r="J1423" t="s">
        <v>1633</v>
      </c>
      <c r="K1423" t="s">
        <v>31</v>
      </c>
      <c r="L1423">
        <v>234</v>
      </c>
      <c r="M1423">
        <v>15</v>
      </c>
      <c r="N1423" t="s">
        <v>38</v>
      </c>
      <c r="O1423" t="s">
        <v>26</v>
      </c>
      <c r="P1423" t="s">
        <v>27</v>
      </c>
      <c r="Q1423" t="s">
        <v>46</v>
      </c>
      <c r="R1423" s="2">
        <v>0.4152777777777778</v>
      </c>
    </row>
    <row r="1424" spans="1:18" x14ac:dyDescent="0.25">
      <c r="A1424" t="s">
        <v>1782</v>
      </c>
      <c r="B1424" t="s">
        <v>270</v>
      </c>
      <c r="C1424" s="1">
        <v>45172</v>
      </c>
      <c r="D1424" s="1" t="str">
        <f>TEXT(Delivery_data[[#This Row],[Order date]], "MMMM")</f>
        <v>September</v>
      </c>
      <c r="E1424" s="1" t="str">
        <f>TEXT(Delivery_data[[#This Row],[Order date]], "DDDD")</f>
        <v>Sunday</v>
      </c>
      <c r="F1424" s="2">
        <v>0.67500000000000004</v>
      </c>
      <c r="G1424" t="s">
        <v>22</v>
      </c>
      <c r="H1424" t="str">
        <f>IF(Delivery_data[[#This Row],[Order Status]] = "In Progress", "Backlog", "Complete")</f>
        <v>Complete</v>
      </c>
      <c r="I1424" t="s">
        <v>225</v>
      </c>
      <c r="J1424" t="s">
        <v>1633</v>
      </c>
      <c r="K1424" t="s">
        <v>61</v>
      </c>
      <c r="L1424">
        <v>106</v>
      </c>
      <c r="M1424">
        <v>10</v>
      </c>
      <c r="N1424" t="s">
        <v>25</v>
      </c>
      <c r="O1424" t="s">
        <v>50</v>
      </c>
      <c r="P1424" t="s">
        <v>45</v>
      </c>
      <c r="Q1424" t="s">
        <v>46</v>
      </c>
      <c r="R1424" s="2">
        <v>0.45069444444444445</v>
      </c>
    </row>
    <row r="1425" spans="1:18" x14ac:dyDescent="0.25">
      <c r="A1425" t="s">
        <v>1879</v>
      </c>
      <c r="B1425" t="s">
        <v>380</v>
      </c>
      <c r="C1425" s="1">
        <v>45173</v>
      </c>
      <c r="D1425" s="1" t="str">
        <f>TEXT(Delivery_data[[#This Row],[Order date]], "MMMM")</f>
        <v>September</v>
      </c>
      <c r="E1425" s="1" t="str">
        <f>TEXT(Delivery_data[[#This Row],[Order date]], "DDDD")</f>
        <v>Monday</v>
      </c>
      <c r="F1425" s="2">
        <v>0.62916666666666665</v>
      </c>
      <c r="G1425" t="s">
        <v>22</v>
      </c>
      <c r="H1425" t="str">
        <f>IF(Delivery_data[[#This Row],[Order Status]] = "In Progress", "Backlog", "Complete")</f>
        <v>Complete</v>
      </c>
      <c r="I1425" t="s">
        <v>225</v>
      </c>
      <c r="J1425" t="s">
        <v>1637</v>
      </c>
      <c r="K1425" t="s">
        <v>44</v>
      </c>
      <c r="L1425">
        <v>156</v>
      </c>
      <c r="M1425">
        <v>17</v>
      </c>
      <c r="N1425" t="s">
        <v>32</v>
      </c>
      <c r="O1425" t="s">
        <v>54</v>
      </c>
      <c r="P1425" t="s">
        <v>45</v>
      </c>
      <c r="Q1425" t="s">
        <v>28</v>
      </c>
      <c r="R1425" s="2">
        <v>0.52013888888888893</v>
      </c>
    </row>
    <row r="1426" spans="1:18" x14ac:dyDescent="0.25">
      <c r="A1426" t="s">
        <v>1984</v>
      </c>
      <c r="B1426" t="s">
        <v>489</v>
      </c>
      <c r="C1426" s="1">
        <v>45176</v>
      </c>
      <c r="D1426" s="1" t="str">
        <f>TEXT(Delivery_data[[#This Row],[Order date]], "MMMM")</f>
        <v>September</v>
      </c>
      <c r="E1426" s="1" t="str">
        <f>TEXT(Delivery_data[[#This Row],[Order date]], "DDDD")</f>
        <v>Thursday</v>
      </c>
      <c r="F1426" s="2">
        <v>0.37222222222222223</v>
      </c>
      <c r="G1426" t="s">
        <v>22</v>
      </c>
      <c r="H1426" t="str">
        <f>IF(Delivery_data[[#This Row],[Order Status]] = "In Progress", "Backlog", "Complete")</f>
        <v>Complete</v>
      </c>
      <c r="I1426" t="s">
        <v>225</v>
      </c>
      <c r="J1426" t="s">
        <v>1633</v>
      </c>
      <c r="K1426" t="s">
        <v>61</v>
      </c>
      <c r="L1426">
        <v>130</v>
      </c>
      <c r="M1426">
        <v>14</v>
      </c>
      <c r="N1426" t="s">
        <v>32</v>
      </c>
      <c r="O1426" t="s">
        <v>41</v>
      </c>
      <c r="P1426" t="s">
        <v>45</v>
      </c>
      <c r="Q1426" t="s">
        <v>51</v>
      </c>
      <c r="R1426" s="2">
        <v>0.52500000000000002</v>
      </c>
    </row>
    <row r="1427" spans="1:18" x14ac:dyDescent="0.25">
      <c r="A1427" t="s">
        <v>2000</v>
      </c>
      <c r="B1427" t="s">
        <v>505</v>
      </c>
      <c r="C1427" s="1">
        <v>45171</v>
      </c>
      <c r="D1427" s="1" t="str">
        <f>TEXT(Delivery_data[[#This Row],[Order date]], "MMMM")</f>
        <v>September</v>
      </c>
      <c r="E1427" s="1" t="str">
        <f>TEXT(Delivery_data[[#This Row],[Order date]], "DDDD")</f>
        <v>Saturday</v>
      </c>
      <c r="F1427" s="2">
        <v>0.50486111111111109</v>
      </c>
      <c r="G1427" t="s">
        <v>22</v>
      </c>
      <c r="H1427" t="str">
        <f>IF(Delivery_data[[#This Row],[Order Status]] = "In Progress", "Backlog", "Complete")</f>
        <v>Complete</v>
      </c>
      <c r="I1427" t="s">
        <v>225</v>
      </c>
      <c r="J1427" t="s">
        <v>1637</v>
      </c>
      <c r="K1427" t="s">
        <v>61</v>
      </c>
      <c r="L1427">
        <v>101</v>
      </c>
      <c r="M1427">
        <v>25</v>
      </c>
      <c r="N1427" t="s">
        <v>38</v>
      </c>
      <c r="O1427" t="s">
        <v>54</v>
      </c>
      <c r="P1427" t="s">
        <v>27</v>
      </c>
      <c r="Q1427" t="s">
        <v>51</v>
      </c>
      <c r="R1427" s="2">
        <v>0.64097222222222228</v>
      </c>
    </row>
    <row r="1428" spans="1:18" x14ac:dyDescent="0.25">
      <c r="A1428" t="s">
        <v>2128</v>
      </c>
      <c r="B1428" t="s">
        <v>632</v>
      </c>
      <c r="C1428" s="1">
        <v>45175</v>
      </c>
      <c r="D1428" s="1" t="str">
        <f>TEXT(Delivery_data[[#This Row],[Order date]], "MMMM")</f>
        <v>September</v>
      </c>
      <c r="E1428" s="1" t="str">
        <f>TEXT(Delivery_data[[#This Row],[Order date]], "DDDD")</f>
        <v>Wednesday</v>
      </c>
      <c r="F1428" s="2">
        <v>0.34652777777777777</v>
      </c>
      <c r="G1428" t="s">
        <v>48</v>
      </c>
      <c r="H1428" t="str">
        <f>IF(Delivery_data[[#This Row],[Order Status]] = "In Progress", "Backlog", "Complete")</f>
        <v>Backlog</v>
      </c>
      <c r="I1428" t="s">
        <v>225</v>
      </c>
      <c r="J1428" t="s">
        <v>1631</v>
      </c>
      <c r="K1428" t="s">
        <v>24</v>
      </c>
      <c r="L1428">
        <v>231</v>
      </c>
      <c r="M1428">
        <v>10</v>
      </c>
      <c r="N1428" t="s">
        <v>25</v>
      </c>
      <c r="O1428" t="s">
        <v>50</v>
      </c>
      <c r="P1428" t="s">
        <v>34</v>
      </c>
      <c r="Q1428" t="s">
        <v>51</v>
      </c>
      <c r="R1428" s="2">
        <v>0.61319444444444449</v>
      </c>
    </row>
    <row r="1429" spans="1:18" x14ac:dyDescent="0.25">
      <c r="A1429" t="s">
        <v>2190</v>
      </c>
      <c r="B1429" t="s">
        <v>691</v>
      </c>
      <c r="C1429" s="1">
        <v>45177</v>
      </c>
      <c r="D1429" s="1" t="str">
        <f>TEXT(Delivery_data[[#This Row],[Order date]], "MMMM")</f>
        <v>September</v>
      </c>
      <c r="E1429" s="1" t="str">
        <f>TEXT(Delivery_data[[#This Row],[Order date]], "DDDD")</f>
        <v>Friday</v>
      </c>
      <c r="F1429" s="2">
        <v>0.4</v>
      </c>
      <c r="G1429" t="s">
        <v>22</v>
      </c>
      <c r="H1429" t="str">
        <f>IF(Delivery_data[[#This Row],[Order Status]] = "In Progress", "Backlog", "Complete")</f>
        <v>Complete</v>
      </c>
      <c r="I1429" t="s">
        <v>225</v>
      </c>
      <c r="J1429" t="s">
        <v>1637</v>
      </c>
      <c r="K1429" t="s">
        <v>24</v>
      </c>
      <c r="L1429">
        <v>170</v>
      </c>
      <c r="M1429">
        <v>29</v>
      </c>
      <c r="N1429" t="s">
        <v>38</v>
      </c>
      <c r="O1429" t="s">
        <v>33</v>
      </c>
      <c r="P1429" t="s">
        <v>34</v>
      </c>
      <c r="Q1429" t="s">
        <v>46</v>
      </c>
      <c r="R1429" s="2">
        <v>0.55486111111111114</v>
      </c>
    </row>
    <row r="1430" spans="1:18" x14ac:dyDescent="0.25">
      <c r="A1430" t="s">
        <v>2194</v>
      </c>
      <c r="B1430" t="s">
        <v>695</v>
      </c>
      <c r="C1430" s="1">
        <v>45172</v>
      </c>
      <c r="D1430" s="1" t="str">
        <f>TEXT(Delivery_data[[#This Row],[Order date]], "MMMM")</f>
        <v>September</v>
      </c>
      <c r="E1430" s="1" t="str">
        <f>TEXT(Delivery_data[[#This Row],[Order date]], "DDDD")</f>
        <v>Sunday</v>
      </c>
      <c r="F1430" s="2">
        <v>0.66249999999999998</v>
      </c>
      <c r="G1430" t="s">
        <v>48</v>
      </c>
      <c r="H1430" t="str">
        <f>IF(Delivery_data[[#This Row],[Order Status]] = "In Progress", "Backlog", "Complete")</f>
        <v>Backlog</v>
      </c>
      <c r="I1430" t="s">
        <v>225</v>
      </c>
      <c r="J1430" t="s">
        <v>1631</v>
      </c>
      <c r="K1430" t="s">
        <v>24</v>
      </c>
      <c r="L1430">
        <v>135</v>
      </c>
      <c r="M1430">
        <v>3</v>
      </c>
      <c r="N1430" t="s">
        <v>38</v>
      </c>
      <c r="O1430" t="s">
        <v>54</v>
      </c>
      <c r="P1430" t="s">
        <v>27</v>
      </c>
      <c r="Q1430" t="s">
        <v>51</v>
      </c>
      <c r="R1430" s="2">
        <v>0.41597222222222224</v>
      </c>
    </row>
    <row r="1431" spans="1:18" x14ac:dyDescent="0.25">
      <c r="A1431" t="s">
        <v>2212</v>
      </c>
      <c r="B1431" t="s">
        <v>713</v>
      </c>
      <c r="C1431" s="1">
        <v>45177</v>
      </c>
      <c r="D1431" s="1" t="str">
        <f>TEXT(Delivery_data[[#This Row],[Order date]], "MMMM")</f>
        <v>September</v>
      </c>
      <c r="E1431" s="1" t="str">
        <f>TEXT(Delivery_data[[#This Row],[Order date]], "DDDD")</f>
        <v>Friday</v>
      </c>
      <c r="F1431" s="2">
        <v>0.51597222222222228</v>
      </c>
      <c r="G1431" t="s">
        <v>48</v>
      </c>
      <c r="H1431" t="str">
        <f>IF(Delivery_data[[#This Row],[Order Status]] = "In Progress", "Backlog", "Complete")</f>
        <v>Backlog</v>
      </c>
      <c r="I1431" t="s">
        <v>225</v>
      </c>
      <c r="J1431" t="s">
        <v>1633</v>
      </c>
      <c r="K1431" t="s">
        <v>31</v>
      </c>
      <c r="L1431">
        <v>61</v>
      </c>
      <c r="M1431">
        <v>6</v>
      </c>
      <c r="N1431" t="s">
        <v>32</v>
      </c>
      <c r="O1431" t="s">
        <v>26</v>
      </c>
      <c r="P1431" t="s">
        <v>27</v>
      </c>
      <c r="Q1431" t="s">
        <v>46</v>
      </c>
      <c r="R1431" s="2">
        <v>0.56319444444444444</v>
      </c>
    </row>
    <row r="1432" spans="1:18" x14ac:dyDescent="0.25">
      <c r="A1432" t="s">
        <v>2446</v>
      </c>
      <c r="B1432" t="s">
        <v>938</v>
      </c>
      <c r="C1432" s="1">
        <v>45172</v>
      </c>
      <c r="D1432" s="1" t="str">
        <f>TEXT(Delivery_data[[#This Row],[Order date]], "MMMM")</f>
        <v>September</v>
      </c>
      <c r="E1432" s="1" t="str">
        <f>TEXT(Delivery_data[[#This Row],[Order date]], "DDDD")</f>
        <v>Sunday</v>
      </c>
      <c r="F1432" s="2">
        <v>0.45416666666666666</v>
      </c>
      <c r="G1432" t="s">
        <v>48</v>
      </c>
      <c r="H1432" t="str">
        <f>IF(Delivery_data[[#This Row],[Order Status]] = "In Progress", "Backlog", "Complete")</f>
        <v>Backlog</v>
      </c>
      <c r="I1432" t="s">
        <v>225</v>
      </c>
      <c r="J1432" t="s">
        <v>1631</v>
      </c>
      <c r="K1432" t="s">
        <v>61</v>
      </c>
      <c r="L1432">
        <v>238</v>
      </c>
      <c r="M1432">
        <v>27</v>
      </c>
      <c r="N1432" t="s">
        <v>38</v>
      </c>
      <c r="O1432" t="s">
        <v>54</v>
      </c>
      <c r="P1432" t="s">
        <v>34</v>
      </c>
      <c r="Q1432" t="s">
        <v>28</v>
      </c>
      <c r="R1432" s="2">
        <v>0.41666666666666669</v>
      </c>
    </row>
    <row r="1433" spans="1:18" x14ac:dyDescent="0.25">
      <c r="A1433" t="s">
        <v>2500</v>
      </c>
      <c r="B1433" t="s">
        <v>989</v>
      </c>
      <c r="C1433" s="1">
        <v>45170</v>
      </c>
      <c r="D1433" s="1" t="str">
        <f>TEXT(Delivery_data[[#This Row],[Order date]], "MMMM")</f>
        <v>September</v>
      </c>
      <c r="E1433" s="1" t="str">
        <f>TEXT(Delivery_data[[#This Row],[Order date]], "DDDD")</f>
        <v>Friday</v>
      </c>
      <c r="F1433" s="2">
        <v>0.46250000000000002</v>
      </c>
      <c r="G1433" t="s">
        <v>48</v>
      </c>
      <c r="H1433" t="str">
        <f>IF(Delivery_data[[#This Row],[Order Status]] = "In Progress", "Backlog", "Complete")</f>
        <v>Backlog</v>
      </c>
      <c r="I1433" t="s">
        <v>225</v>
      </c>
      <c r="J1433" t="s">
        <v>1633</v>
      </c>
      <c r="K1433" t="s">
        <v>44</v>
      </c>
      <c r="L1433">
        <v>115</v>
      </c>
      <c r="M1433">
        <v>7</v>
      </c>
      <c r="N1433" t="s">
        <v>32</v>
      </c>
      <c r="O1433" t="s">
        <v>26</v>
      </c>
      <c r="P1433" t="s">
        <v>45</v>
      </c>
      <c r="Q1433" t="s">
        <v>51</v>
      </c>
      <c r="R1433" s="2">
        <v>0.44722222222222224</v>
      </c>
    </row>
    <row r="1434" spans="1:18" x14ac:dyDescent="0.25">
      <c r="A1434" t="s">
        <v>2521</v>
      </c>
      <c r="B1434" t="s">
        <v>1010</v>
      </c>
      <c r="C1434" s="1">
        <v>45177</v>
      </c>
      <c r="D1434" s="1" t="str">
        <f>TEXT(Delivery_data[[#This Row],[Order date]], "MMMM")</f>
        <v>September</v>
      </c>
      <c r="E1434" s="1" t="str">
        <f>TEXT(Delivery_data[[#This Row],[Order date]], "DDDD")</f>
        <v>Friday</v>
      </c>
      <c r="F1434" s="2">
        <v>0.45277777777777778</v>
      </c>
      <c r="G1434" t="s">
        <v>48</v>
      </c>
      <c r="H1434" t="str">
        <f>IF(Delivery_data[[#This Row],[Order Status]] = "In Progress", "Backlog", "Complete")</f>
        <v>Backlog</v>
      </c>
      <c r="I1434" t="s">
        <v>225</v>
      </c>
      <c r="J1434" t="s">
        <v>1631</v>
      </c>
      <c r="K1434" t="s">
        <v>61</v>
      </c>
      <c r="L1434">
        <v>91</v>
      </c>
      <c r="M1434">
        <v>28</v>
      </c>
      <c r="N1434" t="s">
        <v>38</v>
      </c>
      <c r="O1434" t="s">
        <v>41</v>
      </c>
      <c r="P1434" t="s">
        <v>27</v>
      </c>
      <c r="Q1434" t="s">
        <v>28</v>
      </c>
      <c r="R1434" s="2">
        <v>0.65833333333333333</v>
      </c>
    </row>
    <row r="1435" spans="1:18" x14ac:dyDescent="0.25">
      <c r="A1435" t="s">
        <v>2665</v>
      </c>
      <c r="B1435" t="s">
        <v>1148</v>
      </c>
      <c r="C1435" s="1">
        <v>45173</v>
      </c>
      <c r="D1435" s="1" t="str">
        <f>TEXT(Delivery_data[[#This Row],[Order date]], "MMMM")</f>
        <v>September</v>
      </c>
      <c r="E1435" s="1" t="str">
        <f>TEXT(Delivery_data[[#This Row],[Order date]], "DDDD")</f>
        <v>Monday</v>
      </c>
      <c r="F1435" s="2">
        <v>0.3923611111111111</v>
      </c>
      <c r="G1435" t="s">
        <v>48</v>
      </c>
      <c r="H1435" t="str">
        <f>IF(Delivery_data[[#This Row],[Order Status]] = "In Progress", "Backlog", "Complete")</f>
        <v>Backlog</v>
      </c>
      <c r="I1435" t="s">
        <v>225</v>
      </c>
      <c r="J1435" t="s">
        <v>1637</v>
      </c>
      <c r="K1435" t="s">
        <v>37</v>
      </c>
      <c r="L1435">
        <v>150</v>
      </c>
      <c r="M1435">
        <v>3</v>
      </c>
      <c r="N1435" t="s">
        <v>38</v>
      </c>
      <c r="O1435" t="s">
        <v>50</v>
      </c>
      <c r="P1435" t="s">
        <v>45</v>
      </c>
      <c r="Q1435" t="s">
        <v>51</v>
      </c>
      <c r="R1435" s="2">
        <v>0.58680555555555558</v>
      </c>
    </row>
    <row r="1436" spans="1:18" x14ac:dyDescent="0.25">
      <c r="A1436" t="s">
        <v>2678</v>
      </c>
      <c r="B1436" t="s">
        <v>1160</v>
      </c>
      <c r="C1436" s="1">
        <v>45177</v>
      </c>
      <c r="D1436" s="1" t="str">
        <f>TEXT(Delivery_data[[#This Row],[Order date]], "MMMM")</f>
        <v>September</v>
      </c>
      <c r="E1436" s="1" t="str">
        <f>TEXT(Delivery_data[[#This Row],[Order date]], "DDDD")</f>
        <v>Friday</v>
      </c>
      <c r="F1436" s="2">
        <v>0.41319444444444442</v>
      </c>
      <c r="G1436" t="s">
        <v>22</v>
      </c>
      <c r="H1436" t="str">
        <f>IF(Delivery_data[[#This Row],[Order Status]] = "In Progress", "Backlog", "Complete")</f>
        <v>Complete</v>
      </c>
      <c r="I1436" t="s">
        <v>225</v>
      </c>
      <c r="J1436" t="s">
        <v>1631</v>
      </c>
      <c r="K1436" t="s">
        <v>24</v>
      </c>
      <c r="L1436">
        <v>102</v>
      </c>
      <c r="M1436">
        <v>24</v>
      </c>
      <c r="N1436" t="s">
        <v>38</v>
      </c>
      <c r="O1436" t="s">
        <v>33</v>
      </c>
      <c r="P1436" t="s">
        <v>27</v>
      </c>
      <c r="Q1436" t="s">
        <v>51</v>
      </c>
      <c r="R1436" s="2">
        <v>0.41875000000000001</v>
      </c>
    </row>
    <row r="1437" spans="1:18" x14ac:dyDescent="0.25">
      <c r="A1437" t="s">
        <v>2720</v>
      </c>
      <c r="B1437" t="s">
        <v>1201</v>
      </c>
      <c r="C1437" s="1">
        <v>45174</v>
      </c>
      <c r="D1437" s="1" t="str">
        <f>TEXT(Delivery_data[[#This Row],[Order date]], "MMMM")</f>
        <v>September</v>
      </c>
      <c r="E1437" s="1" t="str">
        <f>TEXT(Delivery_data[[#This Row],[Order date]], "DDDD")</f>
        <v>Tuesday</v>
      </c>
      <c r="F1437" s="2">
        <v>0.64444444444444449</v>
      </c>
      <c r="G1437" t="s">
        <v>22</v>
      </c>
      <c r="H1437" t="str">
        <f>IF(Delivery_data[[#This Row],[Order Status]] = "In Progress", "Backlog", "Complete")</f>
        <v>Complete</v>
      </c>
      <c r="I1437" t="s">
        <v>225</v>
      </c>
      <c r="J1437" t="s">
        <v>1631</v>
      </c>
      <c r="K1437" t="s">
        <v>31</v>
      </c>
      <c r="L1437">
        <v>77</v>
      </c>
      <c r="M1437">
        <v>21</v>
      </c>
      <c r="N1437" t="s">
        <v>25</v>
      </c>
      <c r="O1437" t="s">
        <v>50</v>
      </c>
      <c r="P1437" t="s">
        <v>34</v>
      </c>
      <c r="Q1437" t="s">
        <v>51</v>
      </c>
      <c r="R1437" s="2">
        <v>0.57152777777777775</v>
      </c>
    </row>
    <row r="1438" spans="1:18" x14ac:dyDescent="0.25">
      <c r="A1438" t="s">
        <v>2730</v>
      </c>
      <c r="B1438" t="s">
        <v>1211</v>
      </c>
      <c r="C1438" s="1">
        <v>45173</v>
      </c>
      <c r="D1438" s="1" t="str">
        <f>TEXT(Delivery_data[[#This Row],[Order date]], "MMMM")</f>
        <v>September</v>
      </c>
      <c r="E1438" s="1" t="str">
        <f>TEXT(Delivery_data[[#This Row],[Order date]], "DDDD")</f>
        <v>Monday</v>
      </c>
      <c r="F1438" s="2">
        <v>0.42499999999999999</v>
      </c>
      <c r="G1438" t="s">
        <v>22</v>
      </c>
      <c r="H1438" t="str">
        <f>IF(Delivery_data[[#This Row],[Order Status]] = "In Progress", "Backlog", "Complete")</f>
        <v>Complete</v>
      </c>
      <c r="I1438" t="s">
        <v>225</v>
      </c>
      <c r="J1438" t="s">
        <v>1637</v>
      </c>
      <c r="K1438" t="s">
        <v>24</v>
      </c>
      <c r="L1438">
        <v>180</v>
      </c>
      <c r="M1438">
        <v>26</v>
      </c>
      <c r="N1438" t="s">
        <v>32</v>
      </c>
      <c r="O1438" t="s">
        <v>41</v>
      </c>
      <c r="P1438" t="s">
        <v>27</v>
      </c>
      <c r="Q1438" t="s">
        <v>28</v>
      </c>
      <c r="R1438" s="2">
        <v>0.46944444444444444</v>
      </c>
    </row>
    <row r="1439" spans="1:18" x14ac:dyDescent="0.25">
      <c r="A1439" t="s">
        <v>2776</v>
      </c>
      <c r="B1439" t="s">
        <v>1254</v>
      </c>
      <c r="C1439" s="1">
        <v>45173</v>
      </c>
      <c r="D1439" s="1" t="str">
        <f>TEXT(Delivery_data[[#This Row],[Order date]], "MMMM")</f>
        <v>September</v>
      </c>
      <c r="E1439" s="1" t="str">
        <f>TEXT(Delivery_data[[#This Row],[Order date]], "DDDD")</f>
        <v>Monday</v>
      </c>
      <c r="F1439" s="2">
        <v>0.66805555555555551</v>
      </c>
      <c r="G1439" t="s">
        <v>48</v>
      </c>
      <c r="H1439" t="str">
        <f>IF(Delivery_data[[#This Row],[Order Status]] = "In Progress", "Backlog", "Complete")</f>
        <v>Backlog</v>
      </c>
      <c r="I1439" t="s">
        <v>225</v>
      </c>
      <c r="J1439" t="s">
        <v>1637</v>
      </c>
      <c r="K1439" t="s">
        <v>31</v>
      </c>
      <c r="L1439">
        <v>142</v>
      </c>
      <c r="M1439">
        <v>25</v>
      </c>
      <c r="N1439" t="s">
        <v>32</v>
      </c>
      <c r="O1439" t="s">
        <v>26</v>
      </c>
      <c r="P1439" t="s">
        <v>45</v>
      </c>
      <c r="Q1439" t="s">
        <v>51</v>
      </c>
      <c r="R1439" s="2">
        <v>0.62083333333333335</v>
      </c>
    </row>
    <row r="1440" spans="1:18" x14ac:dyDescent="0.25">
      <c r="A1440" t="s">
        <v>2882</v>
      </c>
      <c r="B1440" t="s">
        <v>1355</v>
      </c>
      <c r="C1440" s="1">
        <v>45172</v>
      </c>
      <c r="D1440" s="1" t="str">
        <f>TEXT(Delivery_data[[#This Row],[Order date]], "MMMM")</f>
        <v>September</v>
      </c>
      <c r="E1440" s="1" t="str">
        <f>TEXT(Delivery_data[[#This Row],[Order date]], "DDDD")</f>
        <v>Sunday</v>
      </c>
      <c r="F1440" s="2">
        <v>0.62013888888888891</v>
      </c>
      <c r="G1440" t="s">
        <v>22</v>
      </c>
      <c r="H1440" t="str">
        <f>IF(Delivery_data[[#This Row],[Order Status]] = "In Progress", "Backlog", "Complete")</f>
        <v>Complete</v>
      </c>
      <c r="I1440" t="s">
        <v>225</v>
      </c>
      <c r="J1440" t="s">
        <v>1633</v>
      </c>
      <c r="K1440" t="s">
        <v>31</v>
      </c>
      <c r="L1440">
        <v>157</v>
      </c>
      <c r="M1440">
        <v>2</v>
      </c>
      <c r="N1440" t="s">
        <v>25</v>
      </c>
      <c r="O1440" t="s">
        <v>41</v>
      </c>
      <c r="P1440" t="s">
        <v>45</v>
      </c>
      <c r="Q1440" t="s">
        <v>46</v>
      </c>
      <c r="R1440" s="2">
        <v>0.64583333333333337</v>
      </c>
    </row>
    <row r="1441" spans="1:18" x14ac:dyDescent="0.25">
      <c r="A1441" t="s">
        <v>2909</v>
      </c>
      <c r="B1441" t="s">
        <v>1382</v>
      </c>
      <c r="C1441" s="1">
        <v>45177</v>
      </c>
      <c r="D1441" s="1" t="str">
        <f>TEXT(Delivery_data[[#This Row],[Order date]], "MMMM")</f>
        <v>September</v>
      </c>
      <c r="E1441" s="1" t="str">
        <f>TEXT(Delivery_data[[#This Row],[Order date]], "DDDD")</f>
        <v>Friday</v>
      </c>
      <c r="F1441" s="2">
        <v>0.58819444444444446</v>
      </c>
      <c r="G1441" t="s">
        <v>48</v>
      </c>
      <c r="H1441" t="str">
        <f>IF(Delivery_data[[#This Row],[Order Status]] = "In Progress", "Backlog", "Complete")</f>
        <v>Backlog</v>
      </c>
      <c r="I1441" t="s">
        <v>225</v>
      </c>
      <c r="J1441" t="s">
        <v>1637</v>
      </c>
      <c r="K1441" t="s">
        <v>24</v>
      </c>
      <c r="L1441">
        <v>184</v>
      </c>
      <c r="M1441">
        <v>22</v>
      </c>
      <c r="N1441" t="s">
        <v>38</v>
      </c>
      <c r="O1441" t="s">
        <v>33</v>
      </c>
      <c r="P1441" t="s">
        <v>34</v>
      </c>
      <c r="Q1441" t="s">
        <v>51</v>
      </c>
      <c r="R1441" s="2">
        <v>0.35694444444444445</v>
      </c>
    </row>
    <row r="1442" spans="1:18" x14ac:dyDescent="0.25">
      <c r="A1442" t="s">
        <v>2983</v>
      </c>
      <c r="B1442" t="s">
        <v>1456</v>
      </c>
      <c r="C1442" s="1">
        <v>45176</v>
      </c>
      <c r="D1442" s="1" t="str">
        <f>TEXT(Delivery_data[[#This Row],[Order date]], "MMMM")</f>
        <v>September</v>
      </c>
      <c r="E1442" s="1" t="str">
        <f>TEXT(Delivery_data[[#This Row],[Order date]], "DDDD")</f>
        <v>Thursday</v>
      </c>
      <c r="F1442" s="2">
        <v>0.56874999999999998</v>
      </c>
      <c r="G1442" t="s">
        <v>22</v>
      </c>
      <c r="H1442" t="str">
        <f>IF(Delivery_data[[#This Row],[Order Status]] = "In Progress", "Backlog", "Complete")</f>
        <v>Complete</v>
      </c>
      <c r="I1442" t="s">
        <v>225</v>
      </c>
      <c r="J1442" t="s">
        <v>1633</v>
      </c>
      <c r="K1442" t="s">
        <v>37</v>
      </c>
      <c r="L1442">
        <v>207</v>
      </c>
      <c r="M1442">
        <v>28</v>
      </c>
      <c r="N1442" t="s">
        <v>25</v>
      </c>
      <c r="O1442" t="s">
        <v>54</v>
      </c>
      <c r="P1442" t="s">
        <v>45</v>
      </c>
      <c r="Q1442" t="s">
        <v>28</v>
      </c>
      <c r="R1442" s="2">
        <v>0.42083333333333334</v>
      </c>
    </row>
    <row r="1443" spans="1:18" x14ac:dyDescent="0.25">
      <c r="A1443" t="s">
        <v>1702</v>
      </c>
      <c r="B1443" t="s">
        <v>162</v>
      </c>
      <c r="C1443" s="1">
        <v>45175</v>
      </c>
      <c r="D1443" s="1" t="str">
        <f>TEXT(Delivery_data[[#This Row],[Order date]], "MMMM")</f>
        <v>September</v>
      </c>
      <c r="E1443" s="1" t="str">
        <f>TEXT(Delivery_data[[#This Row],[Order date]], "DDDD")</f>
        <v>Wednesday</v>
      </c>
      <c r="F1443" s="2">
        <v>0.69444444444444442</v>
      </c>
      <c r="G1443" t="s">
        <v>22</v>
      </c>
      <c r="H1443" t="str">
        <f>IF(Delivery_data[[#This Row],[Order Status]] = "In Progress", "Backlog", "Complete")</f>
        <v>Complete</v>
      </c>
      <c r="I1443" t="s">
        <v>163</v>
      </c>
      <c r="J1443" t="s">
        <v>1631</v>
      </c>
      <c r="K1443" t="s">
        <v>31</v>
      </c>
      <c r="L1443">
        <v>172</v>
      </c>
      <c r="M1443">
        <v>6</v>
      </c>
      <c r="N1443" t="s">
        <v>38</v>
      </c>
      <c r="O1443" t="s">
        <v>33</v>
      </c>
      <c r="P1443" t="s">
        <v>34</v>
      </c>
      <c r="Q1443" t="s">
        <v>46</v>
      </c>
      <c r="R1443" s="2">
        <v>0.57916666666666672</v>
      </c>
    </row>
    <row r="1444" spans="1:18" x14ac:dyDescent="0.25">
      <c r="A1444" t="s">
        <v>1718</v>
      </c>
      <c r="B1444" t="s">
        <v>188</v>
      </c>
      <c r="C1444" s="1">
        <v>45174</v>
      </c>
      <c r="D1444" s="1" t="str">
        <f>TEXT(Delivery_data[[#This Row],[Order date]], "MMMM")</f>
        <v>September</v>
      </c>
      <c r="E1444" s="1" t="str">
        <f>TEXT(Delivery_data[[#This Row],[Order date]], "DDDD")</f>
        <v>Tuesday</v>
      </c>
      <c r="F1444" s="2">
        <v>0.38750000000000001</v>
      </c>
      <c r="G1444" t="s">
        <v>22</v>
      </c>
      <c r="H1444" t="str">
        <f>IF(Delivery_data[[#This Row],[Order Status]] = "In Progress", "Backlog", "Complete")</f>
        <v>Complete</v>
      </c>
      <c r="I1444" t="s">
        <v>163</v>
      </c>
      <c r="J1444" t="s">
        <v>1633</v>
      </c>
      <c r="K1444" t="s">
        <v>24</v>
      </c>
      <c r="L1444">
        <v>133</v>
      </c>
      <c r="M1444">
        <v>21</v>
      </c>
      <c r="N1444" t="s">
        <v>38</v>
      </c>
      <c r="O1444" t="s">
        <v>41</v>
      </c>
      <c r="P1444" t="s">
        <v>27</v>
      </c>
      <c r="Q1444" t="s">
        <v>51</v>
      </c>
      <c r="R1444" s="2">
        <v>0.57361111111111107</v>
      </c>
    </row>
    <row r="1445" spans="1:18" x14ac:dyDescent="0.25">
      <c r="A1445" t="s">
        <v>1737</v>
      </c>
      <c r="B1445" t="s">
        <v>214</v>
      </c>
      <c r="C1445" s="1">
        <v>45172</v>
      </c>
      <c r="D1445" s="1" t="str">
        <f>TEXT(Delivery_data[[#This Row],[Order date]], "MMMM")</f>
        <v>September</v>
      </c>
      <c r="E1445" s="1" t="str">
        <f>TEXT(Delivery_data[[#This Row],[Order date]], "DDDD")</f>
        <v>Sunday</v>
      </c>
      <c r="F1445" s="2">
        <v>0.54236111111111107</v>
      </c>
      <c r="G1445" t="s">
        <v>48</v>
      </c>
      <c r="H1445" t="str">
        <f>IF(Delivery_data[[#This Row],[Order Status]] = "In Progress", "Backlog", "Complete")</f>
        <v>Backlog</v>
      </c>
      <c r="I1445" t="s">
        <v>163</v>
      </c>
      <c r="J1445" t="s">
        <v>1633</v>
      </c>
      <c r="K1445" t="s">
        <v>24</v>
      </c>
      <c r="L1445">
        <v>239</v>
      </c>
      <c r="M1445">
        <v>22</v>
      </c>
      <c r="N1445" t="s">
        <v>32</v>
      </c>
      <c r="O1445" t="s">
        <v>26</v>
      </c>
      <c r="P1445" t="s">
        <v>34</v>
      </c>
      <c r="Q1445" t="s">
        <v>51</v>
      </c>
      <c r="R1445" s="2">
        <v>0.46805555555555556</v>
      </c>
    </row>
    <row r="1446" spans="1:18" x14ac:dyDescent="0.25">
      <c r="A1446" t="s">
        <v>1760</v>
      </c>
      <c r="B1446" t="s">
        <v>243</v>
      </c>
      <c r="C1446" s="1">
        <v>45172</v>
      </c>
      <c r="D1446" s="1" t="str">
        <f>TEXT(Delivery_data[[#This Row],[Order date]], "MMMM")</f>
        <v>September</v>
      </c>
      <c r="E1446" s="1" t="str">
        <f>TEXT(Delivery_data[[#This Row],[Order date]], "DDDD")</f>
        <v>Sunday</v>
      </c>
      <c r="F1446" s="2">
        <v>0.49791666666666667</v>
      </c>
      <c r="G1446" t="s">
        <v>22</v>
      </c>
      <c r="H1446" t="str">
        <f>IF(Delivery_data[[#This Row],[Order Status]] = "In Progress", "Backlog", "Complete")</f>
        <v>Complete</v>
      </c>
      <c r="I1446" t="s">
        <v>163</v>
      </c>
      <c r="J1446" t="s">
        <v>1631</v>
      </c>
      <c r="K1446" t="s">
        <v>31</v>
      </c>
      <c r="L1446">
        <v>117</v>
      </c>
      <c r="M1446">
        <v>10</v>
      </c>
      <c r="N1446" t="s">
        <v>38</v>
      </c>
      <c r="O1446" t="s">
        <v>41</v>
      </c>
      <c r="P1446" t="s">
        <v>27</v>
      </c>
      <c r="Q1446" t="s">
        <v>28</v>
      </c>
      <c r="R1446" s="2">
        <v>0.43680555555555556</v>
      </c>
    </row>
    <row r="1447" spans="1:18" x14ac:dyDescent="0.25">
      <c r="A1447" t="s">
        <v>1868</v>
      </c>
      <c r="B1447" t="s">
        <v>367</v>
      </c>
      <c r="C1447" s="1">
        <v>45173</v>
      </c>
      <c r="D1447" s="1" t="str">
        <f>TEXT(Delivery_data[[#This Row],[Order date]], "MMMM")</f>
        <v>September</v>
      </c>
      <c r="E1447" s="1" t="str">
        <f>TEXT(Delivery_data[[#This Row],[Order date]], "DDDD")</f>
        <v>Monday</v>
      </c>
      <c r="F1447" s="2">
        <v>0.60763888888888884</v>
      </c>
      <c r="G1447" t="s">
        <v>22</v>
      </c>
      <c r="H1447" t="str">
        <f>IF(Delivery_data[[#This Row],[Order Status]] = "In Progress", "Backlog", "Complete")</f>
        <v>Complete</v>
      </c>
      <c r="I1447" t="s">
        <v>163</v>
      </c>
      <c r="J1447" t="s">
        <v>1637</v>
      </c>
      <c r="K1447" t="s">
        <v>61</v>
      </c>
      <c r="L1447">
        <v>232</v>
      </c>
      <c r="M1447">
        <v>4</v>
      </c>
      <c r="N1447" t="s">
        <v>32</v>
      </c>
      <c r="O1447" t="s">
        <v>41</v>
      </c>
      <c r="P1447" t="s">
        <v>34</v>
      </c>
      <c r="Q1447" t="s">
        <v>51</v>
      </c>
      <c r="R1447" s="2">
        <v>0.41319444444444442</v>
      </c>
    </row>
    <row r="1448" spans="1:18" x14ac:dyDescent="0.25">
      <c r="A1448" t="s">
        <v>1970</v>
      </c>
      <c r="B1448" t="s">
        <v>475</v>
      </c>
      <c r="C1448" s="1">
        <v>45176</v>
      </c>
      <c r="D1448" s="1" t="str">
        <f>TEXT(Delivery_data[[#This Row],[Order date]], "MMMM")</f>
        <v>September</v>
      </c>
      <c r="E1448" s="1" t="str">
        <f>TEXT(Delivery_data[[#This Row],[Order date]], "DDDD")</f>
        <v>Thursday</v>
      </c>
      <c r="F1448" s="2">
        <v>0.53680555555555554</v>
      </c>
      <c r="G1448" t="s">
        <v>48</v>
      </c>
      <c r="H1448" t="str">
        <f>IF(Delivery_data[[#This Row],[Order Status]] = "In Progress", "Backlog", "Complete")</f>
        <v>Backlog</v>
      </c>
      <c r="I1448" t="s">
        <v>163</v>
      </c>
      <c r="J1448" t="s">
        <v>1633</v>
      </c>
      <c r="K1448" t="s">
        <v>31</v>
      </c>
      <c r="L1448">
        <v>191</v>
      </c>
      <c r="M1448">
        <v>10</v>
      </c>
      <c r="N1448" t="s">
        <v>38</v>
      </c>
      <c r="O1448" t="s">
        <v>50</v>
      </c>
      <c r="P1448" t="s">
        <v>45</v>
      </c>
      <c r="Q1448" t="s">
        <v>51</v>
      </c>
      <c r="R1448" s="2">
        <v>0.59027777777777779</v>
      </c>
    </row>
    <row r="1449" spans="1:18" x14ac:dyDescent="0.25">
      <c r="A1449" t="s">
        <v>2036</v>
      </c>
      <c r="B1449" t="s">
        <v>541</v>
      </c>
      <c r="C1449" s="1">
        <v>45174</v>
      </c>
      <c r="D1449" s="1" t="str">
        <f>TEXT(Delivery_data[[#This Row],[Order date]], "MMMM")</f>
        <v>September</v>
      </c>
      <c r="E1449" s="1" t="str">
        <f>TEXT(Delivery_data[[#This Row],[Order date]], "DDDD")</f>
        <v>Tuesday</v>
      </c>
      <c r="F1449" s="2">
        <v>0.41875000000000001</v>
      </c>
      <c r="G1449" t="s">
        <v>48</v>
      </c>
      <c r="H1449" t="str">
        <f>IF(Delivery_data[[#This Row],[Order Status]] = "In Progress", "Backlog", "Complete")</f>
        <v>Backlog</v>
      </c>
      <c r="I1449" t="s">
        <v>163</v>
      </c>
      <c r="J1449" t="s">
        <v>1637</v>
      </c>
      <c r="K1449" t="s">
        <v>61</v>
      </c>
      <c r="L1449">
        <v>203</v>
      </c>
      <c r="M1449">
        <v>7</v>
      </c>
      <c r="N1449" t="s">
        <v>38</v>
      </c>
      <c r="O1449" t="s">
        <v>50</v>
      </c>
      <c r="P1449" t="s">
        <v>27</v>
      </c>
      <c r="Q1449" t="s">
        <v>51</v>
      </c>
      <c r="R1449" s="2">
        <v>0.38958333333333334</v>
      </c>
    </row>
    <row r="1450" spans="1:18" x14ac:dyDescent="0.25">
      <c r="A1450" t="s">
        <v>2100</v>
      </c>
      <c r="B1450" t="s">
        <v>605</v>
      </c>
      <c r="C1450" s="1">
        <v>45172</v>
      </c>
      <c r="D1450" s="1" t="str">
        <f>TEXT(Delivery_data[[#This Row],[Order date]], "MMMM")</f>
        <v>September</v>
      </c>
      <c r="E1450" s="1" t="str">
        <f>TEXT(Delivery_data[[#This Row],[Order date]], "DDDD")</f>
        <v>Sunday</v>
      </c>
      <c r="F1450" s="2">
        <v>0.43819444444444444</v>
      </c>
      <c r="G1450" t="s">
        <v>48</v>
      </c>
      <c r="H1450" t="str">
        <f>IF(Delivery_data[[#This Row],[Order Status]] = "In Progress", "Backlog", "Complete")</f>
        <v>Backlog</v>
      </c>
      <c r="I1450" t="s">
        <v>163</v>
      </c>
      <c r="J1450" t="s">
        <v>1637</v>
      </c>
      <c r="K1450" t="s">
        <v>44</v>
      </c>
      <c r="L1450">
        <v>78</v>
      </c>
      <c r="M1450">
        <v>15</v>
      </c>
      <c r="N1450" t="s">
        <v>32</v>
      </c>
      <c r="O1450" t="s">
        <v>26</v>
      </c>
      <c r="P1450" t="s">
        <v>27</v>
      </c>
      <c r="Q1450" t="s">
        <v>51</v>
      </c>
      <c r="R1450" s="2">
        <v>0.6958333333333333</v>
      </c>
    </row>
    <row r="1451" spans="1:18" x14ac:dyDescent="0.25">
      <c r="A1451" t="s">
        <v>2239</v>
      </c>
      <c r="B1451" t="s">
        <v>739</v>
      </c>
      <c r="C1451" s="1">
        <v>45177</v>
      </c>
      <c r="D1451" s="1" t="str">
        <f>TEXT(Delivery_data[[#This Row],[Order date]], "MMMM")</f>
        <v>September</v>
      </c>
      <c r="E1451" s="1" t="str">
        <f>TEXT(Delivery_data[[#This Row],[Order date]], "DDDD")</f>
        <v>Friday</v>
      </c>
      <c r="F1451" s="2">
        <v>0.55138888888888893</v>
      </c>
      <c r="G1451" t="s">
        <v>22</v>
      </c>
      <c r="H1451" t="str">
        <f>IF(Delivery_data[[#This Row],[Order Status]] = "In Progress", "Backlog", "Complete")</f>
        <v>Complete</v>
      </c>
      <c r="I1451" t="s">
        <v>163</v>
      </c>
      <c r="J1451" t="s">
        <v>1631</v>
      </c>
      <c r="K1451" t="s">
        <v>61</v>
      </c>
      <c r="L1451">
        <v>61</v>
      </c>
      <c r="M1451">
        <v>27</v>
      </c>
      <c r="N1451" t="s">
        <v>25</v>
      </c>
      <c r="O1451" t="s">
        <v>50</v>
      </c>
      <c r="P1451" t="s">
        <v>27</v>
      </c>
      <c r="Q1451" t="s">
        <v>51</v>
      </c>
      <c r="R1451" s="2">
        <v>0.39583333333333331</v>
      </c>
    </row>
    <row r="1452" spans="1:18" x14ac:dyDescent="0.25">
      <c r="A1452" t="s">
        <v>2469</v>
      </c>
      <c r="B1452" t="s">
        <v>961</v>
      </c>
      <c r="C1452" s="1">
        <v>45177</v>
      </c>
      <c r="D1452" s="1" t="str">
        <f>TEXT(Delivery_data[[#This Row],[Order date]], "MMMM")</f>
        <v>September</v>
      </c>
      <c r="E1452" s="1" t="str">
        <f>TEXT(Delivery_data[[#This Row],[Order date]], "DDDD")</f>
        <v>Friday</v>
      </c>
      <c r="F1452" s="2">
        <v>0.51597222222222228</v>
      </c>
      <c r="G1452" t="s">
        <v>22</v>
      </c>
      <c r="H1452" t="str">
        <f>IF(Delivery_data[[#This Row],[Order Status]] = "In Progress", "Backlog", "Complete")</f>
        <v>Complete</v>
      </c>
      <c r="I1452" t="s">
        <v>163</v>
      </c>
      <c r="J1452" t="s">
        <v>1633</v>
      </c>
      <c r="K1452" t="s">
        <v>37</v>
      </c>
      <c r="L1452">
        <v>114</v>
      </c>
      <c r="M1452">
        <v>17</v>
      </c>
      <c r="N1452" t="s">
        <v>32</v>
      </c>
      <c r="O1452" t="s">
        <v>26</v>
      </c>
      <c r="P1452" t="s">
        <v>45</v>
      </c>
      <c r="Q1452" t="s">
        <v>46</v>
      </c>
      <c r="R1452" s="2">
        <v>0.54722222222222228</v>
      </c>
    </row>
    <row r="1453" spans="1:18" x14ac:dyDescent="0.25">
      <c r="A1453" t="s">
        <v>2474</v>
      </c>
      <c r="B1453" t="s">
        <v>830</v>
      </c>
      <c r="C1453" s="1">
        <v>45175</v>
      </c>
      <c r="D1453" s="1" t="str">
        <f>TEXT(Delivery_data[[#This Row],[Order date]], "MMMM")</f>
        <v>September</v>
      </c>
      <c r="E1453" s="1" t="str">
        <f>TEXT(Delivery_data[[#This Row],[Order date]], "DDDD")</f>
        <v>Wednesday</v>
      </c>
      <c r="F1453" s="2">
        <v>0.47708333333333336</v>
      </c>
      <c r="G1453" t="s">
        <v>22</v>
      </c>
      <c r="H1453" t="str">
        <f>IF(Delivery_data[[#This Row],[Order Status]] = "In Progress", "Backlog", "Complete")</f>
        <v>Complete</v>
      </c>
      <c r="I1453" t="s">
        <v>163</v>
      </c>
      <c r="J1453" t="s">
        <v>1631</v>
      </c>
      <c r="K1453" t="s">
        <v>31</v>
      </c>
      <c r="L1453">
        <v>121</v>
      </c>
      <c r="M1453">
        <v>4</v>
      </c>
      <c r="N1453" t="s">
        <v>25</v>
      </c>
      <c r="O1453" t="s">
        <v>54</v>
      </c>
      <c r="P1453" t="s">
        <v>45</v>
      </c>
      <c r="Q1453" t="s">
        <v>51</v>
      </c>
      <c r="R1453" s="2">
        <v>0.60833333333333328</v>
      </c>
    </row>
    <row r="1454" spans="1:18" x14ac:dyDescent="0.25">
      <c r="A1454" t="s">
        <v>2519</v>
      </c>
      <c r="B1454" t="s">
        <v>1008</v>
      </c>
      <c r="C1454" s="1">
        <v>45170</v>
      </c>
      <c r="D1454" s="1" t="str">
        <f>TEXT(Delivery_data[[#This Row],[Order date]], "MMMM")</f>
        <v>September</v>
      </c>
      <c r="E1454" s="1" t="str">
        <f>TEXT(Delivery_data[[#This Row],[Order date]], "DDDD")</f>
        <v>Friday</v>
      </c>
      <c r="F1454" s="2">
        <v>0.54027777777777775</v>
      </c>
      <c r="G1454" t="s">
        <v>22</v>
      </c>
      <c r="H1454" t="str">
        <f>IF(Delivery_data[[#This Row],[Order Status]] = "In Progress", "Backlog", "Complete")</f>
        <v>Complete</v>
      </c>
      <c r="I1454" t="s">
        <v>163</v>
      </c>
      <c r="J1454" t="s">
        <v>1633</v>
      </c>
      <c r="K1454" t="s">
        <v>37</v>
      </c>
      <c r="L1454">
        <v>123</v>
      </c>
      <c r="M1454">
        <v>19</v>
      </c>
      <c r="N1454" t="s">
        <v>32</v>
      </c>
      <c r="O1454" t="s">
        <v>26</v>
      </c>
      <c r="P1454" t="s">
        <v>34</v>
      </c>
      <c r="Q1454" t="s">
        <v>51</v>
      </c>
      <c r="R1454" s="2">
        <v>0.58750000000000002</v>
      </c>
    </row>
    <row r="1455" spans="1:18" x14ac:dyDescent="0.25">
      <c r="A1455" t="s">
        <v>2583</v>
      </c>
      <c r="B1455" t="s">
        <v>1067</v>
      </c>
      <c r="C1455" s="1">
        <v>45174</v>
      </c>
      <c r="D1455" s="1" t="str">
        <f>TEXT(Delivery_data[[#This Row],[Order date]], "MMMM")</f>
        <v>September</v>
      </c>
      <c r="E1455" s="1" t="str">
        <f>TEXT(Delivery_data[[#This Row],[Order date]], "DDDD")</f>
        <v>Tuesday</v>
      </c>
      <c r="F1455" s="2">
        <v>0.49583333333333335</v>
      </c>
      <c r="G1455" t="s">
        <v>22</v>
      </c>
      <c r="H1455" t="str">
        <f>IF(Delivery_data[[#This Row],[Order Status]] = "In Progress", "Backlog", "Complete")</f>
        <v>Complete</v>
      </c>
      <c r="I1455" t="s">
        <v>163</v>
      </c>
      <c r="J1455" t="s">
        <v>1631</v>
      </c>
      <c r="K1455" t="s">
        <v>31</v>
      </c>
      <c r="L1455">
        <v>207</v>
      </c>
      <c r="M1455">
        <v>19</v>
      </c>
      <c r="N1455" t="s">
        <v>25</v>
      </c>
      <c r="O1455" t="s">
        <v>26</v>
      </c>
      <c r="P1455" t="s">
        <v>34</v>
      </c>
      <c r="Q1455" t="s">
        <v>51</v>
      </c>
      <c r="R1455" s="2">
        <v>0.46736111111111112</v>
      </c>
    </row>
    <row r="1456" spans="1:18" x14ac:dyDescent="0.25">
      <c r="A1456" t="s">
        <v>2596</v>
      </c>
      <c r="B1456" t="s">
        <v>1080</v>
      </c>
      <c r="C1456" s="1">
        <v>45171</v>
      </c>
      <c r="D1456" s="1" t="str">
        <f>TEXT(Delivery_data[[#This Row],[Order date]], "MMMM")</f>
        <v>September</v>
      </c>
      <c r="E1456" s="1" t="str">
        <f>TEXT(Delivery_data[[#This Row],[Order date]], "DDDD")</f>
        <v>Saturday</v>
      </c>
      <c r="F1456" s="2">
        <v>0.50277777777777777</v>
      </c>
      <c r="G1456" t="s">
        <v>22</v>
      </c>
      <c r="H1456" t="str">
        <f>IF(Delivery_data[[#This Row],[Order Status]] = "In Progress", "Backlog", "Complete")</f>
        <v>Complete</v>
      </c>
      <c r="I1456" t="s">
        <v>163</v>
      </c>
      <c r="J1456" t="s">
        <v>1631</v>
      </c>
      <c r="K1456" t="s">
        <v>61</v>
      </c>
      <c r="L1456">
        <v>130</v>
      </c>
      <c r="M1456">
        <v>18</v>
      </c>
      <c r="N1456" t="s">
        <v>38</v>
      </c>
      <c r="O1456" t="s">
        <v>54</v>
      </c>
      <c r="P1456" t="s">
        <v>45</v>
      </c>
      <c r="Q1456" t="s">
        <v>51</v>
      </c>
      <c r="R1456" s="2">
        <v>0.5229166666666667</v>
      </c>
    </row>
    <row r="1457" spans="1:18" x14ac:dyDescent="0.25">
      <c r="A1457" t="s">
        <v>2717</v>
      </c>
      <c r="B1457" t="s">
        <v>1198</v>
      </c>
      <c r="C1457" s="1">
        <v>45174</v>
      </c>
      <c r="D1457" s="1" t="str">
        <f>TEXT(Delivery_data[[#This Row],[Order date]], "MMMM")</f>
        <v>September</v>
      </c>
      <c r="E1457" s="1" t="str">
        <f>TEXT(Delivery_data[[#This Row],[Order date]], "DDDD")</f>
        <v>Tuesday</v>
      </c>
      <c r="F1457" s="2">
        <v>0.44166666666666665</v>
      </c>
      <c r="G1457" t="s">
        <v>48</v>
      </c>
      <c r="H1457" t="str">
        <f>IF(Delivery_data[[#This Row],[Order Status]] = "In Progress", "Backlog", "Complete")</f>
        <v>Backlog</v>
      </c>
      <c r="I1457" t="s">
        <v>163</v>
      </c>
      <c r="J1457" t="s">
        <v>1631</v>
      </c>
      <c r="K1457" t="s">
        <v>31</v>
      </c>
      <c r="L1457">
        <v>112</v>
      </c>
      <c r="M1457">
        <v>13</v>
      </c>
      <c r="N1457" t="s">
        <v>32</v>
      </c>
      <c r="O1457" t="s">
        <v>26</v>
      </c>
      <c r="P1457" t="s">
        <v>27</v>
      </c>
      <c r="Q1457" t="s">
        <v>51</v>
      </c>
      <c r="R1457" s="2">
        <v>0.61736111111111114</v>
      </c>
    </row>
    <row r="1458" spans="1:18" x14ac:dyDescent="0.25">
      <c r="A1458" t="s">
        <v>2733</v>
      </c>
      <c r="B1458" t="s">
        <v>162</v>
      </c>
      <c r="C1458" s="1">
        <v>45175</v>
      </c>
      <c r="D1458" s="1" t="str">
        <f>TEXT(Delivery_data[[#This Row],[Order date]], "MMMM")</f>
        <v>September</v>
      </c>
      <c r="E1458" s="1" t="str">
        <f>TEXT(Delivery_data[[#This Row],[Order date]], "DDDD")</f>
        <v>Wednesday</v>
      </c>
      <c r="F1458" s="2">
        <v>0.33888888888888891</v>
      </c>
      <c r="G1458" t="s">
        <v>22</v>
      </c>
      <c r="H1458" t="str">
        <f>IF(Delivery_data[[#This Row],[Order Status]] = "In Progress", "Backlog", "Complete")</f>
        <v>Complete</v>
      </c>
      <c r="I1458" t="s">
        <v>163</v>
      </c>
      <c r="J1458" t="s">
        <v>1631</v>
      </c>
      <c r="K1458" t="s">
        <v>61</v>
      </c>
      <c r="L1458">
        <v>90</v>
      </c>
      <c r="M1458">
        <v>20</v>
      </c>
      <c r="N1458" t="s">
        <v>38</v>
      </c>
      <c r="O1458" t="s">
        <v>50</v>
      </c>
      <c r="P1458" t="s">
        <v>27</v>
      </c>
      <c r="Q1458" t="s">
        <v>51</v>
      </c>
      <c r="R1458" s="2">
        <v>0.57291666666666663</v>
      </c>
    </row>
    <row r="1459" spans="1:18" x14ac:dyDescent="0.25">
      <c r="A1459" t="s">
        <v>2741</v>
      </c>
      <c r="B1459" t="s">
        <v>1221</v>
      </c>
      <c r="C1459" s="1">
        <v>45176</v>
      </c>
      <c r="D1459" s="1" t="str">
        <f>TEXT(Delivery_data[[#This Row],[Order date]], "MMMM")</f>
        <v>September</v>
      </c>
      <c r="E1459" s="1" t="str">
        <f>TEXT(Delivery_data[[#This Row],[Order date]], "DDDD")</f>
        <v>Thursday</v>
      </c>
      <c r="F1459" s="2">
        <v>0.66249999999999998</v>
      </c>
      <c r="G1459" t="s">
        <v>22</v>
      </c>
      <c r="H1459" t="str">
        <f>IF(Delivery_data[[#This Row],[Order Status]] = "In Progress", "Backlog", "Complete")</f>
        <v>Complete</v>
      </c>
      <c r="I1459" t="s">
        <v>163</v>
      </c>
      <c r="J1459" t="s">
        <v>1637</v>
      </c>
      <c r="K1459" t="s">
        <v>24</v>
      </c>
      <c r="L1459">
        <v>177</v>
      </c>
      <c r="M1459">
        <v>12</v>
      </c>
      <c r="N1459" t="s">
        <v>38</v>
      </c>
      <c r="O1459" t="s">
        <v>33</v>
      </c>
      <c r="P1459" t="s">
        <v>45</v>
      </c>
      <c r="Q1459" t="s">
        <v>51</v>
      </c>
      <c r="R1459" s="2">
        <v>0.51041666666666663</v>
      </c>
    </row>
    <row r="1460" spans="1:18" x14ac:dyDescent="0.25">
      <c r="A1460" t="s">
        <v>3048</v>
      </c>
      <c r="B1460" t="s">
        <v>1518</v>
      </c>
      <c r="C1460" s="1">
        <v>45177</v>
      </c>
      <c r="D1460" s="1" t="str">
        <f>TEXT(Delivery_data[[#This Row],[Order date]], "MMMM")</f>
        <v>September</v>
      </c>
      <c r="E1460" s="1" t="str">
        <f>TEXT(Delivery_data[[#This Row],[Order date]], "DDDD")</f>
        <v>Friday</v>
      </c>
      <c r="F1460" s="2">
        <v>0.56041666666666667</v>
      </c>
      <c r="G1460" t="s">
        <v>22</v>
      </c>
      <c r="H1460" t="str">
        <f>IF(Delivery_data[[#This Row],[Order Status]] = "In Progress", "Backlog", "Complete")</f>
        <v>Complete</v>
      </c>
      <c r="I1460" t="s">
        <v>163</v>
      </c>
      <c r="J1460" t="s">
        <v>1631</v>
      </c>
      <c r="K1460" t="s">
        <v>37</v>
      </c>
      <c r="L1460">
        <v>150</v>
      </c>
      <c r="M1460">
        <v>14</v>
      </c>
      <c r="N1460" t="s">
        <v>38</v>
      </c>
      <c r="O1460" t="s">
        <v>50</v>
      </c>
      <c r="P1460" t="s">
        <v>45</v>
      </c>
      <c r="Q1460" t="s">
        <v>28</v>
      </c>
      <c r="R1460" s="2">
        <v>0.46388888888888891</v>
      </c>
    </row>
    <row r="1461" spans="1:18" x14ac:dyDescent="0.25">
      <c r="A1461" t="s">
        <v>3053</v>
      </c>
      <c r="B1461" t="s">
        <v>1521</v>
      </c>
      <c r="C1461" s="1">
        <v>45173</v>
      </c>
      <c r="D1461" s="1" t="str">
        <f>TEXT(Delivery_data[[#This Row],[Order date]], "MMMM")</f>
        <v>September</v>
      </c>
      <c r="E1461" s="1" t="str">
        <f>TEXT(Delivery_data[[#This Row],[Order date]], "DDDD")</f>
        <v>Monday</v>
      </c>
      <c r="F1461" s="2">
        <v>0.38819444444444445</v>
      </c>
      <c r="G1461" t="s">
        <v>48</v>
      </c>
      <c r="H1461" t="str">
        <f>IF(Delivery_data[[#This Row],[Order Status]] = "In Progress", "Backlog", "Complete")</f>
        <v>Backlog</v>
      </c>
      <c r="I1461" t="s">
        <v>163</v>
      </c>
      <c r="J1461" t="s">
        <v>1637</v>
      </c>
      <c r="K1461" t="s">
        <v>37</v>
      </c>
      <c r="L1461">
        <v>115</v>
      </c>
      <c r="M1461">
        <v>17</v>
      </c>
      <c r="N1461" t="s">
        <v>32</v>
      </c>
      <c r="O1461" t="s">
        <v>41</v>
      </c>
      <c r="P1461" t="s">
        <v>45</v>
      </c>
      <c r="Q1461" t="s">
        <v>51</v>
      </c>
      <c r="R1461" s="2">
        <v>0.38958333333333334</v>
      </c>
    </row>
    <row r="1462" spans="1:18" x14ac:dyDescent="0.25">
      <c r="A1462" t="s">
        <v>3087</v>
      </c>
      <c r="B1462" t="s">
        <v>1553</v>
      </c>
      <c r="C1462" s="1">
        <v>45171</v>
      </c>
      <c r="D1462" s="1" t="str">
        <f>TEXT(Delivery_data[[#This Row],[Order date]], "MMMM")</f>
        <v>September</v>
      </c>
      <c r="E1462" s="1" t="str">
        <f>TEXT(Delivery_data[[#This Row],[Order date]], "DDDD")</f>
        <v>Saturday</v>
      </c>
      <c r="F1462" s="2">
        <v>0.66180555555555554</v>
      </c>
      <c r="G1462" t="s">
        <v>48</v>
      </c>
      <c r="H1462" t="str">
        <f>IF(Delivery_data[[#This Row],[Order Status]] = "In Progress", "Backlog", "Complete")</f>
        <v>Backlog</v>
      </c>
      <c r="I1462" t="s">
        <v>163</v>
      </c>
      <c r="J1462" t="s">
        <v>1637</v>
      </c>
      <c r="K1462" t="s">
        <v>37</v>
      </c>
      <c r="L1462">
        <v>190</v>
      </c>
      <c r="M1462">
        <v>11</v>
      </c>
      <c r="N1462" t="s">
        <v>38</v>
      </c>
      <c r="O1462" t="s">
        <v>33</v>
      </c>
      <c r="P1462" t="s">
        <v>27</v>
      </c>
      <c r="Q1462" t="s">
        <v>28</v>
      </c>
      <c r="R1462" s="2">
        <v>0.73263888888888884</v>
      </c>
    </row>
    <row r="1463" spans="1:18" x14ac:dyDescent="0.25">
      <c r="A1463" t="s">
        <v>1729</v>
      </c>
      <c r="B1463" t="s">
        <v>204</v>
      </c>
      <c r="C1463" s="1">
        <v>45171</v>
      </c>
      <c r="D1463" s="1" t="str">
        <f>TEXT(Delivery_data[[#This Row],[Order date]], "MMMM")</f>
        <v>September</v>
      </c>
      <c r="E1463" s="1" t="str">
        <f>TEXT(Delivery_data[[#This Row],[Order date]], "DDDD")</f>
        <v>Saturday</v>
      </c>
      <c r="F1463" s="2">
        <v>0.42499999999999999</v>
      </c>
      <c r="G1463" t="s">
        <v>22</v>
      </c>
      <c r="H1463" t="str">
        <f>IF(Delivery_data[[#This Row],[Order Status]] = "In Progress", "Backlog", "Complete")</f>
        <v>Complete</v>
      </c>
      <c r="I1463" t="s">
        <v>205</v>
      </c>
      <c r="J1463" t="s">
        <v>1631</v>
      </c>
      <c r="K1463" t="s">
        <v>31</v>
      </c>
      <c r="L1463">
        <v>94</v>
      </c>
      <c r="M1463">
        <v>0</v>
      </c>
      <c r="N1463" t="s">
        <v>38</v>
      </c>
      <c r="O1463" t="s">
        <v>50</v>
      </c>
      <c r="P1463" t="s">
        <v>27</v>
      </c>
      <c r="Q1463" t="s">
        <v>51</v>
      </c>
      <c r="R1463" s="2">
        <v>0.67361111111111116</v>
      </c>
    </row>
    <row r="1464" spans="1:18" x14ac:dyDescent="0.25">
      <c r="A1464" t="s">
        <v>1734</v>
      </c>
      <c r="B1464" t="s">
        <v>212</v>
      </c>
      <c r="C1464" s="1">
        <v>45176</v>
      </c>
      <c r="D1464" s="1" t="str">
        <f>TEXT(Delivery_data[[#This Row],[Order date]], "MMMM")</f>
        <v>September</v>
      </c>
      <c r="E1464" s="1" t="str">
        <f>TEXT(Delivery_data[[#This Row],[Order date]], "DDDD")</f>
        <v>Thursday</v>
      </c>
      <c r="F1464" s="2">
        <v>0.67708333333333337</v>
      </c>
      <c r="G1464" t="s">
        <v>48</v>
      </c>
      <c r="H1464" t="str">
        <f>IF(Delivery_data[[#This Row],[Order Status]] = "In Progress", "Backlog", "Complete")</f>
        <v>Backlog</v>
      </c>
      <c r="I1464" t="s">
        <v>205</v>
      </c>
      <c r="J1464" t="s">
        <v>1631</v>
      </c>
      <c r="K1464" t="s">
        <v>24</v>
      </c>
      <c r="L1464">
        <v>110</v>
      </c>
      <c r="M1464">
        <v>29</v>
      </c>
      <c r="N1464" t="s">
        <v>38</v>
      </c>
      <c r="O1464" t="s">
        <v>26</v>
      </c>
      <c r="P1464" t="s">
        <v>27</v>
      </c>
      <c r="Q1464" t="s">
        <v>51</v>
      </c>
      <c r="R1464" s="2">
        <v>0.45347222222222222</v>
      </c>
    </row>
    <row r="1465" spans="1:18" x14ac:dyDescent="0.25">
      <c r="A1465" t="s">
        <v>1772</v>
      </c>
      <c r="B1465" t="s">
        <v>258</v>
      </c>
      <c r="C1465" s="1">
        <v>45172</v>
      </c>
      <c r="D1465" s="1" t="str">
        <f>TEXT(Delivery_data[[#This Row],[Order date]], "MMMM")</f>
        <v>September</v>
      </c>
      <c r="E1465" s="1" t="str">
        <f>TEXT(Delivery_data[[#This Row],[Order date]], "DDDD")</f>
        <v>Sunday</v>
      </c>
      <c r="F1465" s="2">
        <v>0.625</v>
      </c>
      <c r="G1465" t="s">
        <v>48</v>
      </c>
      <c r="H1465" t="str">
        <f>IF(Delivery_data[[#This Row],[Order Status]] = "In Progress", "Backlog", "Complete")</f>
        <v>Backlog</v>
      </c>
      <c r="I1465" t="s">
        <v>205</v>
      </c>
      <c r="J1465" t="s">
        <v>1637</v>
      </c>
      <c r="K1465" t="s">
        <v>61</v>
      </c>
      <c r="L1465">
        <v>117</v>
      </c>
      <c r="M1465">
        <v>8</v>
      </c>
      <c r="N1465" t="s">
        <v>25</v>
      </c>
      <c r="O1465" t="s">
        <v>54</v>
      </c>
      <c r="P1465" t="s">
        <v>45</v>
      </c>
      <c r="Q1465" t="s">
        <v>28</v>
      </c>
      <c r="R1465" s="2">
        <v>0.4597222222222222</v>
      </c>
    </row>
    <row r="1466" spans="1:18" x14ac:dyDescent="0.25">
      <c r="A1466" t="s">
        <v>1791</v>
      </c>
      <c r="B1466" t="s">
        <v>283</v>
      </c>
      <c r="C1466" s="1">
        <v>45176</v>
      </c>
      <c r="D1466" s="1" t="str">
        <f>TEXT(Delivery_data[[#This Row],[Order date]], "MMMM")</f>
        <v>September</v>
      </c>
      <c r="E1466" s="1" t="str">
        <f>TEXT(Delivery_data[[#This Row],[Order date]], "DDDD")</f>
        <v>Thursday</v>
      </c>
      <c r="F1466" s="2">
        <v>0.51041666666666663</v>
      </c>
      <c r="G1466" t="s">
        <v>22</v>
      </c>
      <c r="H1466" t="str">
        <f>IF(Delivery_data[[#This Row],[Order Status]] = "In Progress", "Backlog", "Complete")</f>
        <v>Complete</v>
      </c>
      <c r="I1466" t="s">
        <v>205</v>
      </c>
      <c r="J1466" t="s">
        <v>1637</v>
      </c>
      <c r="K1466" t="s">
        <v>24</v>
      </c>
      <c r="L1466">
        <v>197</v>
      </c>
      <c r="M1466">
        <v>22</v>
      </c>
      <c r="N1466" t="s">
        <v>25</v>
      </c>
      <c r="O1466" t="s">
        <v>41</v>
      </c>
      <c r="P1466" t="s">
        <v>27</v>
      </c>
      <c r="Q1466" t="s">
        <v>46</v>
      </c>
      <c r="R1466" s="2">
        <v>0.52638888888888891</v>
      </c>
    </row>
    <row r="1467" spans="1:18" x14ac:dyDescent="0.25">
      <c r="A1467" t="s">
        <v>1835</v>
      </c>
      <c r="B1467" t="s">
        <v>333</v>
      </c>
      <c r="C1467" s="1">
        <v>45171</v>
      </c>
      <c r="D1467" s="1" t="str">
        <f>TEXT(Delivery_data[[#This Row],[Order date]], "MMMM")</f>
        <v>September</v>
      </c>
      <c r="E1467" s="1" t="str">
        <f>TEXT(Delivery_data[[#This Row],[Order date]], "DDDD")</f>
        <v>Saturday</v>
      </c>
      <c r="F1467" s="2">
        <v>0.47847222222222224</v>
      </c>
      <c r="G1467" t="s">
        <v>22</v>
      </c>
      <c r="H1467" t="str">
        <f>IF(Delivery_data[[#This Row],[Order Status]] = "In Progress", "Backlog", "Complete")</f>
        <v>Complete</v>
      </c>
      <c r="I1467" t="s">
        <v>205</v>
      </c>
      <c r="J1467" t="s">
        <v>1631</v>
      </c>
      <c r="K1467" t="s">
        <v>44</v>
      </c>
      <c r="L1467">
        <v>77</v>
      </c>
      <c r="M1467">
        <v>1</v>
      </c>
      <c r="N1467" t="s">
        <v>25</v>
      </c>
      <c r="O1467" t="s">
        <v>50</v>
      </c>
      <c r="P1467" t="s">
        <v>34</v>
      </c>
      <c r="Q1467" t="s">
        <v>51</v>
      </c>
      <c r="R1467" s="2">
        <v>0.38194444444444442</v>
      </c>
    </row>
    <row r="1468" spans="1:18" x14ac:dyDescent="0.25">
      <c r="A1468" t="s">
        <v>2019</v>
      </c>
      <c r="B1468" t="s">
        <v>524</v>
      </c>
      <c r="C1468" s="1">
        <v>45171</v>
      </c>
      <c r="D1468" s="1" t="str">
        <f>TEXT(Delivery_data[[#This Row],[Order date]], "MMMM")</f>
        <v>September</v>
      </c>
      <c r="E1468" s="1" t="str">
        <f>TEXT(Delivery_data[[#This Row],[Order date]], "DDDD")</f>
        <v>Saturday</v>
      </c>
      <c r="F1468" s="2">
        <v>0.53055555555555556</v>
      </c>
      <c r="G1468" t="s">
        <v>48</v>
      </c>
      <c r="H1468" t="str">
        <f>IF(Delivery_data[[#This Row],[Order Status]] = "In Progress", "Backlog", "Complete")</f>
        <v>Backlog</v>
      </c>
      <c r="I1468" t="s">
        <v>205</v>
      </c>
      <c r="J1468" t="s">
        <v>1633</v>
      </c>
      <c r="K1468" t="s">
        <v>44</v>
      </c>
      <c r="L1468">
        <v>93</v>
      </c>
      <c r="M1468">
        <v>28</v>
      </c>
      <c r="N1468" t="s">
        <v>38</v>
      </c>
      <c r="O1468" t="s">
        <v>54</v>
      </c>
      <c r="P1468" t="s">
        <v>45</v>
      </c>
      <c r="Q1468" t="s">
        <v>28</v>
      </c>
      <c r="R1468" s="2">
        <v>0.42152777777777778</v>
      </c>
    </row>
    <row r="1469" spans="1:18" x14ac:dyDescent="0.25">
      <c r="A1469" t="s">
        <v>2152</v>
      </c>
      <c r="B1469" t="s">
        <v>655</v>
      </c>
      <c r="C1469" s="1">
        <v>45170</v>
      </c>
      <c r="D1469" s="1" t="str">
        <f>TEXT(Delivery_data[[#This Row],[Order date]], "MMMM")</f>
        <v>September</v>
      </c>
      <c r="E1469" s="1" t="str">
        <f>TEXT(Delivery_data[[#This Row],[Order date]], "DDDD")</f>
        <v>Friday</v>
      </c>
      <c r="F1469" s="2">
        <v>0.58819444444444446</v>
      </c>
      <c r="G1469" t="s">
        <v>22</v>
      </c>
      <c r="H1469" t="str">
        <f>IF(Delivery_data[[#This Row],[Order Status]] = "In Progress", "Backlog", "Complete")</f>
        <v>Complete</v>
      </c>
      <c r="I1469" t="s">
        <v>205</v>
      </c>
      <c r="J1469" t="s">
        <v>1637</v>
      </c>
      <c r="K1469" t="s">
        <v>31</v>
      </c>
      <c r="L1469">
        <v>206</v>
      </c>
      <c r="M1469">
        <v>0</v>
      </c>
      <c r="N1469" t="s">
        <v>32</v>
      </c>
      <c r="O1469" t="s">
        <v>26</v>
      </c>
      <c r="P1469" t="s">
        <v>27</v>
      </c>
      <c r="Q1469" t="s">
        <v>46</v>
      </c>
      <c r="R1469" s="2">
        <v>0.54861111111111116</v>
      </c>
    </row>
    <row r="1470" spans="1:18" x14ac:dyDescent="0.25">
      <c r="A1470" t="s">
        <v>2201</v>
      </c>
      <c r="B1470" t="s">
        <v>702</v>
      </c>
      <c r="C1470" s="1">
        <v>45171</v>
      </c>
      <c r="D1470" s="1" t="str">
        <f>TEXT(Delivery_data[[#This Row],[Order date]], "MMMM")</f>
        <v>September</v>
      </c>
      <c r="E1470" s="1" t="str">
        <f>TEXT(Delivery_data[[#This Row],[Order date]], "DDDD")</f>
        <v>Saturday</v>
      </c>
      <c r="F1470" s="2">
        <v>0.63749999999999996</v>
      </c>
      <c r="G1470" t="s">
        <v>22</v>
      </c>
      <c r="H1470" t="str">
        <f>IF(Delivery_data[[#This Row],[Order Status]] = "In Progress", "Backlog", "Complete")</f>
        <v>Complete</v>
      </c>
      <c r="I1470" t="s">
        <v>205</v>
      </c>
      <c r="J1470" t="s">
        <v>1633</v>
      </c>
      <c r="K1470" t="s">
        <v>61</v>
      </c>
      <c r="L1470">
        <v>230</v>
      </c>
      <c r="M1470">
        <v>14</v>
      </c>
      <c r="N1470" t="s">
        <v>32</v>
      </c>
      <c r="O1470" t="s">
        <v>26</v>
      </c>
      <c r="P1470" t="s">
        <v>34</v>
      </c>
      <c r="Q1470" t="s">
        <v>51</v>
      </c>
      <c r="R1470" s="2">
        <v>0.45208333333333334</v>
      </c>
    </row>
    <row r="1471" spans="1:18" x14ac:dyDescent="0.25">
      <c r="A1471" t="s">
        <v>2307</v>
      </c>
      <c r="B1471" t="s">
        <v>805</v>
      </c>
      <c r="C1471" s="1">
        <v>45177</v>
      </c>
      <c r="D1471" s="1" t="str">
        <f>TEXT(Delivery_data[[#This Row],[Order date]], "MMMM")</f>
        <v>September</v>
      </c>
      <c r="E1471" s="1" t="str">
        <f>TEXT(Delivery_data[[#This Row],[Order date]], "DDDD")</f>
        <v>Friday</v>
      </c>
      <c r="F1471" s="2">
        <v>0.40833333333333333</v>
      </c>
      <c r="G1471" t="s">
        <v>22</v>
      </c>
      <c r="H1471" t="str">
        <f>IF(Delivery_data[[#This Row],[Order Status]] = "In Progress", "Backlog", "Complete")</f>
        <v>Complete</v>
      </c>
      <c r="I1471" t="s">
        <v>205</v>
      </c>
      <c r="J1471" t="s">
        <v>1631</v>
      </c>
      <c r="K1471" t="s">
        <v>44</v>
      </c>
      <c r="L1471">
        <v>103</v>
      </c>
      <c r="M1471">
        <v>13</v>
      </c>
      <c r="N1471" t="s">
        <v>38</v>
      </c>
      <c r="O1471" t="s">
        <v>33</v>
      </c>
      <c r="P1471" t="s">
        <v>27</v>
      </c>
      <c r="Q1471" t="s">
        <v>51</v>
      </c>
      <c r="R1471" s="2">
        <v>0.4201388888888889</v>
      </c>
    </row>
    <row r="1472" spans="1:18" x14ac:dyDescent="0.25">
      <c r="A1472" t="s">
        <v>2321</v>
      </c>
      <c r="B1472" t="s">
        <v>819</v>
      </c>
      <c r="C1472" s="1">
        <v>45175</v>
      </c>
      <c r="D1472" s="1" t="str">
        <f>TEXT(Delivery_data[[#This Row],[Order date]], "MMMM")</f>
        <v>September</v>
      </c>
      <c r="E1472" s="1" t="str">
        <f>TEXT(Delivery_data[[#This Row],[Order date]], "DDDD")</f>
        <v>Wednesday</v>
      </c>
      <c r="F1472" s="2">
        <v>0.44027777777777777</v>
      </c>
      <c r="G1472" t="s">
        <v>22</v>
      </c>
      <c r="H1472" t="str">
        <f>IF(Delivery_data[[#This Row],[Order Status]] = "In Progress", "Backlog", "Complete")</f>
        <v>Complete</v>
      </c>
      <c r="I1472" t="s">
        <v>205</v>
      </c>
      <c r="J1472" t="s">
        <v>1633</v>
      </c>
      <c r="K1472" t="s">
        <v>61</v>
      </c>
      <c r="L1472">
        <v>157</v>
      </c>
      <c r="M1472">
        <v>26</v>
      </c>
      <c r="N1472" t="s">
        <v>32</v>
      </c>
      <c r="O1472" t="s">
        <v>54</v>
      </c>
      <c r="P1472" t="s">
        <v>45</v>
      </c>
      <c r="Q1472" t="s">
        <v>46</v>
      </c>
      <c r="R1472" s="2">
        <v>0.5805555555555556</v>
      </c>
    </row>
    <row r="1473" spans="1:18" x14ac:dyDescent="0.25">
      <c r="A1473" t="s">
        <v>2724</v>
      </c>
      <c r="B1473" t="s">
        <v>1205</v>
      </c>
      <c r="C1473" s="1">
        <v>45173</v>
      </c>
      <c r="D1473" s="1" t="str">
        <f>TEXT(Delivery_data[[#This Row],[Order date]], "MMMM")</f>
        <v>September</v>
      </c>
      <c r="E1473" s="1" t="str">
        <f>TEXT(Delivery_data[[#This Row],[Order date]], "DDDD")</f>
        <v>Monday</v>
      </c>
      <c r="F1473" s="2">
        <v>0.33958333333333335</v>
      </c>
      <c r="G1473" t="s">
        <v>48</v>
      </c>
      <c r="H1473" t="str">
        <f>IF(Delivery_data[[#This Row],[Order Status]] = "In Progress", "Backlog", "Complete")</f>
        <v>Backlog</v>
      </c>
      <c r="I1473" t="s">
        <v>205</v>
      </c>
      <c r="J1473" t="s">
        <v>1631</v>
      </c>
      <c r="K1473" t="s">
        <v>61</v>
      </c>
      <c r="L1473">
        <v>200</v>
      </c>
      <c r="M1473">
        <v>11</v>
      </c>
      <c r="N1473" t="s">
        <v>25</v>
      </c>
      <c r="O1473" t="s">
        <v>54</v>
      </c>
      <c r="P1473" t="s">
        <v>27</v>
      </c>
      <c r="Q1473" t="s">
        <v>51</v>
      </c>
      <c r="R1473" s="2">
        <v>0.55972222222222223</v>
      </c>
    </row>
    <row r="1474" spans="1:18" x14ac:dyDescent="0.25">
      <c r="A1474" t="s">
        <v>2736</v>
      </c>
      <c r="B1474" t="s">
        <v>1216</v>
      </c>
      <c r="C1474" s="1">
        <v>45173</v>
      </c>
      <c r="D1474" s="1" t="str">
        <f>TEXT(Delivery_data[[#This Row],[Order date]], "MMMM")</f>
        <v>September</v>
      </c>
      <c r="E1474" s="1" t="str">
        <f>TEXT(Delivery_data[[#This Row],[Order date]], "DDDD")</f>
        <v>Monday</v>
      </c>
      <c r="F1474" s="2">
        <v>0.45902777777777776</v>
      </c>
      <c r="G1474" t="s">
        <v>48</v>
      </c>
      <c r="H1474" t="str">
        <f>IF(Delivery_data[[#This Row],[Order Status]] = "In Progress", "Backlog", "Complete")</f>
        <v>Backlog</v>
      </c>
      <c r="I1474" t="s">
        <v>205</v>
      </c>
      <c r="J1474" t="s">
        <v>1631</v>
      </c>
      <c r="K1474" t="s">
        <v>61</v>
      </c>
      <c r="L1474">
        <v>191</v>
      </c>
      <c r="M1474">
        <v>23</v>
      </c>
      <c r="N1474" t="s">
        <v>38</v>
      </c>
      <c r="O1474" t="s">
        <v>33</v>
      </c>
      <c r="P1474" t="s">
        <v>45</v>
      </c>
      <c r="Q1474" t="s">
        <v>28</v>
      </c>
      <c r="R1474" s="2">
        <v>0.54374999999999996</v>
      </c>
    </row>
    <row r="1475" spans="1:18" x14ac:dyDescent="0.25">
      <c r="A1475" t="s">
        <v>2783</v>
      </c>
      <c r="B1475" t="s">
        <v>1260</v>
      </c>
      <c r="C1475" s="1">
        <v>45175</v>
      </c>
      <c r="D1475" s="1" t="str">
        <f>TEXT(Delivery_data[[#This Row],[Order date]], "MMMM")</f>
        <v>September</v>
      </c>
      <c r="E1475" s="1" t="str">
        <f>TEXT(Delivery_data[[#This Row],[Order date]], "DDDD")</f>
        <v>Wednesday</v>
      </c>
      <c r="F1475" s="2">
        <v>0.5493055555555556</v>
      </c>
      <c r="G1475" t="s">
        <v>48</v>
      </c>
      <c r="H1475" t="str">
        <f>IF(Delivery_data[[#This Row],[Order Status]] = "In Progress", "Backlog", "Complete")</f>
        <v>Backlog</v>
      </c>
      <c r="I1475" t="s">
        <v>205</v>
      </c>
      <c r="J1475" t="s">
        <v>1637</v>
      </c>
      <c r="K1475" t="s">
        <v>44</v>
      </c>
      <c r="L1475">
        <v>114</v>
      </c>
      <c r="M1475">
        <v>5</v>
      </c>
      <c r="N1475" t="s">
        <v>38</v>
      </c>
      <c r="O1475" t="s">
        <v>50</v>
      </c>
      <c r="P1475" t="s">
        <v>27</v>
      </c>
      <c r="Q1475" t="s">
        <v>51</v>
      </c>
      <c r="R1475" s="2">
        <v>0.37638888888888888</v>
      </c>
    </row>
    <row r="1476" spans="1:18" x14ac:dyDescent="0.25">
      <c r="A1476" t="s">
        <v>2805</v>
      </c>
      <c r="B1476" t="s">
        <v>1282</v>
      </c>
      <c r="C1476" s="1">
        <v>45177</v>
      </c>
      <c r="D1476" s="1" t="str">
        <f>TEXT(Delivery_data[[#This Row],[Order date]], "MMMM")</f>
        <v>September</v>
      </c>
      <c r="E1476" s="1" t="str">
        <f>TEXT(Delivery_data[[#This Row],[Order date]], "DDDD")</f>
        <v>Friday</v>
      </c>
      <c r="F1476" s="2">
        <v>0.49305555555555558</v>
      </c>
      <c r="G1476" t="s">
        <v>22</v>
      </c>
      <c r="H1476" t="str">
        <f>IF(Delivery_data[[#This Row],[Order Status]] = "In Progress", "Backlog", "Complete")</f>
        <v>Complete</v>
      </c>
      <c r="I1476" t="s">
        <v>205</v>
      </c>
      <c r="J1476" t="s">
        <v>1637</v>
      </c>
      <c r="K1476" t="s">
        <v>24</v>
      </c>
      <c r="L1476">
        <v>208</v>
      </c>
      <c r="M1476">
        <v>25</v>
      </c>
      <c r="N1476" t="s">
        <v>25</v>
      </c>
      <c r="O1476" t="s">
        <v>26</v>
      </c>
      <c r="P1476" t="s">
        <v>45</v>
      </c>
      <c r="Q1476" t="s">
        <v>51</v>
      </c>
      <c r="R1476" s="2">
        <v>0.65416666666666667</v>
      </c>
    </row>
    <row r="1477" spans="1:18" x14ac:dyDescent="0.25">
      <c r="A1477" t="s">
        <v>2858</v>
      </c>
      <c r="B1477" t="s">
        <v>1334</v>
      </c>
      <c r="C1477" s="1">
        <v>45173</v>
      </c>
      <c r="D1477" s="1" t="str">
        <f>TEXT(Delivery_data[[#This Row],[Order date]], "MMMM")</f>
        <v>September</v>
      </c>
      <c r="E1477" s="1" t="str">
        <f>TEXT(Delivery_data[[#This Row],[Order date]], "DDDD")</f>
        <v>Monday</v>
      </c>
      <c r="F1477" s="2">
        <v>0.41944444444444445</v>
      </c>
      <c r="G1477" t="s">
        <v>22</v>
      </c>
      <c r="H1477" t="str">
        <f>IF(Delivery_data[[#This Row],[Order Status]] = "In Progress", "Backlog", "Complete")</f>
        <v>Complete</v>
      </c>
      <c r="I1477" t="s">
        <v>205</v>
      </c>
      <c r="J1477" t="s">
        <v>1633</v>
      </c>
      <c r="K1477" t="s">
        <v>31</v>
      </c>
      <c r="L1477">
        <v>170</v>
      </c>
      <c r="M1477">
        <v>23</v>
      </c>
      <c r="N1477" t="s">
        <v>25</v>
      </c>
      <c r="O1477" t="s">
        <v>54</v>
      </c>
      <c r="P1477" t="s">
        <v>34</v>
      </c>
      <c r="Q1477" t="s">
        <v>28</v>
      </c>
      <c r="R1477" s="2">
        <v>0.38541666666666669</v>
      </c>
    </row>
    <row r="1478" spans="1:18" x14ac:dyDescent="0.25">
      <c r="A1478" t="s">
        <v>2943</v>
      </c>
      <c r="B1478" t="s">
        <v>1416</v>
      </c>
      <c r="C1478" s="1">
        <v>45172</v>
      </c>
      <c r="D1478" s="1" t="str">
        <f>TEXT(Delivery_data[[#This Row],[Order date]], "MMMM")</f>
        <v>September</v>
      </c>
      <c r="E1478" s="1" t="str">
        <f>TEXT(Delivery_data[[#This Row],[Order date]], "DDDD")</f>
        <v>Sunday</v>
      </c>
      <c r="F1478" s="2">
        <v>0.36805555555555558</v>
      </c>
      <c r="G1478" t="s">
        <v>48</v>
      </c>
      <c r="H1478" t="str">
        <f>IF(Delivery_data[[#This Row],[Order Status]] = "In Progress", "Backlog", "Complete")</f>
        <v>Backlog</v>
      </c>
      <c r="I1478" t="s">
        <v>205</v>
      </c>
      <c r="J1478" t="s">
        <v>1631</v>
      </c>
      <c r="K1478" t="s">
        <v>24</v>
      </c>
      <c r="L1478">
        <v>61</v>
      </c>
      <c r="M1478">
        <v>4</v>
      </c>
      <c r="N1478" t="s">
        <v>38</v>
      </c>
      <c r="O1478" t="s">
        <v>50</v>
      </c>
      <c r="P1478" t="s">
        <v>27</v>
      </c>
      <c r="Q1478" t="s">
        <v>46</v>
      </c>
      <c r="R1478" s="2">
        <v>0.47708333333333336</v>
      </c>
    </row>
    <row r="1479" spans="1:18" x14ac:dyDescent="0.25">
      <c r="A1479" t="s">
        <v>2965</v>
      </c>
      <c r="B1479" t="s">
        <v>1438</v>
      </c>
      <c r="C1479" s="1">
        <v>45171</v>
      </c>
      <c r="D1479" s="1" t="str">
        <f>TEXT(Delivery_data[[#This Row],[Order date]], "MMMM")</f>
        <v>September</v>
      </c>
      <c r="E1479" s="1" t="str">
        <f>TEXT(Delivery_data[[#This Row],[Order date]], "DDDD")</f>
        <v>Saturday</v>
      </c>
      <c r="F1479" s="2">
        <v>0.59583333333333333</v>
      </c>
      <c r="G1479" t="s">
        <v>48</v>
      </c>
      <c r="H1479" t="str">
        <f>IF(Delivery_data[[#This Row],[Order Status]] = "In Progress", "Backlog", "Complete")</f>
        <v>Backlog</v>
      </c>
      <c r="I1479" t="s">
        <v>205</v>
      </c>
      <c r="J1479" t="s">
        <v>1631</v>
      </c>
      <c r="K1479" t="s">
        <v>37</v>
      </c>
      <c r="L1479">
        <v>160</v>
      </c>
      <c r="M1479">
        <v>11</v>
      </c>
      <c r="N1479" t="s">
        <v>32</v>
      </c>
      <c r="O1479" t="s">
        <v>26</v>
      </c>
      <c r="P1479" t="s">
        <v>45</v>
      </c>
      <c r="Q1479" t="s">
        <v>28</v>
      </c>
      <c r="R1479" s="2">
        <v>0.41944444444444445</v>
      </c>
    </row>
    <row r="1480" spans="1:18" x14ac:dyDescent="0.25">
      <c r="A1480" t="s">
        <v>2984</v>
      </c>
      <c r="B1480" t="s">
        <v>1457</v>
      </c>
      <c r="C1480" s="1">
        <v>45175</v>
      </c>
      <c r="D1480" s="1" t="str">
        <f>TEXT(Delivery_data[[#This Row],[Order date]], "MMMM")</f>
        <v>September</v>
      </c>
      <c r="E1480" s="1" t="str">
        <f>TEXT(Delivery_data[[#This Row],[Order date]], "DDDD")</f>
        <v>Wednesday</v>
      </c>
      <c r="F1480" s="2">
        <v>0.63055555555555554</v>
      </c>
      <c r="G1480" t="s">
        <v>48</v>
      </c>
      <c r="H1480" t="str">
        <f>IF(Delivery_data[[#This Row],[Order Status]] = "In Progress", "Backlog", "Complete")</f>
        <v>Backlog</v>
      </c>
      <c r="I1480" t="s">
        <v>205</v>
      </c>
      <c r="J1480" t="s">
        <v>1631</v>
      </c>
      <c r="K1480" t="s">
        <v>24</v>
      </c>
      <c r="L1480">
        <v>65</v>
      </c>
      <c r="M1480">
        <v>13</v>
      </c>
      <c r="N1480" t="s">
        <v>25</v>
      </c>
      <c r="O1480" t="s">
        <v>26</v>
      </c>
      <c r="P1480" t="s">
        <v>45</v>
      </c>
      <c r="Q1480" t="s">
        <v>46</v>
      </c>
      <c r="R1480" s="2">
        <v>0.46458333333333335</v>
      </c>
    </row>
    <row r="1481" spans="1:18" x14ac:dyDescent="0.25">
      <c r="A1481" t="s">
        <v>2998</v>
      </c>
      <c r="B1481" t="s">
        <v>1469</v>
      </c>
      <c r="C1481" s="1">
        <v>45175</v>
      </c>
      <c r="D1481" s="1" t="str">
        <f>TEXT(Delivery_data[[#This Row],[Order date]], "MMMM")</f>
        <v>September</v>
      </c>
      <c r="E1481" s="1" t="str">
        <f>TEXT(Delivery_data[[#This Row],[Order date]], "DDDD")</f>
        <v>Wednesday</v>
      </c>
      <c r="F1481" s="2">
        <v>0.42916666666666664</v>
      </c>
      <c r="G1481" t="s">
        <v>48</v>
      </c>
      <c r="H1481" t="str">
        <f>IF(Delivery_data[[#This Row],[Order Status]] = "In Progress", "Backlog", "Complete")</f>
        <v>Backlog</v>
      </c>
      <c r="I1481" t="s">
        <v>205</v>
      </c>
      <c r="J1481" t="s">
        <v>1637</v>
      </c>
      <c r="K1481" t="s">
        <v>31</v>
      </c>
      <c r="L1481">
        <v>134</v>
      </c>
      <c r="M1481">
        <v>22</v>
      </c>
      <c r="N1481" t="s">
        <v>25</v>
      </c>
      <c r="O1481" t="s">
        <v>33</v>
      </c>
      <c r="P1481" t="s">
        <v>34</v>
      </c>
      <c r="Q1481" t="s">
        <v>28</v>
      </c>
      <c r="R1481" s="2">
        <v>0.6166666666666667</v>
      </c>
    </row>
    <row r="1482" spans="1:18" x14ac:dyDescent="0.25">
      <c r="A1482" t="s">
        <v>3010</v>
      </c>
      <c r="B1482" t="s">
        <v>1481</v>
      </c>
      <c r="C1482" s="1">
        <v>45174</v>
      </c>
      <c r="D1482" s="1" t="str">
        <f>TEXT(Delivery_data[[#This Row],[Order date]], "MMMM")</f>
        <v>September</v>
      </c>
      <c r="E1482" s="1" t="str">
        <f>TEXT(Delivery_data[[#This Row],[Order date]], "DDDD")</f>
        <v>Tuesday</v>
      </c>
      <c r="F1482" s="2">
        <v>0.42430555555555555</v>
      </c>
      <c r="G1482" t="s">
        <v>22</v>
      </c>
      <c r="H1482" t="str">
        <f>IF(Delivery_data[[#This Row],[Order Status]] = "In Progress", "Backlog", "Complete")</f>
        <v>Complete</v>
      </c>
      <c r="I1482" t="s">
        <v>205</v>
      </c>
      <c r="J1482" t="s">
        <v>1631</v>
      </c>
      <c r="K1482" t="s">
        <v>31</v>
      </c>
      <c r="L1482">
        <v>237</v>
      </c>
      <c r="M1482">
        <v>9</v>
      </c>
      <c r="N1482" t="s">
        <v>38</v>
      </c>
      <c r="O1482" t="s">
        <v>50</v>
      </c>
      <c r="P1482" t="s">
        <v>45</v>
      </c>
      <c r="Q1482" t="s">
        <v>28</v>
      </c>
      <c r="R1482" s="2">
        <v>0.67638888888888893</v>
      </c>
    </row>
    <row r="1483" spans="1:18" x14ac:dyDescent="0.25">
      <c r="A1483" t="s">
        <v>3023</v>
      </c>
      <c r="B1483" t="s">
        <v>1450</v>
      </c>
      <c r="C1483" s="1">
        <v>45172</v>
      </c>
      <c r="D1483" s="1" t="str">
        <f>TEXT(Delivery_data[[#This Row],[Order date]], "MMMM")</f>
        <v>September</v>
      </c>
      <c r="E1483" s="1" t="str">
        <f>TEXT(Delivery_data[[#This Row],[Order date]], "DDDD")</f>
        <v>Sunday</v>
      </c>
      <c r="F1483" s="2">
        <v>0.47361111111111109</v>
      </c>
      <c r="G1483" t="s">
        <v>48</v>
      </c>
      <c r="H1483" t="str">
        <f>IF(Delivery_data[[#This Row],[Order Status]] = "In Progress", "Backlog", "Complete")</f>
        <v>Backlog</v>
      </c>
      <c r="I1483" t="s">
        <v>205</v>
      </c>
      <c r="J1483" t="s">
        <v>1637</v>
      </c>
      <c r="K1483" t="s">
        <v>44</v>
      </c>
      <c r="L1483">
        <v>99</v>
      </c>
      <c r="M1483">
        <v>15</v>
      </c>
      <c r="N1483" t="s">
        <v>32</v>
      </c>
      <c r="O1483" t="s">
        <v>50</v>
      </c>
      <c r="P1483" t="s">
        <v>34</v>
      </c>
      <c r="Q1483" t="s">
        <v>28</v>
      </c>
      <c r="R1483" s="2">
        <v>0.7006944444444444</v>
      </c>
    </row>
    <row r="1484" spans="1:18" x14ac:dyDescent="0.25">
      <c r="A1484" t="s">
        <v>1639</v>
      </c>
      <c r="B1484" t="s">
        <v>52</v>
      </c>
      <c r="C1484" s="1">
        <v>45176</v>
      </c>
      <c r="D1484" s="1" t="str">
        <f>TEXT(Delivery_data[[#This Row],[Order date]], "MMMM")</f>
        <v>September</v>
      </c>
      <c r="E1484" s="1" t="str">
        <f>TEXT(Delivery_data[[#This Row],[Order date]], "DDDD")</f>
        <v>Thursday</v>
      </c>
      <c r="F1484" s="2">
        <v>0.57499999999999996</v>
      </c>
      <c r="G1484" t="s">
        <v>48</v>
      </c>
      <c r="H1484" t="str">
        <f>IF(Delivery_data[[#This Row],[Order Status]] = "In Progress", "Backlog", "Complete")</f>
        <v>Backlog</v>
      </c>
      <c r="I1484" t="s">
        <v>53</v>
      </c>
      <c r="J1484" t="s">
        <v>1633</v>
      </c>
      <c r="K1484" t="s">
        <v>24</v>
      </c>
      <c r="L1484">
        <v>161</v>
      </c>
      <c r="M1484">
        <v>8</v>
      </c>
      <c r="N1484" t="s">
        <v>32</v>
      </c>
      <c r="O1484" t="s">
        <v>54</v>
      </c>
      <c r="P1484" t="s">
        <v>45</v>
      </c>
      <c r="Q1484" t="s">
        <v>46</v>
      </c>
      <c r="R1484" s="2">
        <v>0.59722222222222221</v>
      </c>
    </row>
    <row r="1485" spans="1:18" x14ac:dyDescent="0.25">
      <c r="A1485" t="s">
        <v>1742</v>
      </c>
      <c r="B1485" t="s">
        <v>221</v>
      </c>
      <c r="C1485" s="1">
        <v>45174</v>
      </c>
      <c r="D1485" s="1" t="str">
        <f>TEXT(Delivery_data[[#This Row],[Order date]], "MMMM")</f>
        <v>September</v>
      </c>
      <c r="E1485" s="1" t="str">
        <f>TEXT(Delivery_data[[#This Row],[Order date]], "DDDD")</f>
        <v>Tuesday</v>
      </c>
      <c r="F1485" s="2">
        <v>0.69444444444444442</v>
      </c>
      <c r="G1485" t="s">
        <v>48</v>
      </c>
      <c r="H1485" t="str">
        <f>IF(Delivery_data[[#This Row],[Order Status]] = "In Progress", "Backlog", "Complete")</f>
        <v>Backlog</v>
      </c>
      <c r="I1485" t="s">
        <v>53</v>
      </c>
      <c r="J1485" t="s">
        <v>1633</v>
      </c>
      <c r="K1485" t="s">
        <v>37</v>
      </c>
      <c r="L1485">
        <v>156</v>
      </c>
      <c r="M1485">
        <v>23</v>
      </c>
      <c r="N1485" t="s">
        <v>32</v>
      </c>
      <c r="O1485" t="s">
        <v>50</v>
      </c>
      <c r="P1485" t="s">
        <v>27</v>
      </c>
      <c r="Q1485" t="s">
        <v>51</v>
      </c>
      <c r="R1485" s="2">
        <v>0.57986111111111116</v>
      </c>
    </row>
    <row r="1486" spans="1:18" x14ac:dyDescent="0.25">
      <c r="A1486" t="s">
        <v>1765</v>
      </c>
      <c r="B1486" t="s">
        <v>173</v>
      </c>
      <c r="C1486" s="1">
        <v>45177</v>
      </c>
      <c r="D1486" s="1" t="str">
        <f>TEXT(Delivery_data[[#This Row],[Order date]], "MMMM")</f>
        <v>September</v>
      </c>
      <c r="E1486" s="1" t="str">
        <f>TEXT(Delivery_data[[#This Row],[Order date]], "DDDD")</f>
        <v>Friday</v>
      </c>
      <c r="F1486" s="2">
        <v>0.65694444444444444</v>
      </c>
      <c r="G1486" t="s">
        <v>48</v>
      </c>
      <c r="H1486" t="str">
        <f>IF(Delivery_data[[#This Row],[Order Status]] = "In Progress", "Backlog", "Complete")</f>
        <v>Backlog</v>
      </c>
      <c r="I1486" t="s">
        <v>53</v>
      </c>
      <c r="J1486" t="s">
        <v>1631</v>
      </c>
      <c r="K1486" t="s">
        <v>37</v>
      </c>
      <c r="L1486">
        <v>239</v>
      </c>
      <c r="M1486">
        <v>18</v>
      </c>
      <c r="N1486" t="s">
        <v>32</v>
      </c>
      <c r="O1486" t="s">
        <v>41</v>
      </c>
      <c r="P1486" t="s">
        <v>34</v>
      </c>
      <c r="Q1486" t="s">
        <v>46</v>
      </c>
      <c r="R1486" s="2">
        <v>0.61458333333333337</v>
      </c>
    </row>
    <row r="1487" spans="1:18" x14ac:dyDescent="0.25">
      <c r="A1487" t="s">
        <v>2154</v>
      </c>
      <c r="B1487" t="s">
        <v>657</v>
      </c>
      <c r="C1487" s="1">
        <v>45176</v>
      </c>
      <c r="D1487" s="1" t="str">
        <f>TEXT(Delivery_data[[#This Row],[Order date]], "MMMM")</f>
        <v>September</v>
      </c>
      <c r="E1487" s="1" t="str">
        <f>TEXT(Delivery_data[[#This Row],[Order date]], "DDDD")</f>
        <v>Thursday</v>
      </c>
      <c r="F1487" s="2">
        <v>0.47430555555555554</v>
      </c>
      <c r="G1487" t="s">
        <v>22</v>
      </c>
      <c r="H1487" t="str">
        <f>IF(Delivery_data[[#This Row],[Order Status]] = "In Progress", "Backlog", "Complete")</f>
        <v>Complete</v>
      </c>
      <c r="I1487" t="s">
        <v>53</v>
      </c>
      <c r="J1487" t="s">
        <v>1633</v>
      </c>
      <c r="K1487" t="s">
        <v>61</v>
      </c>
      <c r="L1487">
        <v>136</v>
      </c>
      <c r="M1487">
        <v>25</v>
      </c>
      <c r="N1487" t="s">
        <v>38</v>
      </c>
      <c r="O1487" t="s">
        <v>41</v>
      </c>
      <c r="P1487" t="s">
        <v>45</v>
      </c>
      <c r="Q1487" t="s">
        <v>51</v>
      </c>
      <c r="R1487" s="2">
        <v>0.39027777777777778</v>
      </c>
    </row>
    <row r="1488" spans="1:18" x14ac:dyDescent="0.25">
      <c r="A1488" t="s">
        <v>2225</v>
      </c>
      <c r="B1488" t="s">
        <v>726</v>
      </c>
      <c r="C1488" s="1">
        <v>45170</v>
      </c>
      <c r="D1488" s="1" t="str">
        <f>TEXT(Delivery_data[[#This Row],[Order date]], "MMMM")</f>
        <v>September</v>
      </c>
      <c r="E1488" s="1" t="str">
        <f>TEXT(Delivery_data[[#This Row],[Order date]], "DDDD")</f>
        <v>Friday</v>
      </c>
      <c r="F1488" s="2">
        <v>0.5</v>
      </c>
      <c r="G1488" t="s">
        <v>48</v>
      </c>
      <c r="H1488" t="str">
        <f>IF(Delivery_data[[#This Row],[Order Status]] = "In Progress", "Backlog", "Complete")</f>
        <v>Backlog</v>
      </c>
      <c r="I1488" t="s">
        <v>53</v>
      </c>
      <c r="J1488" t="s">
        <v>1631</v>
      </c>
      <c r="K1488" t="s">
        <v>37</v>
      </c>
      <c r="L1488">
        <v>187</v>
      </c>
      <c r="M1488">
        <v>9</v>
      </c>
      <c r="N1488" t="s">
        <v>32</v>
      </c>
      <c r="O1488" t="s">
        <v>41</v>
      </c>
      <c r="P1488" t="s">
        <v>45</v>
      </c>
      <c r="Q1488" t="s">
        <v>46</v>
      </c>
      <c r="R1488" s="2">
        <v>0.68680555555555556</v>
      </c>
    </row>
    <row r="1489" spans="1:18" x14ac:dyDescent="0.25">
      <c r="A1489" t="s">
        <v>2253</v>
      </c>
      <c r="B1489" t="s">
        <v>753</v>
      </c>
      <c r="C1489" s="1">
        <v>45172</v>
      </c>
      <c r="D1489" s="1" t="str">
        <f>TEXT(Delivery_data[[#This Row],[Order date]], "MMMM")</f>
        <v>September</v>
      </c>
      <c r="E1489" s="1" t="str">
        <f>TEXT(Delivery_data[[#This Row],[Order date]], "DDDD")</f>
        <v>Sunday</v>
      </c>
      <c r="F1489" s="2">
        <v>0.70763888888888893</v>
      </c>
      <c r="G1489" t="s">
        <v>48</v>
      </c>
      <c r="H1489" t="str">
        <f>IF(Delivery_data[[#This Row],[Order Status]] = "In Progress", "Backlog", "Complete")</f>
        <v>Backlog</v>
      </c>
      <c r="I1489" t="s">
        <v>53</v>
      </c>
      <c r="J1489" t="s">
        <v>1631</v>
      </c>
      <c r="K1489" t="s">
        <v>37</v>
      </c>
      <c r="L1489">
        <v>168</v>
      </c>
      <c r="M1489">
        <v>6</v>
      </c>
      <c r="N1489" t="s">
        <v>38</v>
      </c>
      <c r="O1489" t="s">
        <v>50</v>
      </c>
      <c r="P1489" t="s">
        <v>27</v>
      </c>
      <c r="Q1489" t="s">
        <v>28</v>
      </c>
      <c r="R1489" s="2">
        <v>0.50972222222222219</v>
      </c>
    </row>
    <row r="1490" spans="1:18" x14ac:dyDescent="0.25">
      <c r="A1490" t="s">
        <v>2354</v>
      </c>
      <c r="B1490" t="s">
        <v>851</v>
      </c>
      <c r="C1490" s="1">
        <v>45173</v>
      </c>
      <c r="D1490" s="1" t="str">
        <f>TEXT(Delivery_data[[#This Row],[Order date]], "MMMM")</f>
        <v>September</v>
      </c>
      <c r="E1490" s="1" t="str">
        <f>TEXT(Delivery_data[[#This Row],[Order date]], "DDDD")</f>
        <v>Monday</v>
      </c>
      <c r="F1490" s="2">
        <v>0.67777777777777781</v>
      </c>
      <c r="G1490" t="s">
        <v>22</v>
      </c>
      <c r="H1490" t="str">
        <f>IF(Delivery_data[[#This Row],[Order Status]] = "In Progress", "Backlog", "Complete")</f>
        <v>Complete</v>
      </c>
      <c r="I1490" t="s">
        <v>53</v>
      </c>
      <c r="J1490" t="s">
        <v>1633</v>
      </c>
      <c r="K1490" t="s">
        <v>31</v>
      </c>
      <c r="L1490">
        <v>190</v>
      </c>
      <c r="M1490">
        <v>16</v>
      </c>
      <c r="N1490" t="s">
        <v>38</v>
      </c>
      <c r="O1490" t="s">
        <v>41</v>
      </c>
      <c r="P1490" t="s">
        <v>45</v>
      </c>
      <c r="Q1490" t="s">
        <v>28</v>
      </c>
      <c r="R1490" s="2">
        <v>0.71250000000000002</v>
      </c>
    </row>
    <row r="1491" spans="1:18" x14ac:dyDescent="0.25">
      <c r="A1491" t="s">
        <v>2366</v>
      </c>
      <c r="B1491" t="s">
        <v>863</v>
      </c>
      <c r="C1491" s="1">
        <v>45175</v>
      </c>
      <c r="D1491" s="1" t="str">
        <f>TEXT(Delivery_data[[#This Row],[Order date]], "MMMM")</f>
        <v>September</v>
      </c>
      <c r="E1491" s="1" t="str">
        <f>TEXT(Delivery_data[[#This Row],[Order date]], "DDDD")</f>
        <v>Wednesday</v>
      </c>
      <c r="F1491" s="2">
        <v>0.64097222222222228</v>
      </c>
      <c r="G1491" t="s">
        <v>48</v>
      </c>
      <c r="H1491" t="str">
        <f>IF(Delivery_data[[#This Row],[Order Status]] = "In Progress", "Backlog", "Complete")</f>
        <v>Backlog</v>
      </c>
      <c r="I1491" t="s">
        <v>53</v>
      </c>
      <c r="J1491" t="s">
        <v>1637</v>
      </c>
      <c r="K1491" t="s">
        <v>37</v>
      </c>
      <c r="L1491">
        <v>196</v>
      </c>
      <c r="M1491">
        <v>5</v>
      </c>
      <c r="N1491" t="s">
        <v>25</v>
      </c>
      <c r="O1491" t="s">
        <v>26</v>
      </c>
      <c r="P1491" t="s">
        <v>45</v>
      </c>
      <c r="Q1491" t="s">
        <v>51</v>
      </c>
      <c r="R1491" s="2">
        <v>0.47013888888888888</v>
      </c>
    </row>
    <row r="1492" spans="1:18" x14ac:dyDescent="0.25">
      <c r="A1492" t="s">
        <v>2400</v>
      </c>
      <c r="B1492" t="s">
        <v>896</v>
      </c>
      <c r="C1492" s="1">
        <v>45171</v>
      </c>
      <c r="D1492" s="1" t="str">
        <f>TEXT(Delivery_data[[#This Row],[Order date]], "MMMM")</f>
        <v>September</v>
      </c>
      <c r="E1492" s="1" t="str">
        <f>TEXT(Delivery_data[[#This Row],[Order date]], "DDDD")</f>
        <v>Saturday</v>
      </c>
      <c r="F1492" s="2">
        <v>0.45763888888888887</v>
      </c>
      <c r="G1492" t="s">
        <v>22</v>
      </c>
      <c r="H1492" t="str">
        <f>IF(Delivery_data[[#This Row],[Order Status]] = "In Progress", "Backlog", "Complete")</f>
        <v>Complete</v>
      </c>
      <c r="I1492" t="s">
        <v>53</v>
      </c>
      <c r="J1492" t="s">
        <v>1631</v>
      </c>
      <c r="K1492" t="s">
        <v>37</v>
      </c>
      <c r="L1492">
        <v>61</v>
      </c>
      <c r="M1492">
        <v>6</v>
      </c>
      <c r="N1492" t="s">
        <v>32</v>
      </c>
      <c r="O1492" t="s">
        <v>54</v>
      </c>
      <c r="P1492" t="s">
        <v>34</v>
      </c>
      <c r="Q1492" t="s">
        <v>51</v>
      </c>
      <c r="R1492" s="2">
        <v>0.46250000000000002</v>
      </c>
    </row>
    <row r="1493" spans="1:18" x14ac:dyDescent="0.25">
      <c r="A1493" t="s">
        <v>2472</v>
      </c>
      <c r="B1493" t="s">
        <v>964</v>
      </c>
      <c r="C1493" s="1">
        <v>45174</v>
      </c>
      <c r="D1493" s="1" t="str">
        <f>TEXT(Delivery_data[[#This Row],[Order date]], "MMMM")</f>
        <v>September</v>
      </c>
      <c r="E1493" s="1" t="str">
        <f>TEXT(Delivery_data[[#This Row],[Order date]], "DDDD")</f>
        <v>Tuesday</v>
      </c>
      <c r="F1493" s="2">
        <v>0.60902777777777772</v>
      </c>
      <c r="G1493" t="s">
        <v>22</v>
      </c>
      <c r="H1493" t="str">
        <f>IF(Delivery_data[[#This Row],[Order Status]] = "In Progress", "Backlog", "Complete")</f>
        <v>Complete</v>
      </c>
      <c r="I1493" t="s">
        <v>53</v>
      </c>
      <c r="J1493" t="s">
        <v>1631</v>
      </c>
      <c r="K1493" t="s">
        <v>31</v>
      </c>
      <c r="L1493">
        <v>134</v>
      </c>
      <c r="M1493">
        <v>5</v>
      </c>
      <c r="N1493" t="s">
        <v>38</v>
      </c>
      <c r="O1493" t="s">
        <v>50</v>
      </c>
      <c r="P1493" t="s">
        <v>27</v>
      </c>
      <c r="Q1493" t="s">
        <v>51</v>
      </c>
      <c r="R1493" s="2">
        <v>0.57986111111111116</v>
      </c>
    </row>
    <row r="1494" spans="1:18" x14ac:dyDescent="0.25">
      <c r="A1494" t="s">
        <v>2611</v>
      </c>
      <c r="B1494" t="s">
        <v>1095</v>
      </c>
      <c r="C1494" s="1">
        <v>45177</v>
      </c>
      <c r="D1494" s="1" t="str">
        <f>TEXT(Delivery_data[[#This Row],[Order date]], "MMMM")</f>
        <v>September</v>
      </c>
      <c r="E1494" s="1" t="str">
        <f>TEXT(Delivery_data[[#This Row],[Order date]], "DDDD")</f>
        <v>Friday</v>
      </c>
      <c r="F1494" s="2">
        <v>0.58472222222222225</v>
      </c>
      <c r="G1494" t="s">
        <v>22</v>
      </c>
      <c r="H1494" t="str">
        <f>IF(Delivery_data[[#This Row],[Order Status]] = "In Progress", "Backlog", "Complete")</f>
        <v>Complete</v>
      </c>
      <c r="I1494" t="s">
        <v>53</v>
      </c>
      <c r="J1494" t="s">
        <v>1633</v>
      </c>
      <c r="K1494" t="s">
        <v>37</v>
      </c>
      <c r="L1494">
        <v>110</v>
      </c>
      <c r="M1494">
        <v>26</v>
      </c>
      <c r="N1494" t="s">
        <v>25</v>
      </c>
      <c r="O1494" t="s">
        <v>54</v>
      </c>
      <c r="P1494" t="s">
        <v>45</v>
      </c>
      <c r="Q1494" t="s">
        <v>46</v>
      </c>
      <c r="R1494" s="2">
        <v>0.44861111111111113</v>
      </c>
    </row>
    <row r="1495" spans="1:18" x14ac:dyDescent="0.25">
      <c r="A1495" t="s">
        <v>2845</v>
      </c>
      <c r="B1495" t="s">
        <v>1321</v>
      </c>
      <c r="C1495" s="1">
        <v>45174</v>
      </c>
      <c r="D1495" s="1" t="str">
        <f>TEXT(Delivery_data[[#This Row],[Order date]], "MMMM")</f>
        <v>September</v>
      </c>
      <c r="E1495" s="1" t="str">
        <f>TEXT(Delivery_data[[#This Row],[Order date]], "DDDD")</f>
        <v>Tuesday</v>
      </c>
      <c r="F1495" s="2">
        <v>0.59652777777777777</v>
      </c>
      <c r="G1495" t="s">
        <v>22</v>
      </c>
      <c r="H1495" t="str">
        <f>IF(Delivery_data[[#This Row],[Order Status]] = "In Progress", "Backlog", "Complete")</f>
        <v>Complete</v>
      </c>
      <c r="I1495" t="s">
        <v>53</v>
      </c>
      <c r="J1495" t="s">
        <v>1637</v>
      </c>
      <c r="K1495" t="s">
        <v>44</v>
      </c>
      <c r="L1495">
        <v>198</v>
      </c>
      <c r="M1495">
        <v>23</v>
      </c>
      <c r="N1495" t="s">
        <v>32</v>
      </c>
      <c r="O1495" t="s">
        <v>41</v>
      </c>
      <c r="P1495" t="s">
        <v>34</v>
      </c>
      <c r="Q1495" t="s">
        <v>28</v>
      </c>
      <c r="R1495" s="2">
        <v>0.62916666666666665</v>
      </c>
    </row>
    <row r="1496" spans="1:18" x14ac:dyDescent="0.25">
      <c r="A1496" t="s">
        <v>2903</v>
      </c>
      <c r="B1496" t="s">
        <v>1376</v>
      </c>
      <c r="C1496" s="1">
        <v>45177</v>
      </c>
      <c r="D1496" s="1" t="str">
        <f>TEXT(Delivery_data[[#This Row],[Order date]], "MMMM")</f>
        <v>September</v>
      </c>
      <c r="E1496" s="1" t="str">
        <f>TEXT(Delivery_data[[#This Row],[Order date]], "DDDD")</f>
        <v>Friday</v>
      </c>
      <c r="F1496" s="2">
        <v>0.35069444444444442</v>
      </c>
      <c r="G1496" t="s">
        <v>22</v>
      </c>
      <c r="H1496" t="str">
        <f>IF(Delivery_data[[#This Row],[Order Status]] = "In Progress", "Backlog", "Complete")</f>
        <v>Complete</v>
      </c>
      <c r="I1496" t="s">
        <v>53</v>
      </c>
      <c r="J1496" t="s">
        <v>1631</v>
      </c>
      <c r="K1496" t="s">
        <v>61</v>
      </c>
      <c r="L1496">
        <v>197</v>
      </c>
      <c r="M1496">
        <v>9</v>
      </c>
      <c r="N1496" t="s">
        <v>32</v>
      </c>
      <c r="O1496" t="s">
        <v>54</v>
      </c>
      <c r="P1496" t="s">
        <v>34</v>
      </c>
      <c r="Q1496" t="s">
        <v>51</v>
      </c>
      <c r="R1496" s="2">
        <v>0.41111111111111109</v>
      </c>
    </row>
    <row r="1497" spans="1:18" x14ac:dyDescent="0.25">
      <c r="A1497" t="s">
        <v>2970</v>
      </c>
      <c r="B1497" t="s">
        <v>1443</v>
      </c>
      <c r="C1497" s="1">
        <v>45171</v>
      </c>
      <c r="D1497" s="1" t="str">
        <f>TEXT(Delivery_data[[#This Row],[Order date]], "MMMM")</f>
        <v>September</v>
      </c>
      <c r="E1497" s="1" t="str">
        <f>TEXT(Delivery_data[[#This Row],[Order date]], "DDDD")</f>
        <v>Saturday</v>
      </c>
      <c r="F1497" s="2">
        <v>0.36180555555555555</v>
      </c>
      <c r="G1497" t="s">
        <v>22</v>
      </c>
      <c r="H1497" t="str">
        <f>IF(Delivery_data[[#This Row],[Order Status]] = "In Progress", "Backlog", "Complete")</f>
        <v>Complete</v>
      </c>
      <c r="I1497" t="s">
        <v>53</v>
      </c>
      <c r="J1497" t="s">
        <v>1631</v>
      </c>
      <c r="K1497" t="s">
        <v>44</v>
      </c>
      <c r="L1497">
        <v>218</v>
      </c>
      <c r="M1497">
        <v>4</v>
      </c>
      <c r="N1497" t="s">
        <v>25</v>
      </c>
      <c r="O1497" t="s">
        <v>26</v>
      </c>
      <c r="P1497" t="s">
        <v>27</v>
      </c>
      <c r="Q1497" t="s">
        <v>28</v>
      </c>
      <c r="R1497" s="2">
        <v>0.60902777777777772</v>
      </c>
    </row>
    <row r="1498" spans="1:18" x14ac:dyDescent="0.25">
      <c r="A1498" t="s">
        <v>2988</v>
      </c>
      <c r="B1498" t="s">
        <v>1461</v>
      </c>
      <c r="C1498" s="1">
        <v>45173</v>
      </c>
      <c r="D1498" s="1" t="str">
        <f>TEXT(Delivery_data[[#This Row],[Order date]], "MMMM")</f>
        <v>September</v>
      </c>
      <c r="E1498" s="1" t="str">
        <f>TEXT(Delivery_data[[#This Row],[Order date]], "DDDD")</f>
        <v>Monday</v>
      </c>
      <c r="F1498" s="2">
        <v>0.55208333333333337</v>
      </c>
      <c r="G1498" t="s">
        <v>22</v>
      </c>
      <c r="H1498" t="str">
        <f>IF(Delivery_data[[#This Row],[Order Status]] = "In Progress", "Backlog", "Complete")</f>
        <v>Complete</v>
      </c>
      <c r="I1498" t="s">
        <v>53</v>
      </c>
      <c r="J1498" t="s">
        <v>1631</v>
      </c>
      <c r="K1498" t="s">
        <v>31</v>
      </c>
      <c r="L1498">
        <v>180</v>
      </c>
      <c r="M1498">
        <v>11</v>
      </c>
      <c r="N1498" t="s">
        <v>38</v>
      </c>
      <c r="O1498" t="s">
        <v>33</v>
      </c>
      <c r="P1498" t="s">
        <v>45</v>
      </c>
      <c r="Q1498" t="s">
        <v>28</v>
      </c>
      <c r="R1498" s="2">
        <v>0.6645833333333333</v>
      </c>
    </row>
    <row r="1499" spans="1:18" x14ac:dyDescent="0.25">
      <c r="A1499" t="s">
        <v>3026</v>
      </c>
      <c r="B1499" t="s">
        <v>1496</v>
      </c>
      <c r="C1499" s="1">
        <v>45174</v>
      </c>
      <c r="D1499" s="1" t="str">
        <f>TEXT(Delivery_data[[#This Row],[Order date]], "MMMM")</f>
        <v>September</v>
      </c>
      <c r="E1499" s="1" t="str">
        <f>TEXT(Delivery_data[[#This Row],[Order date]], "DDDD")</f>
        <v>Tuesday</v>
      </c>
      <c r="F1499" s="2">
        <v>0.39027777777777778</v>
      </c>
      <c r="G1499" t="s">
        <v>22</v>
      </c>
      <c r="H1499" t="str">
        <f>IF(Delivery_data[[#This Row],[Order Status]] = "In Progress", "Backlog", "Complete")</f>
        <v>Complete</v>
      </c>
      <c r="I1499" t="s">
        <v>53</v>
      </c>
      <c r="J1499" t="s">
        <v>1633</v>
      </c>
      <c r="K1499" t="s">
        <v>44</v>
      </c>
      <c r="L1499">
        <v>119</v>
      </c>
      <c r="M1499">
        <v>3</v>
      </c>
      <c r="N1499" t="s">
        <v>32</v>
      </c>
      <c r="O1499" t="s">
        <v>26</v>
      </c>
      <c r="P1499" t="s">
        <v>45</v>
      </c>
      <c r="Q1499" t="s">
        <v>28</v>
      </c>
      <c r="R1499" s="2">
        <v>0.5805555555555556</v>
      </c>
    </row>
    <row r="1500" spans="1:18" x14ac:dyDescent="0.25">
      <c r="A1500" t="s">
        <v>3029</v>
      </c>
      <c r="B1500" t="s">
        <v>1499</v>
      </c>
      <c r="C1500" s="1">
        <v>45173</v>
      </c>
      <c r="D1500" s="1" t="str">
        <f>TEXT(Delivery_data[[#This Row],[Order date]], "MMMM")</f>
        <v>September</v>
      </c>
      <c r="E1500" s="1" t="str">
        <f>TEXT(Delivery_data[[#This Row],[Order date]], "DDDD")</f>
        <v>Monday</v>
      </c>
      <c r="F1500" s="2">
        <v>0.34791666666666665</v>
      </c>
      <c r="G1500" t="s">
        <v>22</v>
      </c>
      <c r="H1500" t="str">
        <f>IF(Delivery_data[[#This Row],[Order Status]] = "In Progress", "Backlog", "Complete")</f>
        <v>Complete</v>
      </c>
      <c r="I1500" t="s">
        <v>53</v>
      </c>
      <c r="J1500" t="s">
        <v>1631</v>
      </c>
      <c r="K1500" t="s">
        <v>31</v>
      </c>
      <c r="L1500">
        <v>101</v>
      </c>
      <c r="M1500">
        <v>5</v>
      </c>
      <c r="N1500" t="s">
        <v>38</v>
      </c>
      <c r="O1500" t="s">
        <v>41</v>
      </c>
      <c r="P1500" t="s">
        <v>27</v>
      </c>
      <c r="Q1500" t="s">
        <v>51</v>
      </c>
      <c r="R1500" s="2">
        <v>0.54166666666666663</v>
      </c>
    </row>
    <row r="1501" spans="1:18" x14ac:dyDescent="0.25">
      <c r="A1501" t="s">
        <v>3086</v>
      </c>
      <c r="B1501" t="s">
        <v>1552</v>
      </c>
      <c r="C1501" s="1">
        <v>45173</v>
      </c>
      <c r="D1501" s="1" t="str">
        <f>TEXT(Delivery_data[[#This Row],[Order date]], "MMMM")</f>
        <v>September</v>
      </c>
      <c r="E1501" s="1" t="str">
        <f>TEXT(Delivery_data[[#This Row],[Order date]], "DDDD")</f>
        <v>Monday</v>
      </c>
      <c r="F1501" s="2">
        <v>0.4</v>
      </c>
      <c r="G1501" t="s">
        <v>48</v>
      </c>
      <c r="H1501" t="str">
        <f>IF(Delivery_data[[#This Row],[Order Status]] = "In Progress", "Backlog", "Complete")</f>
        <v>Backlog</v>
      </c>
      <c r="I1501" t="s">
        <v>53</v>
      </c>
      <c r="J1501" t="s">
        <v>1633</v>
      </c>
      <c r="K1501" t="s">
        <v>31</v>
      </c>
      <c r="L1501">
        <v>183</v>
      </c>
      <c r="M1501">
        <v>8</v>
      </c>
      <c r="N1501" t="s">
        <v>32</v>
      </c>
      <c r="O1501" t="s">
        <v>26</v>
      </c>
      <c r="P1501" t="s">
        <v>34</v>
      </c>
      <c r="Q1501" t="s">
        <v>51</v>
      </c>
      <c r="R1501" s="2">
        <v>0.6875</v>
      </c>
    </row>
  </sheetData>
  <sheetProtection algorithmName="SHA-512" hashValue="MKMT/+LZU/K3D4az7Lxnnfqxjie04Q8vO0N4LulrcXSEk6e7URYPzF3KawO9Bcp/3GVoYqAjQZLgt1nHCw1j8A==" saltValue="kq8hV+GmLdB4ONxpY8LmfQ==" spinCount="100000" sheet="1" selectLockedCells="1" selectUnlockedCells="1"/>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2B79-F9E9-4E58-B595-101FB7A714E6}">
  <sheetPr>
    <tabColor theme="4" tint="-0.499984740745262"/>
  </sheetPr>
  <dimension ref="A2:W17"/>
  <sheetViews>
    <sheetView showGridLines="0" showRowColHeaders="0" workbookViewId="0">
      <selection activeCell="E14" sqref="E14"/>
    </sheetView>
  </sheetViews>
  <sheetFormatPr defaultColWidth="0" defaultRowHeight="15" x14ac:dyDescent="0.25"/>
  <cols>
    <col min="1" max="1" width="24.42578125" customWidth="1"/>
    <col min="2" max="2" width="9.5703125" bestFit="1" customWidth="1"/>
    <col min="3" max="5" width="9.140625" customWidth="1"/>
    <col min="6" max="6" width="16.42578125" bestFit="1" customWidth="1"/>
    <col min="7" max="11" width="9.140625" customWidth="1"/>
    <col min="12" max="12" width="25.5703125" customWidth="1"/>
    <col min="13" max="13" width="10.85546875" customWidth="1"/>
    <col min="14" max="14" width="11.28515625" customWidth="1"/>
    <col min="15" max="15" width="10.5703125" customWidth="1"/>
    <col min="16" max="17" width="9.140625" customWidth="1"/>
    <col min="18" max="18" width="17.140625" customWidth="1"/>
    <col min="19" max="19" width="20" bestFit="1" customWidth="1"/>
    <col min="20" max="22" width="20" customWidth="1"/>
    <col min="23" max="23" width="9.140625" customWidth="1"/>
    <col min="24" max="16384" width="9.140625" hidden="1"/>
  </cols>
  <sheetData>
    <row r="2" spans="1:22" ht="62.25" customHeight="1" x14ac:dyDescent="0.25"/>
    <row r="3" spans="1:22" ht="31.5" customHeight="1" x14ac:dyDescent="0.25">
      <c r="R3" s="17" t="s">
        <v>1611</v>
      </c>
      <c r="S3" s="17" t="s">
        <v>1612</v>
      </c>
      <c r="T3" s="20"/>
      <c r="U3" s="22" t="s">
        <v>1615</v>
      </c>
      <c r="V3" s="20" cm="1">
        <f t="array" ref="V3">COUNTA(_xlfn.UNIQUE(_xlfn._xlws.FILTER(Delivery_data[Driver ID], Delivery_data[Driver ID]&lt;&gt;"")))</f>
        <v>100</v>
      </c>
    </row>
    <row r="4" spans="1:22" ht="36" customHeight="1" x14ac:dyDescent="0.25">
      <c r="A4" s="15" t="s">
        <v>1596</v>
      </c>
      <c r="B4" s="12">
        <f>COUNTA(Delivery_data[Order ID])</f>
        <v>1500</v>
      </c>
      <c r="C4" s="5"/>
      <c r="F4" s="5"/>
      <c r="G4" s="6" t="s">
        <v>1598</v>
      </c>
      <c r="H4" s="6" t="s">
        <v>1599</v>
      </c>
      <c r="I4" s="6" t="s">
        <v>1600</v>
      </c>
      <c r="L4" s="5"/>
      <c r="M4" s="6" t="s">
        <v>1602</v>
      </c>
      <c r="N4" s="6" t="s">
        <v>1603</v>
      </c>
      <c r="O4" s="6" t="s">
        <v>1604</v>
      </c>
      <c r="P4" s="6" t="s">
        <v>1608</v>
      </c>
      <c r="R4" s="9" t="s">
        <v>2</v>
      </c>
      <c r="S4" s="6">
        <f>COUNTIF(Delivery_data[Allocation Rules], "Standard Rules")</f>
        <v>513</v>
      </c>
      <c r="T4" s="21"/>
      <c r="U4" s="21"/>
      <c r="V4" s="21"/>
    </row>
    <row r="5" spans="1:22" ht="33" customHeight="1" x14ac:dyDescent="0.25">
      <c r="A5" s="15" t="s">
        <v>1597</v>
      </c>
      <c r="B5" s="12">
        <f>COUNTIF(Delivery_data[Order Status], "In Progress")</f>
        <v>767</v>
      </c>
      <c r="C5" s="13">
        <f>IFERROR(B5/B4, "0")</f>
        <v>0.51133333333333331</v>
      </c>
      <c r="F5" s="6" t="s">
        <v>1601</v>
      </c>
      <c r="G5" s="12">
        <f>_xlfn.MAXIFS(Delivery_data[Delays (min)],Delivery_data[Delivery Zone], "Zone1")</f>
        <v>29</v>
      </c>
      <c r="H5" s="12">
        <f>_xlfn.MAXIFS(Delivery_data[Delays (min)],Delivery_data[Delivery Zone], "Zone2")</f>
        <v>29</v>
      </c>
      <c r="I5" s="12">
        <f>_xlfn.MAXIFS(Delivery_data[Delays (min)],Delivery_data[Delivery Zone], "Zone3")</f>
        <v>29</v>
      </c>
      <c r="L5" s="6" t="s">
        <v>1605</v>
      </c>
      <c r="M5" s="12">
        <f>COUNTIF(Delivery_data[Customer Feedback], "Positive")</f>
        <v>481</v>
      </c>
      <c r="N5" s="12">
        <f>COUNTIF(Delivery_data[Customer Feedback], "Negative")</f>
        <v>529</v>
      </c>
      <c r="O5" s="12">
        <f>COUNTIFS(Delivery_data[Customer Feedback], "Neutral")</f>
        <v>490</v>
      </c>
      <c r="P5" s="8">
        <f>SUM(M5,N5,O5)</f>
        <v>1500</v>
      </c>
      <c r="Q5" s="7"/>
      <c r="R5" s="10" t="s">
        <v>4</v>
      </c>
      <c r="S5" s="6">
        <f>COUNTIF(Delivery_data[Allocation Rules], "Expedited Rules")</f>
        <v>478</v>
      </c>
      <c r="T5" s="21"/>
      <c r="U5" s="21"/>
      <c r="V5" s="21"/>
    </row>
    <row r="6" spans="1:22" ht="34.5" customHeight="1" x14ac:dyDescent="0.25">
      <c r="A6" s="15" t="s">
        <v>1606</v>
      </c>
      <c r="B6" s="14">
        <f>AVERAGE(Delivery_data[Delays (min)])</f>
        <v>14.507333333333333</v>
      </c>
      <c r="C6" s="5"/>
      <c r="F6" s="15" t="s">
        <v>1610</v>
      </c>
      <c r="G6" s="16">
        <f>AVERAGEIF(Delivery_data[Delivery Zone], "Zone1",Delivery_data[Delays (min)])</f>
        <v>14.233140655105974</v>
      </c>
      <c r="H6" s="16">
        <f>AVERAGEIF(Delivery_data[Delivery Zone], "Zone2",Delivery_data[Delays (min)])</f>
        <v>14.671814671814673</v>
      </c>
      <c r="I6" s="16">
        <f>AVERAGEIF(Delivery_data[Delivery Zone], "Zone3",Delivery_data[Delays (min)])</f>
        <v>14.630669546436286</v>
      </c>
      <c r="L6" s="11" t="s">
        <v>1607</v>
      </c>
      <c r="M6" s="13">
        <f>M5/B4</f>
        <v>0.32066666666666666</v>
      </c>
      <c r="N6" s="13">
        <f>N5/B4</f>
        <v>0.35266666666666668</v>
      </c>
      <c r="O6" s="13">
        <f>O5/B4</f>
        <v>0.32666666666666666</v>
      </c>
      <c r="P6" s="5"/>
      <c r="R6" s="9" t="s">
        <v>6</v>
      </c>
      <c r="S6" s="6">
        <f>COUNTIF(Delivery_data[Allocation Rules], "Custom Rules")</f>
        <v>509</v>
      </c>
      <c r="T6" s="21"/>
      <c r="U6" s="21"/>
      <c r="V6" s="21"/>
    </row>
    <row r="7" spans="1:22" ht="33" customHeight="1" x14ac:dyDescent="0.25">
      <c r="A7" s="15" t="s">
        <v>1609</v>
      </c>
      <c r="B7" s="12">
        <f>COUNTIF(Delivery_data[Order Status], "Completed")</f>
        <v>733</v>
      </c>
      <c r="C7" s="13">
        <f>IFERROR(B7/B4, "0")</f>
        <v>0.48866666666666669</v>
      </c>
    </row>
    <row r="8" spans="1:22" ht="31.5" customHeight="1" x14ac:dyDescent="0.25">
      <c r="A8" s="15"/>
      <c r="B8" s="13"/>
      <c r="C8" s="29"/>
    </row>
    <row r="9" spans="1:22" x14ac:dyDescent="0.25">
      <c r="G9" s="3"/>
      <c r="O9" s="3"/>
    </row>
    <row r="17" spans="4:4" x14ac:dyDescent="0.25">
      <c r="D17" s="3"/>
    </row>
  </sheetData>
  <sheetProtection algorithmName="SHA-512" hashValue="A3yixYhN6m707CLu4KHkD9G4SIfoel45Z8h8f0CNpl6jXholkdhGETwDeWAu2UT6zQjVvLsS0rn0ajF5xTcxsA==" saltValue="mzr7TIMkJ43V/Ij0Xojlbw==" spinCount="100000" sheet="1" objects="1" scenarios="1" selectLockedCells="1" selectUnlockedCell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F538-EA8F-4BA3-81BB-357C0D915526}">
  <sheetPr>
    <tabColor rgb="FFFFFF00"/>
  </sheetPr>
  <dimension ref="A1:B55"/>
  <sheetViews>
    <sheetView topLeftCell="A42" zoomScaleNormal="100" workbookViewId="0">
      <selection activeCell="N74" sqref="N74"/>
    </sheetView>
  </sheetViews>
  <sheetFormatPr defaultRowHeight="15" x14ac:dyDescent="0.25"/>
  <cols>
    <col min="1" max="1" width="14.85546875" bestFit="1" customWidth="1"/>
    <col min="2" max="2" width="9.140625" bestFit="1" customWidth="1"/>
  </cols>
  <sheetData>
    <row r="1" spans="1:2" ht="13.5" customHeight="1" x14ac:dyDescent="0.25"/>
    <row r="2" spans="1:2" hidden="1" x14ac:dyDescent="0.25"/>
    <row r="3" spans="1:2" ht="60" customHeight="1" x14ac:dyDescent="0.25">
      <c r="A3" s="26" t="s">
        <v>18</v>
      </c>
      <c r="B3" s="25" t="s">
        <v>1627</v>
      </c>
    </row>
    <row r="4" spans="1:2" x14ac:dyDescent="0.25">
      <c r="A4" s="23" t="s">
        <v>50</v>
      </c>
      <c r="B4" s="24">
        <v>0.21266666666666667</v>
      </c>
    </row>
    <row r="5" spans="1:2" x14ac:dyDescent="0.25">
      <c r="A5" s="23" t="s">
        <v>26</v>
      </c>
      <c r="B5" s="24">
        <v>0.21133333333333335</v>
      </c>
    </row>
    <row r="6" spans="1:2" x14ac:dyDescent="0.25">
      <c r="A6" s="23" t="s">
        <v>41</v>
      </c>
      <c r="B6" s="24">
        <v>0.19266666666666668</v>
      </c>
    </row>
    <row r="7" spans="1:2" x14ac:dyDescent="0.25">
      <c r="A7" s="23" t="s">
        <v>33</v>
      </c>
      <c r="B7" s="24">
        <v>0.192</v>
      </c>
    </row>
    <row r="8" spans="1:2" x14ac:dyDescent="0.25">
      <c r="A8" s="23" t="s">
        <v>54</v>
      </c>
      <c r="B8" s="24">
        <v>0.19133333333333333</v>
      </c>
    </row>
    <row r="12" spans="1:2" ht="60.75" customHeight="1" x14ac:dyDescent="0.25">
      <c r="A12" s="27" t="s">
        <v>1624</v>
      </c>
      <c r="B12" s="25" t="s">
        <v>1627</v>
      </c>
    </row>
    <row r="13" spans="1:2" x14ac:dyDescent="0.25">
      <c r="A13" s="23" t="s">
        <v>1631</v>
      </c>
      <c r="B13" s="24">
        <v>0.35333333333333333</v>
      </c>
    </row>
    <row r="14" spans="1:2" x14ac:dyDescent="0.25">
      <c r="A14" s="23" t="s">
        <v>1637</v>
      </c>
      <c r="B14" s="24">
        <v>0.33466666666666667</v>
      </c>
    </row>
    <row r="15" spans="1:2" x14ac:dyDescent="0.25">
      <c r="A15" s="23" t="s">
        <v>1633</v>
      </c>
      <c r="B15" s="24">
        <v>0.312</v>
      </c>
    </row>
    <row r="18" spans="1:2" ht="54" customHeight="1" x14ac:dyDescent="0.25">
      <c r="A18" s="26" t="s">
        <v>1626</v>
      </c>
      <c r="B18" s="25" t="s">
        <v>1625</v>
      </c>
    </row>
    <row r="19" spans="1:2" x14ac:dyDescent="0.25">
      <c r="A19" s="23" t="s">
        <v>38</v>
      </c>
      <c r="B19" s="24">
        <v>0.35266666666666668</v>
      </c>
    </row>
    <row r="20" spans="1:2" x14ac:dyDescent="0.25">
      <c r="A20" s="23" t="s">
        <v>25</v>
      </c>
      <c r="B20" s="24">
        <v>0.32666666666666666</v>
      </c>
    </row>
    <row r="21" spans="1:2" x14ac:dyDescent="0.25">
      <c r="A21" s="23" t="s">
        <v>32</v>
      </c>
      <c r="B21" s="24">
        <v>0.32066666666666666</v>
      </c>
    </row>
    <row r="26" spans="1:2" ht="54" customHeight="1" x14ac:dyDescent="0.25">
      <c r="A26" s="26" t="s">
        <v>1613</v>
      </c>
      <c r="B26" s="25" t="s">
        <v>1616</v>
      </c>
    </row>
    <row r="27" spans="1:2" x14ac:dyDescent="0.25">
      <c r="A27" s="23" t="s">
        <v>1617</v>
      </c>
      <c r="B27" s="24">
        <v>0.11799999999999999</v>
      </c>
    </row>
    <row r="28" spans="1:2" x14ac:dyDescent="0.25">
      <c r="A28" s="23" t="s">
        <v>1619</v>
      </c>
      <c r="B28" s="24">
        <v>0.11866666666666667</v>
      </c>
    </row>
    <row r="29" spans="1:2" x14ac:dyDescent="0.25">
      <c r="A29" s="23" t="s">
        <v>1622</v>
      </c>
      <c r="B29" s="24">
        <v>0.12933333333333333</v>
      </c>
    </row>
    <row r="30" spans="1:2" x14ac:dyDescent="0.25">
      <c r="A30" s="23" t="s">
        <v>1620</v>
      </c>
      <c r="B30" s="24">
        <v>0.12266666666666666</v>
      </c>
    </row>
    <row r="31" spans="1:2" x14ac:dyDescent="0.25">
      <c r="A31" s="23" t="s">
        <v>1618</v>
      </c>
      <c r="B31" s="24">
        <v>0.24133333333333334</v>
      </c>
    </row>
    <row r="32" spans="1:2" x14ac:dyDescent="0.25">
      <c r="A32" s="23" t="s">
        <v>1621</v>
      </c>
      <c r="B32" s="24">
        <v>0.13</v>
      </c>
    </row>
    <row r="33" spans="1:2" x14ac:dyDescent="0.25">
      <c r="A33" s="23" t="s">
        <v>1623</v>
      </c>
      <c r="B33" s="24">
        <v>0.14000000000000001</v>
      </c>
    </row>
    <row r="39" spans="1:2" ht="47.25" customHeight="1" x14ac:dyDescent="0.25">
      <c r="A39" s="31" t="s">
        <v>1628</v>
      </c>
      <c r="B39" s="25" t="s">
        <v>1627</v>
      </c>
    </row>
    <row r="40" spans="1:2" x14ac:dyDescent="0.25">
      <c r="A40" s="23" t="s">
        <v>51</v>
      </c>
      <c r="B40" s="24">
        <v>0.34200000000000003</v>
      </c>
    </row>
    <row r="41" spans="1:2" x14ac:dyDescent="0.25">
      <c r="A41" s="23" t="s">
        <v>28</v>
      </c>
      <c r="B41" s="24">
        <v>0.33933333333333332</v>
      </c>
    </row>
    <row r="42" spans="1:2" x14ac:dyDescent="0.25">
      <c r="A42" s="23" t="s">
        <v>46</v>
      </c>
      <c r="B42" s="24">
        <v>0.31866666666666665</v>
      </c>
    </row>
    <row r="49" spans="1:2" hidden="1" x14ac:dyDescent="0.25"/>
    <row r="50" spans="1:2" hidden="1" x14ac:dyDescent="0.25"/>
    <row r="51" spans="1:2" hidden="1" x14ac:dyDescent="0.25"/>
    <row r="52" spans="1:2" ht="42.75" customHeight="1" x14ac:dyDescent="0.25">
      <c r="A52" s="31" t="s">
        <v>3135</v>
      </c>
      <c r="B52" s="30" t="s">
        <v>3133</v>
      </c>
    </row>
    <row r="53" spans="1:2" x14ac:dyDescent="0.25">
      <c r="A53" s="23" t="s">
        <v>45</v>
      </c>
      <c r="B53" s="24">
        <v>0.34599999999999997</v>
      </c>
    </row>
    <row r="54" spans="1:2" x14ac:dyDescent="0.25">
      <c r="A54" s="23" t="s">
        <v>27</v>
      </c>
      <c r="B54" s="24">
        <v>0.34533333333333333</v>
      </c>
    </row>
    <row r="55" spans="1:2" x14ac:dyDescent="0.25">
      <c r="A55" s="23" t="s">
        <v>34</v>
      </c>
      <c r="B55" s="24">
        <v>0.30866666666666664</v>
      </c>
    </row>
  </sheetData>
  <sheetProtection selectLockedCells="1" selectUnlockedCells="1"/>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394A-5FFA-49BC-A433-5AF5C0057ECD}">
  <sheetPr>
    <tabColor theme="9" tint="-0.249977111117893"/>
  </sheetPr>
  <dimension ref="A1:W67"/>
  <sheetViews>
    <sheetView showGridLines="0" showRowColHeaders="0" tabSelected="1" zoomScale="90" zoomScaleNormal="90" workbookViewId="0">
      <selection activeCell="W6" sqref="W6"/>
      <extLst>
        <ext xmlns:xlsdti="http://schemas.microsoft.com/office/spreadsheetml/2023/showDataTypeIcons" uri="{77bfe23e-c014-4d31-8a63-9c772dbf06b6}">
          <xlsdti:showDataTypeIcons visible="0"/>
        </ext>
      </extLst>
    </sheetView>
  </sheetViews>
  <sheetFormatPr defaultColWidth="0" defaultRowHeight="15" zeroHeight="1" x14ac:dyDescent="0.25"/>
  <cols>
    <col min="1" max="23" width="9.140625" style="28" customWidth="1"/>
    <col min="24" max="16384" width="9.140625" style="28" hidden="1"/>
  </cols>
  <sheetData>
    <row r="1" s="28" customFormat="1" x14ac:dyDescent="0.25"/>
    <row r="2" s="28" customFormat="1" x14ac:dyDescent="0.25"/>
    <row r="3" s="28" customFormat="1" x14ac:dyDescent="0.25"/>
    <row r="4" s="28" customFormat="1" x14ac:dyDescent="0.25"/>
    <row r="5" s="28" customFormat="1" x14ac:dyDescent="0.25"/>
    <row r="6" s="28" customFormat="1" x14ac:dyDescent="0.25"/>
    <row r="7" s="28" customFormat="1" x14ac:dyDescent="0.25"/>
    <row r="8" s="28" customFormat="1" x14ac:dyDescent="0.25"/>
    <row r="9" s="28" customFormat="1" x14ac:dyDescent="0.25"/>
    <row r="10" s="28" customFormat="1" x14ac:dyDescent="0.25"/>
    <row r="11" s="28" customFormat="1" x14ac:dyDescent="0.25"/>
    <row r="12" s="28" customFormat="1" x14ac:dyDescent="0.25"/>
    <row r="13" s="28" customFormat="1" x14ac:dyDescent="0.25"/>
    <row r="14" s="28" customFormat="1" x14ac:dyDescent="0.25"/>
    <row r="15" s="28" customFormat="1" x14ac:dyDescent="0.25"/>
    <row r="16" s="28" customFormat="1" x14ac:dyDescent="0.25"/>
    <row r="17" s="28" customFormat="1" x14ac:dyDescent="0.25"/>
    <row r="18" s="28" customFormat="1" x14ac:dyDescent="0.25"/>
    <row r="19" s="28" customFormat="1" x14ac:dyDescent="0.25"/>
    <row r="20" s="28" customFormat="1" x14ac:dyDescent="0.25"/>
    <row r="21" s="28" customFormat="1" x14ac:dyDescent="0.25"/>
    <row r="22" s="28" customFormat="1" x14ac:dyDescent="0.25"/>
    <row r="23" s="28" customFormat="1" x14ac:dyDescent="0.25"/>
    <row r="24" s="28" customFormat="1" x14ac:dyDescent="0.25"/>
    <row r="25" s="28" customFormat="1" x14ac:dyDescent="0.25"/>
    <row r="26" s="28" customFormat="1" x14ac:dyDescent="0.25"/>
    <row r="27" s="28" customFormat="1" x14ac:dyDescent="0.25"/>
    <row r="28" s="28" customFormat="1" x14ac:dyDescent="0.25"/>
    <row r="29" s="28" customFormat="1" x14ac:dyDescent="0.25"/>
    <row r="30" s="28" customFormat="1" x14ac:dyDescent="0.25"/>
    <row r="31" s="28" customFormat="1" x14ac:dyDescent="0.25"/>
    <row r="32" s="28" customFormat="1" x14ac:dyDescent="0.25"/>
    <row r="33" s="28" customFormat="1" x14ac:dyDescent="0.25"/>
    <row r="34" s="28" customFormat="1" x14ac:dyDescent="0.25"/>
    <row r="35" s="28" customFormat="1" x14ac:dyDescent="0.25"/>
    <row r="36" s="28" customFormat="1" x14ac:dyDescent="0.25"/>
    <row r="37" s="28" customFormat="1" x14ac:dyDescent="0.25"/>
    <row r="38" s="28" customFormat="1" x14ac:dyDescent="0.25"/>
    <row r="39" s="28" customFormat="1" x14ac:dyDescent="0.25"/>
    <row r="40" s="28" customFormat="1" x14ac:dyDescent="0.25"/>
    <row r="41" s="28" customFormat="1" x14ac:dyDescent="0.25"/>
    <row r="42" s="28" customFormat="1" x14ac:dyDescent="0.25"/>
    <row r="43" s="28" customFormat="1" x14ac:dyDescent="0.25"/>
    <row r="44" s="28" customFormat="1" hidden="1" x14ac:dyDescent="0.25"/>
    <row r="45" s="28" customFormat="1" hidden="1" x14ac:dyDescent="0.25"/>
    <row r="46" s="28" customFormat="1" hidden="1" x14ac:dyDescent="0.25"/>
    <row r="47" s="28" customFormat="1" hidden="1" x14ac:dyDescent="0.25"/>
    <row r="48" s="28" customFormat="1" hidden="1" x14ac:dyDescent="0.25"/>
    <row r="49" s="28" customFormat="1" hidden="1" x14ac:dyDescent="0.25"/>
    <row r="50" s="28" customFormat="1" hidden="1" x14ac:dyDescent="0.25"/>
    <row r="51" s="28" customFormat="1" hidden="1" x14ac:dyDescent="0.25"/>
    <row r="52" s="28" customFormat="1" hidden="1" x14ac:dyDescent="0.25"/>
    <row r="53" s="28" customFormat="1" hidden="1" x14ac:dyDescent="0.25"/>
    <row r="54" s="28" customFormat="1" hidden="1" x14ac:dyDescent="0.25"/>
    <row r="55" s="28" customFormat="1" hidden="1" x14ac:dyDescent="0.25"/>
    <row r="56" s="28" customFormat="1" hidden="1" x14ac:dyDescent="0.25"/>
    <row r="57" s="28" customFormat="1" hidden="1" x14ac:dyDescent="0.25"/>
    <row r="58" s="28" customFormat="1" hidden="1" x14ac:dyDescent="0.25"/>
    <row r="59" s="28" customFormat="1" hidden="1" x14ac:dyDescent="0.25"/>
    <row r="60" s="28" customFormat="1" hidden="1" x14ac:dyDescent="0.25"/>
    <row r="61" s="28" customFormat="1" hidden="1" x14ac:dyDescent="0.25"/>
    <row r="62" s="28" customFormat="1" hidden="1" x14ac:dyDescent="0.25"/>
    <row r="63" s="28" customFormat="1" hidden="1" x14ac:dyDescent="0.25"/>
    <row r="64" s="28" customFormat="1" hidden="1" x14ac:dyDescent="0.25"/>
    <row r="65" s="28" customFormat="1" hidden="1" x14ac:dyDescent="0.25"/>
    <row r="66" s="28" customFormat="1" hidden="1" x14ac:dyDescent="0.25"/>
    <row r="67" s="28" customFormat="1" hidden="1" x14ac:dyDescent="0.25"/>
  </sheetData>
  <sheetProtection algorithmName="SHA-512" hashValue="YT+DsVLR5fPIpv5TmU08gPNrmF3xyiGNadLUk8YLvaHDMOcReOTy3xTK7IxLzN6yWb8n2oROcau7AyNJYk+4Sg==" saltValue="Pns5FV4Hn0pM1bvOZ3rrVg==" spinCount="100000" sheet="1" objects="1" scenarios="1"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12910-6674-4B74-95C5-DB7D91C086D4}">
  <sheetPr>
    <tabColor theme="5" tint="-0.249977111117893"/>
  </sheetPr>
  <dimension ref="A1"/>
  <sheetViews>
    <sheetView showGridLines="0" showRowColHeaders="0" zoomScale="80" zoomScaleNormal="80" workbookViewId="0">
      <selection activeCell="Z6" sqref="Z6"/>
      <extLst>
        <ext xmlns:xlsdti="http://schemas.microsoft.com/office/spreadsheetml/2023/showDataTypeIcons" uri="{77bfe23e-c014-4d31-8a63-9c772dbf06b6}">
          <xlsdti:showDataTypeIcons visible="0"/>
        </ext>
      </extLst>
    </sheetView>
  </sheetViews>
  <sheetFormatPr defaultRowHeight="15" x14ac:dyDescent="0.25"/>
  <cols>
    <col min="9" max="9" width="14" customWidth="1"/>
    <col min="10" max="10" width="0.28515625" customWidth="1"/>
  </cols>
  <sheetData/>
  <sheetProtection algorithmName="SHA-512" hashValue="Zo8Ep3gafxONjjCfdcZCxzkbjCqXVz5rFOfL0Vrtw45YGBoILHLR8PHi0klh2k3ueSgLy7jI4SpxWW7ghZWAdA==" saltValue="RmDhODpTo92lxTG65rFEDw==" spinCount="100000" sheet="1" objects="1" scenarios="1" selectLockedCells="1" selectUnlockedCell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A44D-31E4-4A0D-96B8-C398803BBDE8}">
  <sheetPr>
    <tabColor rgb="FF00B050"/>
  </sheetPr>
  <dimension ref="A1:B4"/>
  <sheetViews>
    <sheetView workbookViewId="0">
      <selection activeCell="A2" sqref="A2:A4"/>
    </sheetView>
  </sheetViews>
  <sheetFormatPr defaultRowHeight="15" x14ac:dyDescent="0.25"/>
  <cols>
    <col min="1" max="1" width="15.7109375" bestFit="1" customWidth="1"/>
    <col min="2" max="2" width="8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6B7DD6-0A38-467F-A392-294B850843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Delivery data</vt:lpstr>
      <vt:lpstr>Initial analysis</vt:lpstr>
      <vt:lpstr>Pivot Table</vt:lpstr>
      <vt:lpstr>Dashboard</vt:lpstr>
      <vt:lpstr>REPORT</vt:lpstr>
      <vt:lpstr>Allocation Rule explained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Elijah Okpako</dc:creator>
  <cp:lastModifiedBy>Elijah Okpako</cp:lastModifiedBy>
  <dcterms:created xsi:type="dcterms:W3CDTF">2025-12-10T18:27:03Z</dcterms:created>
  <dcterms:modified xsi:type="dcterms:W3CDTF">2025-12-23T19:00:00Z</dcterms:modified>
</cp:coreProperties>
</file>